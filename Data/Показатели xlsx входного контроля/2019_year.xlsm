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4CA85C4C-604C-48A1-970B-05F263A65D88}" xr6:coauthVersionLast="45" xr6:coauthVersionMax="45" xr10:uidLastSave="{00000000-0000-0000-0000-000000000000}"/>
  <bookViews>
    <workbookView xWindow="-120" yWindow="-120" windowWidth="19440" windowHeight="15000" tabRatio="834" firstSheet="3" activeTab="8" xr2:uid="{00000000-000D-0000-FFFF-FFFF00000000}"/>
  </bookViews>
  <sheets>
    <sheet name="Журнал входного контроля" sheetId="2" r:id="rId1"/>
    <sheet name="Мастика 2019" sheetId="5" r:id="rId2"/>
    <sheet name="ПВХ 2019" sheetId="8" r:id="rId3"/>
    <sheet name="ПВХ липкое 2019" sheetId="9" r:id="rId4"/>
    <sheet name="Антиадгезив 2019" sheetId="10" r:id="rId5"/>
    <sheet name="Праймер ПЛ-М 2019" sheetId="15" r:id="rId6"/>
    <sheet name="Шпули 2019" sheetId="12" r:id="rId7"/>
    <sheet name="Пакеты 2019" sheetId="13" r:id="rId8"/>
    <sheet name="Коробки 2019" sheetId="16" r:id="rId9"/>
    <sheet name="Шаблон (кг.)" sheetId="1" r:id="rId10"/>
    <sheet name="Шаблон (шт.)" sheetId="17" r:id="rId11"/>
    <sheet name="База данных" sheetId="4" r:id="rId12"/>
  </sheets>
  <definedNames>
    <definedName name="авг_кол" localSheetId="4">'Антиадгезив 2019'!$E$59:$E$63</definedName>
    <definedName name="авг_кол" localSheetId="8">'Коробки 2019'!$E$53:$E$57</definedName>
    <definedName name="авг_кол" localSheetId="1">'Мастика 2019'!$E$57:$E$61</definedName>
    <definedName name="авг_кол" localSheetId="7">'Пакеты 2019'!$E$46:$E$50</definedName>
    <definedName name="авг_кол" localSheetId="2">'ПВХ 2019'!$E$54:$E$55</definedName>
    <definedName name="авг_кол" localSheetId="3">'ПВХ липкое 2019'!$E$55:$E$59</definedName>
    <definedName name="авг_кол" localSheetId="5">'Праймер ПЛ-М 2019'!$E$58:$E$62</definedName>
    <definedName name="авг_кол" localSheetId="10">'Шаблон (шт.)'!$E$63:$E$67</definedName>
    <definedName name="авг_кол" localSheetId="6">'Шпули 2019'!$E$60:$E$64</definedName>
    <definedName name="авг_кол">'Шаблон (кг.)'!$E$63:$E$67</definedName>
    <definedName name="авг_пр" localSheetId="4">'Антиадгезив 2019'!$C$59:$C$63</definedName>
    <definedName name="авг_пр" localSheetId="8">'Коробки 2019'!$C$53:$C$57</definedName>
    <definedName name="авг_пр" localSheetId="1">'Мастика 2019'!$C$57:$C$61</definedName>
    <definedName name="авг_пр" localSheetId="7">'Пакеты 2019'!$C$46:$C$50</definedName>
    <definedName name="авг_пр" localSheetId="2">'ПВХ 2019'!$C$54:$C$55</definedName>
    <definedName name="авг_пр" localSheetId="3">'ПВХ липкое 2019'!$C$55:$C$59</definedName>
    <definedName name="авг_пр" localSheetId="5">'Праймер ПЛ-М 2019'!$C$58:$C$62</definedName>
    <definedName name="авг_пр" localSheetId="10">'Шаблон (шт.)'!$C$63:$C$67</definedName>
    <definedName name="авг_пр" localSheetId="6">'Шпули 2019'!$C$60:$C$64</definedName>
    <definedName name="авг_пр">'Шаблон (кг.)'!$C$63:$C$67</definedName>
    <definedName name="акт_вх_авг" localSheetId="4">'Антиадгезив 2019'!$F$59:$F$63</definedName>
    <definedName name="акт_вх_авг" localSheetId="8">'Коробки 2019'!$F$53:$F$57</definedName>
    <definedName name="акт_вх_авг" localSheetId="1">'Мастика 2019'!$F$57:$F$61</definedName>
    <definedName name="акт_вх_авг" localSheetId="7">'Пакеты 2019'!$F$46:$F$50</definedName>
    <definedName name="акт_вх_авг" localSheetId="2">'ПВХ 2019'!$F$54:$F$55</definedName>
    <definedName name="акт_вх_авг" localSheetId="3">'ПВХ липкое 2019'!$F$55:$F$59</definedName>
    <definedName name="акт_вх_авг" localSheetId="5">'Праймер ПЛ-М 2019'!$F$58:$F$62</definedName>
    <definedName name="акт_вх_авг" localSheetId="10">'Шаблон (шт.)'!$F$63:$F$67</definedName>
    <definedName name="акт_вх_авг" localSheetId="6">'Шпули 2019'!$F$60:$F$64</definedName>
    <definedName name="акт_вх_авг">'Шаблон (кг.)'!$F$63:$F$67</definedName>
    <definedName name="акт_вх_апр" localSheetId="4">'Антиадгезив 2019'!$F$30:$F$33</definedName>
    <definedName name="акт_вх_апр" localSheetId="8">'Коробки 2019'!$F$30:$F$32</definedName>
    <definedName name="акт_вх_апр" localSheetId="1">'Мастика 2019'!$F$21:$F$30</definedName>
    <definedName name="акт_вх_апр" localSheetId="7">'Пакеты 2019'!$F$24:$F$25</definedName>
    <definedName name="акт_вх_апр" localSheetId="2">'ПВХ 2019'!$F$24:$F$30</definedName>
    <definedName name="акт_вх_апр" localSheetId="3">'ПВХ липкое 2019'!$F$23:$F$26</definedName>
    <definedName name="акт_вх_апр" localSheetId="5">'Праймер ПЛ-М 2019'!$F$25:$F$29</definedName>
    <definedName name="акт_вх_апр" localSheetId="10">'Шаблон (шт.)'!$F$31:$F$35</definedName>
    <definedName name="акт_вх_апр" localSheetId="6">'Шпули 2019'!$F$30:$F$31</definedName>
    <definedName name="акт_вх_апр">'Шаблон (кг.)'!$F$31:$F$35</definedName>
    <definedName name="акт_вх_дкб" localSheetId="4">'Антиадгезив 2019'!$F$90:$F$94</definedName>
    <definedName name="акт_вх_дкб" localSheetId="8">'Коробки 2019'!$F$84:$F$88</definedName>
    <definedName name="акт_вх_дкб" localSheetId="1">'Мастика 2019'!$F$85:$F$89</definedName>
    <definedName name="акт_вх_дкб" localSheetId="7">'Пакеты 2019'!$F$77:$F$81</definedName>
    <definedName name="акт_вх_дкб" localSheetId="2">'ПВХ 2019'!$F$76:$F$77</definedName>
    <definedName name="акт_вх_дкб" localSheetId="3">'ПВХ липкое 2019'!$F$83:$F$87</definedName>
    <definedName name="акт_вх_дкб" localSheetId="5">'Праймер ПЛ-М 2019'!$F$89:$F$93</definedName>
    <definedName name="акт_вх_дкб" localSheetId="10">'Шаблон (шт.)'!$F$95:$F$99</definedName>
    <definedName name="акт_вх_дкб" localSheetId="6">'Шпули 2019'!$F$91:$F$95</definedName>
    <definedName name="акт_вх_дкб">'Шаблон (кг.)'!$F$95:$F$99</definedName>
    <definedName name="акт_вх_июл" localSheetId="4">'Антиадгезив 2019'!$F$55:$F$56</definedName>
    <definedName name="акт_вх_июл" localSheetId="8">'Коробки 2019'!$F$46:$F$50</definedName>
    <definedName name="акт_вх_июл" localSheetId="1">'Мастика 2019'!$F$51:$F$54</definedName>
    <definedName name="акт_вх_июл" localSheetId="7">'Пакеты 2019'!$F$39:$F$43</definedName>
    <definedName name="акт_вх_июл" localSheetId="2">'ПВХ 2019'!$F$49:$F$51</definedName>
    <definedName name="акт_вх_июл" localSheetId="3">'ПВХ липкое 2019'!$F$48:$F$52</definedName>
    <definedName name="акт_вх_июл" localSheetId="5">'Праймер ПЛ-М 2019'!$F$51:$F$55</definedName>
    <definedName name="акт_вх_июл" localSheetId="10">'Шаблон (шт.)'!$F$56:$F$60</definedName>
    <definedName name="акт_вх_июл" localSheetId="6">'Шпули 2019'!$F$53:$F$57</definedName>
    <definedName name="акт_вх_июл">'Шаблон (кг.)'!$F$56:$F$60</definedName>
    <definedName name="акт_вх_июн" localSheetId="4">'Антиадгезив 2019'!$F$43:$F$47</definedName>
    <definedName name="акт_вх_июн" localSheetId="8">'Коробки 2019'!$F$38:$F$38</definedName>
    <definedName name="акт_вх_июн" localSheetId="1">'Мастика 2019'!$F$39:$F$42</definedName>
    <definedName name="акт_вх_июн" localSheetId="7">'Пакеты 2019'!$F$31:$F$31</definedName>
    <definedName name="акт_вх_июн" localSheetId="2">'ПВХ 2019'!$F$39:$F$41</definedName>
    <definedName name="акт_вх_июн" localSheetId="3">'ПВХ липкое 2019'!$F$36:$F$40</definedName>
    <definedName name="акт_вх_июн" localSheetId="5">'Праймер ПЛ-М 2019'!$F$39:$F$43</definedName>
    <definedName name="акт_вх_июн" localSheetId="10">'Шаблон (шт.)'!$F$45:$F$49</definedName>
    <definedName name="акт_вх_июн" localSheetId="6">'Шпули 2019'!$F$41:$F$45</definedName>
    <definedName name="акт_вх_июн">'Шаблон (кг.)'!$F$45:$F$49</definedName>
    <definedName name="акт_вх_май" localSheetId="4">'Антиадгезив 2019'!$F$36:$F$40</definedName>
    <definedName name="акт_вх_май" localSheetId="8">'Коробки 2019'!$F$35:$F$35</definedName>
    <definedName name="акт_вх_май" localSheetId="1">'Мастика 2019'!$F$33:$F$36</definedName>
    <definedName name="акт_вх_май" localSheetId="7">'Пакеты 2019'!$F$28:$F$28</definedName>
    <definedName name="акт_вх_май" localSheetId="2">'ПВХ 2019'!$F$33:$F$36</definedName>
    <definedName name="акт_вх_май" localSheetId="3">'ПВХ липкое 2019'!$F$29:$F$33</definedName>
    <definedName name="акт_вх_май" localSheetId="5">'Праймер ПЛ-М 2019'!$F$32:$F$36</definedName>
    <definedName name="акт_вх_май" localSheetId="10">'Шаблон (шт.)'!$F$38:$F$42</definedName>
    <definedName name="акт_вх_май" localSheetId="6">'Шпули 2019'!$F$34:$F$38</definedName>
    <definedName name="акт_вх_май">'Шаблон (кг.)'!$F$38:$F$42</definedName>
    <definedName name="акт_вх_мрт" localSheetId="4">'Антиадгезив 2019'!$F$21:$F$25</definedName>
    <definedName name="акт_вх_мрт" localSheetId="8">'Коробки 2019'!$F$21:$F$25</definedName>
    <definedName name="акт_вх_мрт" localSheetId="1">'Мастика 2019'!$F$14:$F$16</definedName>
    <definedName name="акт_вх_мрт" localSheetId="7">'Пакеты 2019'!$F$15:$F$19</definedName>
    <definedName name="акт_вх_мрт" localSheetId="2">'ПВХ 2019'!$F$16:$F$19</definedName>
    <definedName name="акт_вх_мрт" localSheetId="3">'ПВХ липкое 2019'!$F$14:$F$18</definedName>
    <definedName name="акт_вх_мрт" localSheetId="5">'Праймер ПЛ-М 2019'!$F$18:$F$20</definedName>
    <definedName name="акт_вх_мрт" localSheetId="10">'Шаблон (шт.)'!$F$21:$F$25</definedName>
    <definedName name="акт_вх_мрт" localSheetId="6">'Шпули 2019'!$F$21:$F$25</definedName>
    <definedName name="акт_вх_мрт">'Шаблон (кг.)'!$F$21:$F$25</definedName>
    <definedName name="акт_вх_нбр" localSheetId="4">'Антиадгезив 2019'!$F$83:$F$87</definedName>
    <definedName name="акт_вх_нбр" localSheetId="8">'Коробки 2019'!$F$77:$F$81</definedName>
    <definedName name="акт_вх_нбр" localSheetId="1">'Мастика 2019'!$F$78:$F$82</definedName>
    <definedName name="акт_вх_нбр" localSheetId="7">'Пакеты 2019'!$F$70:$F$74</definedName>
    <definedName name="акт_вх_нбр" localSheetId="2">'ПВХ 2019'!$F$71:$F$73</definedName>
    <definedName name="акт_вх_нбр" localSheetId="3">'ПВХ липкое 2019'!$F$76:$F$80</definedName>
    <definedName name="акт_вх_нбр" localSheetId="5">'Праймер ПЛ-М 2019'!$F$82:$F$86</definedName>
    <definedName name="акт_вх_нбр" localSheetId="10">'Шаблон (шт.)'!$F$88:$F$92</definedName>
    <definedName name="акт_вх_нбр" localSheetId="6">'Шпули 2019'!$F$84:$F$88</definedName>
    <definedName name="акт_вх_нбр">'Шаблон (кг.)'!$F$88:$F$92</definedName>
    <definedName name="акт_вх_окт" localSheetId="4">'Антиадгезив 2019'!$F$76:$F$80</definedName>
    <definedName name="акт_вх_окт" localSheetId="8">'Коробки 2019'!$F$70:$F$74</definedName>
    <definedName name="акт_вх_окт" localSheetId="1">'Мастика 2019'!$F$71:$F$75</definedName>
    <definedName name="акт_вх_окт" localSheetId="7">'Пакеты 2019'!$F$63:$F$67</definedName>
    <definedName name="акт_вх_окт" localSheetId="2">'ПВХ 2019'!$F$66:$F$68</definedName>
    <definedName name="акт_вх_окт" localSheetId="3">'ПВХ липкое 2019'!$F$69:$F$73</definedName>
    <definedName name="акт_вх_окт" localSheetId="5">'Праймер ПЛ-М 2019'!$F$75:$F$79</definedName>
    <definedName name="акт_вх_окт" localSheetId="10">'Шаблон (шт.)'!$F$81:$F$85</definedName>
    <definedName name="акт_вх_окт" localSheetId="6">'Шпули 2019'!$F$77:$F$81</definedName>
    <definedName name="акт_вх_окт">'Шаблон (кг.)'!$F$81:$F$85</definedName>
    <definedName name="акт_вх_снт" localSheetId="4">'Антиадгезив 2019'!$F$66:$F$70</definedName>
    <definedName name="акт_вх_снт" localSheetId="8">'Коробки 2019'!$F$60:$F$64</definedName>
    <definedName name="акт_вх_снт" localSheetId="1">'Мастика 2019'!$F$64:$F$65</definedName>
    <definedName name="акт_вх_снт" localSheetId="7">'Пакеты 2019'!$F$53:$F$57</definedName>
    <definedName name="акт_вх_снт" localSheetId="2">'ПВХ 2019'!$F$58:$F$60</definedName>
    <definedName name="акт_вх_снт" localSheetId="3">'ПВХ липкое 2019'!$F$62:$F$63</definedName>
    <definedName name="акт_вх_снт" localSheetId="5">'Праймер ПЛ-М 2019'!$F$65:$F$69</definedName>
    <definedName name="акт_вх_снт" localSheetId="10">'Шаблон (шт.)'!$F$70:$F$74</definedName>
    <definedName name="акт_вх_снт" localSheetId="6">'Шпули 2019'!$F$67:$F$71</definedName>
    <definedName name="акт_вх_снт">'Шаблон (кг.)'!$F$70:$F$74</definedName>
    <definedName name="акт_вх_фев" localSheetId="4">'Антиадгезив 2019'!$F$14:$F$18</definedName>
    <definedName name="акт_вх_фев" localSheetId="8">'Коробки 2019'!$F$14:$F$18</definedName>
    <definedName name="акт_вх_фев" localSheetId="1">'Мастика 2019'!$F$10:$F$11</definedName>
    <definedName name="акт_вх_фев" localSheetId="7">'Пакеты 2019'!$F$11:$F$12</definedName>
    <definedName name="акт_вх_фев" localSheetId="2">'ПВХ 2019'!$F$11:$F$13</definedName>
    <definedName name="акт_вх_фев" localSheetId="3">'ПВХ липкое 2019'!$F$10:$F$11</definedName>
    <definedName name="акт_вх_фев" localSheetId="5">'Праймер ПЛ-М 2019'!$F$14:$F$15</definedName>
    <definedName name="акт_вх_фев" localSheetId="10">'Шаблон (шт.)'!$F$14:$F$18</definedName>
    <definedName name="акт_вх_фев" localSheetId="6">'Шпули 2019'!$F$14:$F$18</definedName>
    <definedName name="акт_вх_фев">'Шаблон (кг.)'!$F$14:$F$18</definedName>
    <definedName name="акт_вх_янв" localSheetId="4">'Антиадгезив 2019'!$F$7:$F$11</definedName>
    <definedName name="акт_вх_янв" localSheetId="8">'Коробки 2019'!$F$7:$F$11</definedName>
    <definedName name="акт_вх_янв" localSheetId="1">'Мастика 2019'!$F$7:$F$7</definedName>
    <definedName name="акт_вх_янв" localSheetId="7">'Пакеты 2019'!$F$7:$F$8</definedName>
    <definedName name="акт_вх_янв" localSheetId="2">'ПВХ 2019'!$F$7:$F$8</definedName>
    <definedName name="акт_вх_янв" localSheetId="3">'ПВХ липкое 2019'!$F$7:$F$7</definedName>
    <definedName name="акт_вх_янв" localSheetId="5">'Праймер ПЛ-М 2019'!$F$7:$F$11</definedName>
    <definedName name="акт_вх_янв" localSheetId="10">'Шаблон (шт.)'!$F$7:$F$11</definedName>
    <definedName name="акт_вх_янв" localSheetId="6">'Шпули 2019'!$F$7:$F$11</definedName>
    <definedName name="акт_вх_янв">'Шаблон (кг.)'!$F$7:$F$11</definedName>
    <definedName name="акт_отб_авг" localSheetId="4">'Антиадгезив 2019'!$H$59:$H$63</definedName>
    <definedName name="акт_отб_авг" localSheetId="8">'Коробки 2019'!$H$53:$H$57</definedName>
    <definedName name="акт_отб_авг" localSheetId="1">'Мастика 2019'!$H$57:$H$61</definedName>
    <definedName name="акт_отб_авг" localSheetId="7">'Пакеты 2019'!$H$46:$H$50</definedName>
    <definedName name="акт_отб_авг" localSheetId="2">'ПВХ 2019'!$H$54:$H$55</definedName>
    <definedName name="акт_отб_авг" localSheetId="3">'ПВХ липкое 2019'!$H$55:$H$59</definedName>
    <definedName name="акт_отб_авг" localSheetId="5">'Праймер ПЛ-М 2019'!$H$58:$H$62</definedName>
    <definedName name="акт_отб_авг" localSheetId="10">'Шаблон (шт.)'!$H$63:$H$67</definedName>
    <definedName name="акт_отб_авг" localSheetId="6">'Шпули 2019'!$H$60:$H$64</definedName>
    <definedName name="акт_отб_авг">'Шаблон (кг.)'!$H$63:$H$67</definedName>
    <definedName name="акт_отб_апр" localSheetId="4">'Антиадгезив 2019'!$H$30:$H$33</definedName>
    <definedName name="акт_отб_апр" localSheetId="8">'Коробки 2019'!$H$30:$H$32</definedName>
    <definedName name="акт_отб_апр" localSheetId="1">'Мастика 2019'!$H$21:$H$30</definedName>
    <definedName name="акт_отб_апр" localSheetId="7">'Пакеты 2019'!$H$24:$H$25</definedName>
    <definedName name="акт_отб_апр" localSheetId="2">'ПВХ 2019'!$H$24:$H$30</definedName>
    <definedName name="акт_отб_апр" localSheetId="3">'ПВХ липкое 2019'!$H$23:$H$26</definedName>
    <definedName name="акт_отб_апр" localSheetId="5">'Праймер ПЛ-М 2019'!$H$25:$H$29</definedName>
    <definedName name="акт_отб_апр" localSheetId="10">'Шаблон (шт.)'!$H$31:$H$35</definedName>
    <definedName name="акт_отб_апр" localSheetId="6">'Шпули 2019'!$H$30:$H$31</definedName>
    <definedName name="акт_отб_апр">'Шаблон (кг.)'!$H$31:$H$35</definedName>
    <definedName name="акт_отб_дкб" localSheetId="4">'Антиадгезив 2019'!$H$90:$H$94</definedName>
    <definedName name="акт_отб_дкб" localSheetId="8">'Коробки 2019'!$H$84:$H$88</definedName>
    <definedName name="акт_отб_дкб" localSheetId="1">'Мастика 2019'!$H$85:$H$89</definedName>
    <definedName name="акт_отб_дкб" localSheetId="7">'Пакеты 2019'!$H$77:$H$81</definedName>
    <definedName name="акт_отб_дкб" localSheetId="2">'ПВХ 2019'!$H$76:$H$77</definedName>
    <definedName name="акт_отб_дкб" localSheetId="3">'ПВХ липкое 2019'!$H$83:$H$87</definedName>
    <definedName name="акт_отб_дкб" localSheetId="5">'Праймер ПЛ-М 2019'!$H$89:$H$93</definedName>
    <definedName name="акт_отб_дкб" localSheetId="10">'Шаблон (шт.)'!$H$95:$H$99</definedName>
    <definedName name="акт_отб_дкб" localSheetId="6">'Шпули 2019'!$H$91:$H$95</definedName>
    <definedName name="акт_отб_дкб">'Шаблон (кг.)'!$H$95:$H$99</definedName>
    <definedName name="акт_отб_июл" localSheetId="4">'Антиадгезив 2019'!$H$55:$H$56</definedName>
    <definedName name="акт_отб_июл" localSheetId="8">'Коробки 2019'!$H$46:$H$50</definedName>
    <definedName name="акт_отб_июл" localSheetId="1">'Мастика 2019'!$H$51:$H$54</definedName>
    <definedName name="акт_отб_июл" localSheetId="7">'Пакеты 2019'!$H$39:$H$43</definedName>
    <definedName name="акт_отб_июл" localSheetId="2">'ПВХ 2019'!$H$49:$H$51</definedName>
    <definedName name="акт_отб_июл" localSheetId="3">'ПВХ липкое 2019'!$H$48:$H$52</definedName>
    <definedName name="акт_отб_июл" localSheetId="5">'Праймер ПЛ-М 2019'!$H$51:$H$55</definedName>
    <definedName name="акт_отб_июл" localSheetId="10">'Шаблон (шт.)'!$H$56:$H$60</definedName>
    <definedName name="акт_отб_июл" localSheetId="6">'Шпули 2019'!$H$53:$H$57</definedName>
    <definedName name="акт_отб_июл">'Шаблон (кг.)'!$H$56:$H$60</definedName>
    <definedName name="акт_отб_июн" localSheetId="4">'Антиадгезив 2019'!$H$43:$H$47</definedName>
    <definedName name="акт_отб_июн" localSheetId="8">'Коробки 2019'!$H$38:$H$38</definedName>
    <definedName name="акт_отб_июн" localSheetId="1">'Мастика 2019'!$H$39:$H$42</definedName>
    <definedName name="акт_отб_июн" localSheetId="7">'Пакеты 2019'!$H$31:$H$31</definedName>
    <definedName name="акт_отб_июн" localSheetId="2">'ПВХ 2019'!$H$39:$H$41</definedName>
    <definedName name="акт_отб_июн" localSheetId="3">'ПВХ липкое 2019'!$H$36:$H$40</definedName>
    <definedName name="акт_отб_июн" localSheetId="5">'Праймер ПЛ-М 2019'!$H$39:$H$43</definedName>
    <definedName name="акт_отб_июн" localSheetId="10">'Шаблон (шт.)'!$H$45:$H$49</definedName>
    <definedName name="акт_отб_июн" localSheetId="6">'Шпули 2019'!$H$41:$H$45</definedName>
    <definedName name="акт_отб_июн">'Шаблон (кг.)'!$H$45:$H$49</definedName>
    <definedName name="акт_отб_май" localSheetId="4">'Антиадгезив 2019'!$H$36:$H$40</definedName>
    <definedName name="акт_отб_май" localSheetId="8">'Коробки 2019'!$H$35:$H$35</definedName>
    <definedName name="акт_отб_май" localSheetId="1">'Мастика 2019'!$H$33:$H$36</definedName>
    <definedName name="акт_отб_май" localSheetId="7">'Пакеты 2019'!$H$28:$H$28</definedName>
    <definedName name="акт_отб_май" localSheetId="2">'ПВХ 2019'!$H$33:$H$36</definedName>
    <definedName name="акт_отб_май" localSheetId="3">'ПВХ липкое 2019'!$H$29:$H$33</definedName>
    <definedName name="акт_отб_май" localSheetId="5">'Праймер ПЛ-М 2019'!$H$32:$H$36</definedName>
    <definedName name="акт_отб_май" localSheetId="10">'Шаблон (шт.)'!$H$38:$H$42</definedName>
    <definedName name="акт_отб_май" localSheetId="6">'Шпули 2019'!$H$34:$H$38</definedName>
    <definedName name="акт_отб_май">'Шаблон (кг.)'!$H$38:$H$42</definedName>
    <definedName name="акт_отб_мрт" localSheetId="4">'Антиадгезив 2019'!$H$21:$H$25</definedName>
    <definedName name="акт_отб_мрт" localSheetId="8">'Коробки 2019'!$H$21:$H$25</definedName>
    <definedName name="акт_отб_мрт" localSheetId="1">'Мастика 2019'!$H$14:$H$16</definedName>
    <definedName name="акт_отб_мрт" localSheetId="7">'Пакеты 2019'!$H$15:$H$19</definedName>
    <definedName name="акт_отб_мрт" localSheetId="2">'ПВХ 2019'!$H$16:$H$19</definedName>
    <definedName name="акт_отб_мрт" localSheetId="3">'ПВХ липкое 2019'!$H$14:$H$18</definedName>
    <definedName name="акт_отб_мрт" localSheetId="5">'Праймер ПЛ-М 2019'!$H$18:$H$20</definedName>
    <definedName name="акт_отб_мрт" localSheetId="10">'Шаблон (шт.)'!$H$21:$H$25</definedName>
    <definedName name="акт_отб_мрт" localSheetId="6">'Шпули 2019'!$H$21:$H$25</definedName>
    <definedName name="акт_отб_мрт">'Шаблон (кг.)'!$H$21:$H$25</definedName>
    <definedName name="акт_отб_нбр" localSheetId="4">'Антиадгезив 2019'!$H$83:$H$87</definedName>
    <definedName name="акт_отб_нбр" localSheetId="8">'Коробки 2019'!$H$77:$H$81</definedName>
    <definedName name="акт_отб_нбр" localSheetId="1">'Мастика 2019'!$H$78:$H$82</definedName>
    <definedName name="акт_отб_нбр" localSheetId="7">'Пакеты 2019'!$H$70:$H$74</definedName>
    <definedName name="акт_отб_нбр" localSheetId="2">'ПВХ 2019'!$H$71:$H$73</definedName>
    <definedName name="акт_отб_нбр" localSheetId="3">'ПВХ липкое 2019'!$H$76:$H$80</definedName>
    <definedName name="акт_отб_нбр" localSheetId="5">'Праймер ПЛ-М 2019'!$H$82:$H$86</definedName>
    <definedName name="акт_отб_нбр" localSheetId="10">'Шаблон (шт.)'!$H$88:$H$92</definedName>
    <definedName name="акт_отб_нбр" localSheetId="6">'Шпули 2019'!$H$84:$H$88</definedName>
    <definedName name="акт_отб_нбр">'Шаблон (кг.)'!$H$88:$H$92</definedName>
    <definedName name="акт_отб_окт" localSheetId="4">'Антиадгезив 2019'!$H$76:$H$80</definedName>
    <definedName name="акт_отб_окт" localSheetId="8">'Коробки 2019'!$H$70:$H$74</definedName>
    <definedName name="акт_отб_окт" localSheetId="1">'Мастика 2019'!$H$71:$H$75</definedName>
    <definedName name="акт_отб_окт" localSheetId="7">'Пакеты 2019'!$H$63:$H$67</definedName>
    <definedName name="акт_отб_окт" localSheetId="2">'ПВХ 2019'!$H$66:$H$68</definedName>
    <definedName name="акт_отб_окт" localSheetId="3">'ПВХ липкое 2019'!$H$69:$H$73</definedName>
    <definedName name="акт_отб_окт" localSheetId="5">'Праймер ПЛ-М 2019'!$H$75:$H$79</definedName>
    <definedName name="акт_отб_окт" localSheetId="10">'Шаблон (шт.)'!$H$81:$H$85</definedName>
    <definedName name="акт_отб_окт" localSheetId="6">'Шпули 2019'!$H$77:$H$81</definedName>
    <definedName name="акт_отб_окт">'Шаблон (кг.)'!$H$81:$H$85</definedName>
    <definedName name="акт_отб_снт" localSheetId="4">'Антиадгезив 2019'!$H$66:$H$70</definedName>
    <definedName name="акт_отб_снт" localSheetId="8">'Коробки 2019'!$H$60:$H$64</definedName>
    <definedName name="акт_отб_снт" localSheetId="1">'Мастика 2019'!$H$64:$H$65</definedName>
    <definedName name="акт_отб_снт" localSheetId="7">'Пакеты 2019'!$H$53:$H$57</definedName>
    <definedName name="акт_отб_снт" localSheetId="2">'ПВХ 2019'!$H$58:$H$60</definedName>
    <definedName name="акт_отб_снт" localSheetId="3">'ПВХ липкое 2019'!$H$62:$H$63</definedName>
    <definedName name="акт_отб_снт" localSheetId="5">'Праймер ПЛ-М 2019'!$H$65:$H$69</definedName>
    <definedName name="акт_отб_снт" localSheetId="10">'Шаблон (шт.)'!$H$70:$H$74</definedName>
    <definedName name="акт_отб_снт" localSheetId="6">'Шпули 2019'!$H$67:$H$71</definedName>
    <definedName name="акт_отб_снт">'Шаблон (кг.)'!$H$70:$H$74</definedName>
    <definedName name="акт_отб_фев" localSheetId="4">'Антиадгезив 2019'!$H$14:$H$18</definedName>
    <definedName name="акт_отб_фев" localSheetId="8">'Коробки 2019'!$H$14:$H$18</definedName>
    <definedName name="акт_отб_фев" localSheetId="1">'Мастика 2019'!$H$10:$H$11</definedName>
    <definedName name="акт_отб_фев" localSheetId="7">'Пакеты 2019'!$H$11:$H$12</definedName>
    <definedName name="акт_отб_фев" localSheetId="2">'ПВХ 2019'!$H$11:$H$13</definedName>
    <definedName name="акт_отб_фев" localSheetId="3">'ПВХ липкое 2019'!$H$10:$H$11</definedName>
    <definedName name="акт_отб_фев" localSheetId="5">'Праймер ПЛ-М 2019'!$H$14:$H$15</definedName>
    <definedName name="акт_отб_фев" localSheetId="10">'Шаблон (шт.)'!$H$14:$H$18</definedName>
    <definedName name="акт_отб_фев" localSheetId="6">'Шпули 2019'!$H$14:$H$18</definedName>
    <definedName name="акт_отб_фев">'Шаблон (кг.)'!$H$14:$H$18</definedName>
    <definedName name="акт_отб_янв" localSheetId="4">'Антиадгезив 2019'!$H$7:$H$11</definedName>
    <definedName name="акт_отб_янв" localSheetId="8">'Коробки 2019'!$H$7:$H$11</definedName>
    <definedName name="акт_отб_янв" localSheetId="1">'Мастика 2019'!$H$7:$H$7</definedName>
    <definedName name="акт_отб_янв" localSheetId="7">'Пакеты 2019'!$H$7:$H$8</definedName>
    <definedName name="акт_отб_янв" localSheetId="2">'ПВХ 2019'!$H$7:$H$8</definedName>
    <definedName name="акт_отб_янв" localSheetId="3">'ПВХ липкое 2019'!$H$7:$H$7</definedName>
    <definedName name="акт_отб_янв" localSheetId="5">'Праймер ПЛ-М 2019'!$H$7:$H$11</definedName>
    <definedName name="акт_отб_янв" localSheetId="10">'Шаблон (шт.)'!$H$7:$H$11</definedName>
    <definedName name="акт_отб_янв" localSheetId="6">'Шпули 2019'!$H$7:$H$11</definedName>
    <definedName name="акт_отб_янв">'Шаблон (кг.)'!$H$7:$H$11</definedName>
    <definedName name="апр_кол" localSheetId="4">'Антиадгезив 2019'!$E$30:$E$33</definedName>
    <definedName name="апр_кол" localSheetId="8">'Коробки 2019'!$E$30:$E$32</definedName>
    <definedName name="апр_кол" localSheetId="1">'Мастика 2019'!$E$21:$E$30</definedName>
    <definedName name="апр_кол" localSheetId="7">'Пакеты 2019'!$E$24:$E$25</definedName>
    <definedName name="апр_кол" localSheetId="2">'ПВХ 2019'!$E$24:$E$30</definedName>
    <definedName name="апр_кол" localSheetId="3">'ПВХ липкое 2019'!$E$23:$E$26</definedName>
    <definedName name="апр_кол" localSheetId="5">'Праймер ПЛ-М 2019'!$E$25:$E$29</definedName>
    <definedName name="апр_кол" localSheetId="10">'Шаблон (шт.)'!$E$31:$E$35</definedName>
    <definedName name="апр_кол" localSheetId="6">'Шпули 2019'!$E$30:$E$31</definedName>
    <definedName name="апр_кол">'Шаблон (кг.)'!$E$31:$E$35</definedName>
    <definedName name="апр_пр" localSheetId="4">'Антиадгезив 2019'!$C$30:$C$33</definedName>
    <definedName name="апр_пр" localSheetId="8">'Коробки 2019'!$C$30:$C$32</definedName>
    <definedName name="апр_пр" localSheetId="1">'Мастика 2019'!$C$21:$C$30</definedName>
    <definedName name="апр_пр" localSheetId="7">'Пакеты 2019'!$C$24:$C$25</definedName>
    <definedName name="апр_пр" localSheetId="2">'ПВХ 2019'!$C$24:$C$30</definedName>
    <definedName name="апр_пр" localSheetId="3">'ПВХ липкое 2019'!$C$23:$C$26</definedName>
    <definedName name="апр_пр" localSheetId="5">'Праймер ПЛ-М 2019'!$C$25:$C$29</definedName>
    <definedName name="апр_пр" localSheetId="10">'Шаблон (шт.)'!$C$31:$C$35</definedName>
    <definedName name="апр_пр" localSheetId="6">'Шпули 2019'!$C$30:$C$31</definedName>
    <definedName name="апр_пр">'Шаблон (кг.)'!$C$31:$C$35</definedName>
    <definedName name="дкб_кол" localSheetId="4">'Антиадгезив 2019'!$E$90:$E$94</definedName>
    <definedName name="дкб_кол" localSheetId="8">'Коробки 2019'!$E$84:$E$88</definedName>
    <definedName name="дкб_кол" localSheetId="1">'Мастика 2019'!$E$85:$E$89</definedName>
    <definedName name="дкб_кол" localSheetId="7">'Пакеты 2019'!$E$77:$E$81</definedName>
    <definedName name="дкб_кол" localSheetId="2">'ПВХ 2019'!$E$76:$E$77</definedName>
    <definedName name="дкб_кол" localSheetId="3">'ПВХ липкое 2019'!$E$83:$E$87</definedName>
    <definedName name="дкб_кол" localSheetId="5">'Праймер ПЛ-М 2019'!$E$89:$E$93</definedName>
    <definedName name="дкб_кол" localSheetId="10">'Шаблон (шт.)'!$E$95:$E$99</definedName>
    <definedName name="дкб_кол" localSheetId="6">'Шпули 2019'!$E$91:$E$95</definedName>
    <definedName name="дкб_кол">'Шаблон (кг.)'!$E$95:$E$99</definedName>
    <definedName name="дкб_пр" localSheetId="4">'Антиадгезив 2019'!$C$90:$C$94</definedName>
    <definedName name="дкб_пр" localSheetId="8">'Коробки 2019'!$C$84:$C$88</definedName>
    <definedName name="дкб_пр" localSheetId="1">'Мастика 2019'!$C$85:$C$89</definedName>
    <definedName name="дкб_пр" localSheetId="7">'Пакеты 2019'!$C$77:$C$81</definedName>
    <definedName name="дкб_пр" localSheetId="2">'ПВХ 2019'!$C$76:$C$77</definedName>
    <definedName name="дкб_пр" localSheetId="3">'ПВХ липкое 2019'!$C$83:$C$87</definedName>
    <definedName name="дкб_пр" localSheetId="5">'Праймер ПЛ-М 2019'!$C$89:$C$93</definedName>
    <definedName name="дкб_пр" localSheetId="10">'Шаблон (шт.)'!$C$95:$C$99</definedName>
    <definedName name="дкб_пр" localSheetId="6">'Шпули 2019'!$C$91:$C$95</definedName>
    <definedName name="дкб_пр">'Шаблон (кг.)'!$C$95:$C$99</definedName>
    <definedName name="июл_кол" localSheetId="4">'Антиадгезив 2019'!$E$55:$E$56</definedName>
    <definedName name="июл_кол" localSheetId="8">'Коробки 2019'!$E$46:$E$50</definedName>
    <definedName name="июл_кол" localSheetId="1">'Мастика 2019'!$E$52:$E$54</definedName>
    <definedName name="июл_кол" localSheetId="7">'Пакеты 2019'!$E$39:$E$43</definedName>
    <definedName name="июл_кол" localSheetId="2">'ПВХ 2019'!$E$49:$E$51</definedName>
    <definedName name="июл_кол" localSheetId="3">'ПВХ липкое 2019'!$E$48:$E$52</definedName>
    <definedName name="июл_кол" localSheetId="5">'Праймер ПЛ-М 2019'!$E$51:$E$55</definedName>
    <definedName name="июл_кол" localSheetId="10">'Шаблон (шт.)'!$E$56:$E$60</definedName>
    <definedName name="июл_кол" localSheetId="6">'Шпули 2019'!$E$53:$E$57</definedName>
    <definedName name="июл_кол">'Шаблон (кг.)'!$E$56:$E$60</definedName>
    <definedName name="июл_пр" localSheetId="4">'Антиадгезив 2019'!$C$55:$C$56</definedName>
    <definedName name="июл_пр" localSheetId="8">'Коробки 2019'!$C$46:$C$50</definedName>
    <definedName name="июл_пр" localSheetId="1">'Мастика 2019'!$C$52:$C$54</definedName>
    <definedName name="июл_пр" localSheetId="7">'Пакеты 2019'!$C$39:$C$43</definedName>
    <definedName name="июл_пр" localSheetId="2">'ПВХ 2019'!$C$49:$C$51</definedName>
    <definedName name="июл_пр" localSheetId="3">'ПВХ липкое 2019'!$C$48:$C$52</definedName>
    <definedName name="июл_пр" localSheetId="5">'Праймер ПЛ-М 2019'!$C$51:$C$55</definedName>
    <definedName name="июл_пр" localSheetId="10">'Шаблон (шт.)'!$C$56:$C$60</definedName>
    <definedName name="июл_пр" localSheetId="6">'Шпули 2019'!$C$53:$C$57</definedName>
    <definedName name="июл_пр">'Шаблон (кг.)'!$C$56:$C$60</definedName>
    <definedName name="июлл_кол">'Мастика 2019'!$E$50:$E$53</definedName>
    <definedName name="июлл_пр">'Мастика 2019'!$D$50:$D$53</definedName>
    <definedName name="июн_кол" localSheetId="4">'Антиадгезив 2019'!$E$43:$E$47</definedName>
    <definedName name="июн_кол" localSheetId="8">'Коробки 2019'!$E$38:$E$38</definedName>
    <definedName name="июн_кол" localSheetId="1">'Мастика 2019'!$E$39:$E$42</definedName>
    <definedName name="июн_кол" localSheetId="7">'Пакеты 2019'!$E$31:$E$31</definedName>
    <definedName name="июн_кол" localSheetId="2">'ПВХ 2019'!$E$39:$E$41</definedName>
    <definedName name="июн_кол" localSheetId="3">'ПВХ липкое 2019'!$E$36:$E$40</definedName>
    <definedName name="июн_кол" localSheetId="5">'Праймер ПЛ-М 2019'!$E$39:$E$43</definedName>
    <definedName name="июн_кол" localSheetId="10">'Шаблон (шт.)'!$E$45:$E$49</definedName>
    <definedName name="июн_кол" localSheetId="6">'Шпули 2019'!$E$41:$E$45</definedName>
    <definedName name="июн_кол">'Шаблон (кг.)'!$E$45:$E$49</definedName>
    <definedName name="июн_пр" localSheetId="4">'Антиадгезив 2019'!$C$43:$C$47</definedName>
    <definedName name="июн_пр" localSheetId="8">'Коробки 2019'!$C$38:$C$38</definedName>
    <definedName name="июн_пр" localSheetId="1">'Мастика 2019'!$C$39:$C$42</definedName>
    <definedName name="июн_пр" localSheetId="7">'Пакеты 2019'!$C$31:$C$31</definedName>
    <definedName name="июн_пр" localSheetId="2">'ПВХ 2019'!$C$39:$C$41</definedName>
    <definedName name="июн_пр" localSheetId="3">'ПВХ липкое 2019'!$C$36:$C$40</definedName>
    <definedName name="июн_пр" localSheetId="5">'Праймер ПЛ-М 2019'!$C$39:$C$43</definedName>
    <definedName name="июн_пр" localSheetId="10">'Шаблон (шт.)'!$C$45:$C$49</definedName>
    <definedName name="июн_пр" localSheetId="6">'Шпули 2019'!$C$41:$C$45</definedName>
    <definedName name="июн_пр">'Шаблон (кг.)'!$C$45:$C$49</definedName>
    <definedName name="кол_отб_авг" localSheetId="4">'Антиадгезив 2019'!$J$59:$J$63</definedName>
    <definedName name="кол_отб_авг" localSheetId="8">'Коробки 2019'!$J$53:$J$57</definedName>
    <definedName name="кол_отб_авг" localSheetId="1">'Мастика 2019'!$J$57:$J$61</definedName>
    <definedName name="кол_отб_авг" localSheetId="7">'Пакеты 2019'!$J$46:$J$50</definedName>
    <definedName name="кол_отб_авг" localSheetId="2">'ПВХ 2019'!$J$54:$J$55</definedName>
    <definedName name="кол_отб_авг" localSheetId="3">'ПВХ липкое 2019'!$J$55:$J$59</definedName>
    <definedName name="кол_отб_авг" localSheetId="5">'Праймер ПЛ-М 2019'!$J$58:$J$62</definedName>
    <definedName name="кол_отб_авг" localSheetId="10">'Шаблон (шт.)'!$J$63:$J$67</definedName>
    <definedName name="кол_отб_авг" localSheetId="6">'Шпули 2019'!$J$60:$J$64</definedName>
    <definedName name="кол_отб_авг">'Шаблон (кг.)'!$J$63:$J$67</definedName>
    <definedName name="кол_отб_апр" localSheetId="4">'Антиадгезив 2019'!$J$30:$J$33</definedName>
    <definedName name="кол_отб_апр" localSheetId="8">'Коробки 2019'!$J$30:$J$32</definedName>
    <definedName name="кол_отб_апр" localSheetId="1">'Мастика 2019'!$J$21:$J$30</definedName>
    <definedName name="кол_отб_апр" localSheetId="7">'Пакеты 2019'!$J$24:$J$25</definedName>
    <definedName name="кол_отб_апр" localSheetId="2">'ПВХ 2019'!$J$24:$J$30</definedName>
    <definedName name="кол_отб_апр" localSheetId="3">'ПВХ липкое 2019'!$J$23:$J$26</definedName>
    <definedName name="кол_отб_апр" localSheetId="5">'Праймер ПЛ-М 2019'!$J$25:$J$29</definedName>
    <definedName name="кол_отб_апр" localSheetId="10">'Шаблон (шт.)'!$J$31:$J$35</definedName>
    <definedName name="кол_отб_апр" localSheetId="6">'Шпули 2019'!$J$30:$J$31</definedName>
    <definedName name="кол_отб_апр">'Шаблон (кг.)'!$J$31:$J$35</definedName>
    <definedName name="кол_отб_дкб" localSheetId="4">'Антиадгезив 2019'!$J$90:$J$94</definedName>
    <definedName name="кол_отб_дкб" localSheetId="8">'Коробки 2019'!$J$84:$J$88</definedName>
    <definedName name="кол_отб_дкб" localSheetId="1">'Мастика 2019'!$J$85:$J$89</definedName>
    <definedName name="кол_отб_дкб" localSheetId="7">'Пакеты 2019'!$J$77:$J$81</definedName>
    <definedName name="кол_отб_дкб" localSheetId="2">'ПВХ 2019'!$J$76:$J$77</definedName>
    <definedName name="кол_отб_дкб" localSheetId="3">'ПВХ липкое 2019'!$J$83:$J$87</definedName>
    <definedName name="кол_отб_дкб" localSheetId="5">'Праймер ПЛ-М 2019'!$J$89:$J$93</definedName>
    <definedName name="кол_отб_дкб" localSheetId="10">'Шаблон (шт.)'!$J$95:$J$99</definedName>
    <definedName name="кол_отб_дкб" localSheetId="6">'Шпули 2019'!$J$91:$J$95</definedName>
    <definedName name="кол_отб_дкб">'Шаблон (кг.)'!$J$95:$J$99</definedName>
    <definedName name="кол_отб_июл" localSheetId="4">'Антиадгезив 2019'!$J$55:$J$56</definedName>
    <definedName name="кол_отб_июл" localSheetId="8">'Коробки 2019'!$J$46:$J$50</definedName>
    <definedName name="кол_отб_июл" localSheetId="1">'Мастика 2019'!$J$51:$J$54</definedName>
    <definedName name="кол_отб_июл" localSheetId="7">'Пакеты 2019'!$J$39:$J$43</definedName>
    <definedName name="кол_отб_июл" localSheetId="2">'ПВХ 2019'!$J$49:$J$51</definedName>
    <definedName name="кол_отб_июл" localSheetId="3">'ПВХ липкое 2019'!$J$48:$J$52</definedName>
    <definedName name="кол_отб_июл" localSheetId="5">'Праймер ПЛ-М 2019'!$J$51:$J$55</definedName>
    <definedName name="кол_отб_июл" localSheetId="10">'Шаблон (шт.)'!$J$56:$J$60</definedName>
    <definedName name="кол_отб_июл" localSheetId="6">'Шпули 2019'!$J$53:$J$57</definedName>
    <definedName name="кол_отб_июл">'Шаблон (кг.)'!$J$56:$J$60</definedName>
    <definedName name="кол_отб_июн" localSheetId="4">'Антиадгезив 2019'!$J$43:$J$47</definedName>
    <definedName name="кол_отб_июн" localSheetId="8">'Коробки 2019'!$J$38:$J$38</definedName>
    <definedName name="кол_отб_июн" localSheetId="1">'Мастика 2019'!$J$39:$J$42</definedName>
    <definedName name="кол_отб_июн" localSheetId="7">'Пакеты 2019'!$J$31:$J$31</definedName>
    <definedName name="кол_отб_июн" localSheetId="2">'ПВХ 2019'!$J$39:$J$41</definedName>
    <definedName name="кол_отб_июн" localSheetId="3">'ПВХ липкое 2019'!$J$36:$J$40</definedName>
    <definedName name="кол_отб_июн" localSheetId="5">'Праймер ПЛ-М 2019'!$J$39:$J$43</definedName>
    <definedName name="кол_отб_июн" localSheetId="10">'Шаблон (шт.)'!$J$45:$J$49</definedName>
    <definedName name="кол_отб_июн" localSheetId="6">'Шпули 2019'!$J$41:$J$45</definedName>
    <definedName name="кол_отб_июн">'Шаблон (кг.)'!$J$45:$J$49</definedName>
    <definedName name="кол_отб_май" localSheetId="4">'Антиадгезив 2019'!$J$36:$J$40</definedName>
    <definedName name="кол_отб_май" localSheetId="8">'Коробки 2019'!$J$35:$J$35</definedName>
    <definedName name="кол_отб_май" localSheetId="1">'Мастика 2019'!$J$33:$J$36</definedName>
    <definedName name="кол_отб_май" localSheetId="7">'Пакеты 2019'!$J$28:$J$28</definedName>
    <definedName name="кол_отб_май" localSheetId="2">'ПВХ 2019'!$J$33:$J$36</definedName>
    <definedName name="кол_отб_май" localSheetId="3">'ПВХ липкое 2019'!$J$29:$J$33</definedName>
    <definedName name="кол_отб_май" localSheetId="5">'Праймер ПЛ-М 2019'!$J$32:$J$36</definedName>
    <definedName name="кол_отб_май" localSheetId="10">'Шаблон (шт.)'!$J$38:$J$42</definedName>
    <definedName name="кол_отб_май" localSheetId="6">'Шпули 2019'!$J$34:$J$38</definedName>
    <definedName name="кол_отб_май">'Шаблон (кг.)'!$J$38:$J$42</definedName>
    <definedName name="кол_отб_мрт" localSheetId="4">'Антиадгезив 2019'!$J$21:$J$25</definedName>
    <definedName name="кол_отб_мрт" localSheetId="8">'Коробки 2019'!$J$21:$J$25</definedName>
    <definedName name="кол_отб_мрт" localSheetId="1">'Мастика 2019'!$J$14:$J$16</definedName>
    <definedName name="кол_отб_мрт" localSheetId="7">'Пакеты 2019'!$J$15:$J$19</definedName>
    <definedName name="кол_отб_мрт" localSheetId="2">'ПВХ 2019'!$J$16:$J$19</definedName>
    <definedName name="кол_отб_мрт" localSheetId="3">'ПВХ липкое 2019'!$J$14:$J$18</definedName>
    <definedName name="кол_отб_мрт" localSheetId="5">'Праймер ПЛ-М 2019'!$J$18:$J$20</definedName>
    <definedName name="кол_отб_мрт" localSheetId="10">'Шаблон (шт.)'!$J$21:$J$25</definedName>
    <definedName name="кол_отб_мрт" localSheetId="6">'Шпули 2019'!$J$21:$J$25</definedName>
    <definedName name="кол_отб_мрт">'Шаблон (кг.)'!$J$21:$J$25</definedName>
    <definedName name="кол_отб_нбр" localSheetId="4">'Антиадгезив 2019'!$J$83:$J$87</definedName>
    <definedName name="кол_отб_нбр" localSheetId="8">'Коробки 2019'!$J$77:$J$81</definedName>
    <definedName name="кол_отб_нбр" localSheetId="1">'Мастика 2019'!$J$78:$J$82</definedName>
    <definedName name="кол_отб_нбр" localSheetId="7">'Пакеты 2019'!$J$70:$J$74</definedName>
    <definedName name="кол_отб_нбр" localSheetId="2">'ПВХ 2019'!$J$71:$J$73</definedName>
    <definedName name="кол_отб_нбр" localSheetId="3">'ПВХ липкое 2019'!$J$76:$J$80</definedName>
    <definedName name="кол_отб_нбр" localSheetId="5">'Праймер ПЛ-М 2019'!$J$82:$J$86</definedName>
    <definedName name="кол_отб_нбр" localSheetId="10">'Шаблон (шт.)'!$J$88:$J$92</definedName>
    <definedName name="кол_отб_нбр" localSheetId="6">'Шпули 2019'!$J$84:$J$88</definedName>
    <definedName name="кол_отб_нбр">'Шаблон (кг.)'!$J$88:$J$92</definedName>
    <definedName name="кол_отб_окт" localSheetId="4">'Антиадгезив 2019'!$J$76:$J$80</definedName>
    <definedName name="кол_отб_окт" localSheetId="8">'Коробки 2019'!$J$70:$J$74</definedName>
    <definedName name="кол_отб_окт" localSheetId="1">'Мастика 2019'!$J$71:$J$75</definedName>
    <definedName name="кол_отб_окт" localSheetId="7">'Пакеты 2019'!$J$63:$J$67</definedName>
    <definedName name="кол_отб_окт" localSheetId="2">'ПВХ 2019'!$J$66:$J$68</definedName>
    <definedName name="кол_отб_окт" localSheetId="3">'ПВХ липкое 2019'!$J$69:$J$73</definedName>
    <definedName name="кол_отб_окт" localSheetId="5">'Праймер ПЛ-М 2019'!$J$75:$J$79</definedName>
    <definedName name="кол_отб_окт" localSheetId="10">'Шаблон (шт.)'!$J$81:$J$85</definedName>
    <definedName name="кол_отб_окт" localSheetId="6">'Шпули 2019'!$J$77:$J$81</definedName>
    <definedName name="кол_отб_окт">'Шаблон (кг.)'!$J$81:$J$85</definedName>
    <definedName name="кол_отб_снт" localSheetId="4">'Антиадгезив 2019'!$J$66:$J$70</definedName>
    <definedName name="кол_отб_снт" localSheetId="8">'Коробки 2019'!$J$60:$J$64</definedName>
    <definedName name="кол_отб_снт" localSheetId="1">'Мастика 2019'!$J$64:$J$65</definedName>
    <definedName name="кол_отб_снт" localSheetId="7">'Пакеты 2019'!$J$53:$J$57</definedName>
    <definedName name="кол_отб_снт" localSheetId="2">'ПВХ 2019'!$J$58:$J$60</definedName>
    <definedName name="кол_отб_снт" localSheetId="3">'ПВХ липкое 2019'!$J$62:$J$63</definedName>
    <definedName name="кол_отб_снт" localSheetId="5">'Праймер ПЛ-М 2019'!$J$65:$J$69</definedName>
    <definedName name="кол_отб_снт" localSheetId="10">'Шаблон (шт.)'!$J$70:$J$74</definedName>
    <definedName name="кол_отб_снт" localSheetId="6">'Шпули 2019'!$J$67:$J$71</definedName>
    <definedName name="кол_отб_снт">'Шаблон (кг.)'!$J$70:$J$74</definedName>
    <definedName name="кол_отб_фев" localSheetId="4">'Антиадгезив 2019'!$J$14:$J$18</definedName>
    <definedName name="кол_отб_фев" localSheetId="8">'Коробки 2019'!$J$14:$J$18</definedName>
    <definedName name="кол_отб_фев" localSheetId="1">'Мастика 2019'!$J$10:$J$11</definedName>
    <definedName name="кол_отб_фев" localSheetId="7">'Пакеты 2019'!$J$11:$J$12</definedName>
    <definedName name="кол_отб_фев" localSheetId="2">'ПВХ 2019'!$J$11:$J$13</definedName>
    <definedName name="кол_отб_фев" localSheetId="3">'ПВХ липкое 2019'!$J$10:$J$11</definedName>
    <definedName name="кол_отб_фев" localSheetId="5">'Праймер ПЛ-М 2019'!$J$14:$J$15</definedName>
    <definedName name="кол_отб_фев" localSheetId="10">'Шаблон (шт.)'!$J$14:$J$18</definedName>
    <definedName name="кол_отб_фев" localSheetId="6">'Шпули 2019'!$J$14:$J$18</definedName>
    <definedName name="кол_отб_фев">'Шаблон (кг.)'!$J$14:$J$18</definedName>
    <definedName name="кол_отб_янв" localSheetId="4">'Антиадгезив 2019'!$J$7:$J$11</definedName>
    <definedName name="кол_отб_янв" localSheetId="8">'Коробки 2019'!$J$7:$J$11</definedName>
    <definedName name="кол_отб_янв" localSheetId="1">'Мастика 2019'!$J$7:$J$7</definedName>
    <definedName name="кол_отб_янв" localSheetId="7">'Пакеты 2019'!$J$7:$J$8</definedName>
    <definedName name="кол_отб_янв" localSheetId="2">'ПВХ 2019'!$J$7:$J$8</definedName>
    <definedName name="кол_отб_янв" localSheetId="3">'ПВХ липкое 2019'!$J$7:$J$7</definedName>
    <definedName name="кол_отб_янв" localSheetId="5">'Праймер ПЛ-М 2019'!$J$7:$J$11</definedName>
    <definedName name="кол_отб_янв" localSheetId="10">'Шаблон (шт.)'!$J$7:$J$11</definedName>
    <definedName name="кол_отб_янв" localSheetId="6">'Шпули 2019'!$J$7:$J$11</definedName>
    <definedName name="кол_отб_янв">'Шаблон (кг.)'!$J$7:$J$11</definedName>
    <definedName name="май_кол" localSheetId="4">'Антиадгезив 2019'!$E$36:$E$40</definedName>
    <definedName name="май_кол" localSheetId="8">'Коробки 2019'!$E$35:$E$35</definedName>
    <definedName name="май_кол" localSheetId="1">'Мастика 2019'!$E$33:$E$36</definedName>
    <definedName name="май_кол" localSheetId="7">'Пакеты 2019'!$E$28:$E$28</definedName>
    <definedName name="май_кол" localSheetId="2">'ПВХ 2019'!$E$33:$E$36</definedName>
    <definedName name="май_кол" localSheetId="3">'ПВХ липкое 2019'!$E$29:$E$33</definedName>
    <definedName name="май_кол" localSheetId="5">'Праймер ПЛ-М 2019'!$E$32:$E$36</definedName>
    <definedName name="май_кол" localSheetId="10">'Шаблон (шт.)'!$E$38:$E$42</definedName>
    <definedName name="май_кол" localSheetId="6">'Шпули 2019'!$E$34:$E$38</definedName>
    <definedName name="май_кол">'Шаблон (кг.)'!$E$38:$E$42</definedName>
    <definedName name="май_пр" localSheetId="4">'Антиадгезив 2019'!$C$36:$C$40</definedName>
    <definedName name="май_пр" localSheetId="8">'Коробки 2019'!$C$35:$C$35</definedName>
    <definedName name="май_пр" localSheetId="1">'Мастика 2019'!$C$33:$C$36</definedName>
    <definedName name="май_пр" localSheetId="7">'Пакеты 2019'!$C$28:$C$28</definedName>
    <definedName name="май_пр" localSheetId="2">'ПВХ 2019'!$C$33:$C$36</definedName>
    <definedName name="май_пр" localSheetId="3">'ПВХ липкое 2019'!$C$29:$C$33</definedName>
    <definedName name="май_пр" localSheetId="5">'Праймер ПЛ-М 2019'!$C$32:$C$36</definedName>
    <definedName name="май_пр" localSheetId="10">'Шаблон (шт.)'!$C$38:$C$42</definedName>
    <definedName name="май_пр" localSheetId="6">'Шпули 2019'!$C$34:$C$38</definedName>
    <definedName name="май_пр">'Шаблон (кг.)'!$C$38:$C$42</definedName>
    <definedName name="мрт_кол" localSheetId="4">'Антиадгезив 2019'!$E$21:$E$25</definedName>
    <definedName name="мрт_кол" localSheetId="8">'Коробки 2019'!$E$21:$E$25</definedName>
    <definedName name="мрт_кол" localSheetId="1">'Мастика 2019'!$E$14:$E$16</definedName>
    <definedName name="мрт_кол" localSheetId="7">'Пакеты 2019'!$E$15:$E$19</definedName>
    <definedName name="мрт_кол" localSheetId="2">'ПВХ 2019'!$E$16:$E$19</definedName>
    <definedName name="мрт_кол" localSheetId="3">'ПВХ липкое 2019'!$E$14:$E$18</definedName>
    <definedName name="мрт_кол" localSheetId="5">'Праймер ПЛ-М 2019'!$E$18:$E$20</definedName>
    <definedName name="мрт_кол" localSheetId="10">'Шаблон (шт.)'!$E$21:$E$25</definedName>
    <definedName name="мрт_кол" localSheetId="6">'Шпули 2019'!$E$21:$E$25</definedName>
    <definedName name="мрт_кол">'Шаблон (кг.)'!$E$21:$E$25</definedName>
    <definedName name="мрт_пр" localSheetId="4">'Антиадгезив 2019'!$C$21:$C$25</definedName>
    <definedName name="мрт_пр" localSheetId="8">'Коробки 2019'!$C$21:$C$25</definedName>
    <definedName name="мрт_пр" localSheetId="1">'Мастика 2019'!$C$14:$C$16</definedName>
    <definedName name="мрт_пр" localSheetId="7">'Пакеты 2019'!$C$15:$C$19</definedName>
    <definedName name="мрт_пр" localSheetId="2">'ПВХ 2019'!$C$16:$C$19</definedName>
    <definedName name="мрт_пр" localSheetId="3">'ПВХ липкое 2019'!$C$14:$C$18</definedName>
    <definedName name="мрт_пр" localSheetId="5">'Праймер ПЛ-М 2019'!$C$18:$C$20</definedName>
    <definedName name="мрт_пр" localSheetId="10">'Шаблон (шт.)'!$C$21:$C$25</definedName>
    <definedName name="мрт_пр" localSheetId="6">'Шпули 2019'!$C$21:$C$25</definedName>
    <definedName name="мрт_пр">'Шаблон (кг.)'!$C$21:$C$25</definedName>
    <definedName name="нбр_кол" localSheetId="4">'Антиадгезив 2019'!$E$83:$E$87</definedName>
    <definedName name="нбр_кол" localSheetId="8">'Коробки 2019'!$E$77:$E$81</definedName>
    <definedName name="нбр_кол" localSheetId="1">'Мастика 2019'!$E$78:$E$82</definedName>
    <definedName name="нбр_кол" localSheetId="7">'Пакеты 2019'!$E$70:$E$74</definedName>
    <definedName name="нбр_кол" localSheetId="2">'ПВХ 2019'!$E$71:$E$73</definedName>
    <definedName name="нбр_кол" localSheetId="3">'ПВХ липкое 2019'!$E$76:$E$80</definedName>
    <definedName name="нбр_кол" localSheetId="5">'Праймер ПЛ-М 2019'!$E$82:$E$86</definedName>
    <definedName name="нбр_кол" localSheetId="10">'Шаблон (шт.)'!$E$88:$E$92</definedName>
    <definedName name="нбр_кол" localSheetId="6">'Шпули 2019'!$E$84:$E$88</definedName>
    <definedName name="нбр_кол">'Шаблон (кг.)'!$E$88:$E$92</definedName>
    <definedName name="нбр_пр" localSheetId="4">'Антиадгезив 2019'!$C$83:$C$87</definedName>
    <definedName name="нбр_пр" localSheetId="8">'Коробки 2019'!$C$77:$C$81</definedName>
    <definedName name="нбр_пр" localSheetId="1">'Мастика 2019'!$C$78:$C$82</definedName>
    <definedName name="нбр_пр" localSheetId="7">'Пакеты 2019'!$C$70:$C$74</definedName>
    <definedName name="нбр_пр" localSheetId="2">'ПВХ 2019'!$C$71:$C$73</definedName>
    <definedName name="нбр_пр" localSheetId="3">'ПВХ липкое 2019'!$C$76:$C$80</definedName>
    <definedName name="нбр_пр" localSheetId="5">'Праймер ПЛ-М 2019'!$C$82:$C$86</definedName>
    <definedName name="нбр_пр" localSheetId="10">'Шаблон (шт.)'!$C$88:$C$92</definedName>
    <definedName name="нбр_пр" localSheetId="6">'Шпули 2019'!$C$84:$C$88</definedName>
    <definedName name="нбр_пр">'Шаблон (кг.)'!$C$88:$C$92</definedName>
    <definedName name="окт_кол" localSheetId="4">'Антиадгезив 2019'!$E$76:$E$80</definedName>
    <definedName name="окт_кол" localSheetId="8">'Коробки 2019'!$E$70:$E$74</definedName>
    <definedName name="окт_кол" localSheetId="1">'Мастика 2019'!$E$71:$E$75</definedName>
    <definedName name="окт_кол" localSheetId="7">'Пакеты 2019'!$E$63:$E$67</definedName>
    <definedName name="окт_кол" localSheetId="2">'ПВХ 2019'!$E$66:$E$68</definedName>
    <definedName name="окт_кол" localSheetId="3">'ПВХ липкое 2019'!$E$69:$E$73</definedName>
    <definedName name="окт_кол" localSheetId="5">'Праймер ПЛ-М 2019'!$E$75:$E$79</definedName>
    <definedName name="окт_кол" localSheetId="10">'Шаблон (шт.)'!$E$81:$E$85</definedName>
    <definedName name="окт_кол" localSheetId="6">'Шпули 2019'!$E$77:$E$81</definedName>
    <definedName name="окт_кол">'Шаблон (кг.)'!$E$81:$E$85</definedName>
    <definedName name="окт_пр" localSheetId="4">'Антиадгезив 2019'!$C$76:$C$80</definedName>
    <definedName name="окт_пр" localSheetId="8">'Коробки 2019'!$C$70:$C$74</definedName>
    <definedName name="окт_пр" localSheetId="1">'Мастика 2019'!$C$71:$C$75</definedName>
    <definedName name="окт_пр" localSheetId="7">'Пакеты 2019'!$C$63:$C$67</definedName>
    <definedName name="окт_пр" localSheetId="2">'ПВХ 2019'!$C$66:$C$68</definedName>
    <definedName name="окт_пр" localSheetId="3">'ПВХ липкое 2019'!$C$69:$C$73</definedName>
    <definedName name="окт_пр" localSheetId="5">'Праймер ПЛ-М 2019'!$C$75:$C$79</definedName>
    <definedName name="окт_пр" localSheetId="10">'Шаблон (шт.)'!$C$81:$C$85</definedName>
    <definedName name="окт_пр" localSheetId="6">'Шпули 2019'!$C$77:$C$81</definedName>
    <definedName name="окт_пр">'Шаблон (кг.)'!$C$81:$C$85</definedName>
    <definedName name="снт_кол" localSheetId="4">'Антиадгезив 2019'!$E$66:$E$70</definedName>
    <definedName name="снт_кол" localSheetId="8">'Коробки 2019'!$E$60:$E$64</definedName>
    <definedName name="снт_кол" localSheetId="1">'Мастика 2019'!$E$64:$E$65</definedName>
    <definedName name="снт_кол" localSheetId="7">'Пакеты 2019'!$E$53:$E$57</definedName>
    <definedName name="снт_кол" localSheetId="2">'ПВХ 2019'!$E$58:$E$60</definedName>
    <definedName name="снт_кол" localSheetId="3">'ПВХ липкое 2019'!$E$62:$E$63</definedName>
    <definedName name="снт_кол" localSheetId="5">'Праймер ПЛ-М 2019'!$E$65:$E$69</definedName>
    <definedName name="снт_кол" localSheetId="10">'Шаблон (шт.)'!$E$70:$E$74</definedName>
    <definedName name="снт_кол" localSheetId="6">'Шпули 2019'!$E$67:$E$71</definedName>
    <definedName name="снт_кол">'Шаблон (кг.)'!$E$70:$E$74</definedName>
    <definedName name="снт_пр" localSheetId="4">'Антиадгезив 2019'!$C$66:$C$70</definedName>
    <definedName name="снт_пр" localSheetId="8">'Коробки 2019'!$C$60:$C$64</definedName>
    <definedName name="снт_пр" localSheetId="1">'Мастика 2019'!$C$64:$C$65</definedName>
    <definedName name="снт_пр" localSheetId="7">'Пакеты 2019'!$C$53:$C$57</definedName>
    <definedName name="снт_пр" localSheetId="2">'ПВХ 2019'!$C$58:$C$60</definedName>
    <definedName name="снт_пр" localSheetId="3">'ПВХ липкое 2019'!$C$62:$C$63</definedName>
    <definedName name="снт_пр" localSheetId="5">'Праймер ПЛ-М 2019'!$C$65:$C$69</definedName>
    <definedName name="снт_пр" localSheetId="10">'Шаблон (шт.)'!$C$70:$C$74</definedName>
    <definedName name="снт_пр" localSheetId="6">'Шпули 2019'!$C$67:$C$71</definedName>
    <definedName name="снт_пр">'Шаблон (кг.)'!$C$70:$C$74</definedName>
    <definedName name="фев_кол" localSheetId="4">'Антиадгезив 2019'!$E$14:$E$18</definedName>
    <definedName name="фев_кол" localSheetId="8">'Коробки 2019'!$E$14:$E$18</definedName>
    <definedName name="фев_кол" localSheetId="1">'Мастика 2019'!$E$10:$E$11</definedName>
    <definedName name="фев_кол" localSheetId="7">'Пакеты 2019'!$E$11:$E$12</definedName>
    <definedName name="фев_кол" localSheetId="2">'ПВХ 2019'!$E$11:$E$13</definedName>
    <definedName name="фев_кол" localSheetId="3">'ПВХ липкое 2019'!$E$10:$E$11</definedName>
    <definedName name="фев_кол" localSheetId="5">'Праймер ПЛ-М 2019'!$E$14:$E$15</definedName>
    <definedName name="фев_кол" localSheetId="10">'Шаблон (шт.)'!$E$14:$E$18</definedName>
    <definedName name="фев_кол" localSheetId="6">'Шпули 2019'!$E$14:$E$18</definedName>
    <definedName name="фев_кол">'Шаблон (кг.)'!$E$14:$E$18</definedName>
    <definedName name="фев_пр" localSheetId="4">'Антиадгезив 2019'!$C$14:$C$18</definedName>
    <definedName name="фев_пр" localSheetId="8">'Коробки 2019'!$C$14:$C$18</definedName>
    <definedName name="фев_пр" localSheetId="1">'Мастика 2019'!$C$10:$C$11</definedName>
    <definedName name="фев_пр" localSheetId="7">'Пакеты 2019'!$C$11:$C$12</definedName>
    <definedName name="фев_пр" localSheetId="2">'ПВХ 2019'!$C$11:$C$13</definedName>
    <definedName name="фев_пр" localSheetId="3">'ПВХ липкое 2019'!$C$10:$C$11</definedName>
    <definedName name="фев_пр" localSheetId="5">'Праймер ПЛ-М 2019'!$C$14:$C$15</definedName>
    <definedName name="фев_пр" localSheetId="10">'Шаблон (шт.)'!$C$14:$C$18</definedName>
    <definedName name="фев_пр" localSheetId="6">'Шпули 2019'!$C$14:$C$18</definedName>
    <definedName name="фев_пр">'Шаблон (кг.)'!$C$14:$C$18</definedName>
    <definedName name="янв_кол" localSheetId="4">'Антиадгезив 2019'!$E$7:$E$11</definedName>
    <definedName name="янв_кол" localSheetId="8">'Коробки 2019'!$E$7:$E$11</definedName>
    <definedName name="янв_кол" localSheetId="1">'Мастика 2019'!$E$7:$E$7</definedName>
    <definedName name="янв_кол" localSheetId="7">'Пакеты 2019'!$E$7:$E$8</definedName>
    <definedName name="янв_кол" localSheetId="2">'ПВХ 2019'!$E$7:$E$8</definedName>
    <definedName name="янв_кол" localSheetId="3">'ПВХ липкое 2019'!$E$7:$E$7</definedName>
    <definedName name="янв_кол" localSheetId="5">'Праймер ПЛ-М 2019'!$E$7:$E$11</definedName>
    <definedName name="янв_кол" localSheetId="10">'Шаблон (шт.)'!$E$7:$E$11</definedName>
    <definedName name="янв_кол" localSheetId="6">'Шпули 2019'!$E$7:$E$11</definedName>
    <definedName name="янв_кол">'Шаблон (кг.)'!$E$7:$E$11</definedName>
    <definedName name="янв_пр" localSheetId="4">'Антиадгезив 2019'!$C$7:$C$11</definedName>
    <definedName name="янв_пр" localSheetId="8">'Коробки 2019'!$C$7:$C$11</definedName>
    <definedName name="янв_пр" localSheetId="1">'Мастика 2019'!$C$7:$C$7</definedName>
    <definedName name="янв_пр" localSheetId="7">'Пакеты 2019'!$C$7:$C$8</definedName>
    <definedName name="янв_пр" localSheetId="2">'ПВХ 2019'!$C$7:$C$8</definedName>
    <definedName name="янв_пр" localSheetId="3">'ПВХ липкое 2019'!$C$7:$C$7</definedName>
    <definedName name="янв_пр" localSheetId="5">'Праймер ПЛ-М 2019'!$C$7:$C$11</definedName>
    <definedName name="янв_пр" localSheetId="10">'Шаблон (шт.)'!$C$7:$C$11</definedName>
    <definedName name="янв_пр" localSheetId="6">'Шпули 2019'!$C$7:$C$11</definedName>
    <definedName name="янв_пр">'Шаблон (кг.)'!$C$7:$C$11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2" i="5" l="1"/>
  <c r="D55" i="5" l="1"/>
  <c r="E55" i="5"/>
  <c r="F9" i="13" l="1"/>
  <c r="E44" i="13" l="1"/>
  <c r="F31" i="8" l="1"/>
  <c r="F37" i="8"/>
  <c r="F42" i="8"/>
  <c r="C55" i="5" l="1"/>
  <c r="F55" i="5"/>
  <c r="J55" i="5"/>
  <c r="E34" i="9" l="1"/>
  <c r="J100" i="17" l="1"/>
  <c r="F100" i="17"/>
  <c r="E100" i="17"/>
  <c r="D100" i="17"/>
  <c r="C100" i="17"/>
  <c r="J93" i="17"/>
  <c r="F93" i="17"/>
  <c r="E93" i="17"/>
  <c r="D93" i="17"/>
  <c r="C93" i="17"/>
  <c r="J86" i="17"/>
  <c r="F86" i="17"/>
  <c r="F101" i="17" s="1"/>
  <c r="E86" i="17"/>
  <c r="D86" i="17"/>
  <c r="D101" i="17" s="1"/>
  <c r="C86" i="17"/>
  <c r="J75" i="17"/>
  <c r="F75" i="17"/>
  <c r="E75" i="17"/>
  <c r="D75" i="17"/>
  <c r="C75" i="17"/>
  <c r="J68" i="17"/>
  <c r="F68" i="17"/>
  <c r="E68" i="17"/>
  <c r="D68" i="17"/>
  <c r="C68" i="17"/>
  <c r="J61" i="17"/>
  <c r="J76" i="17" s="1"/>
  <c r="F61" i="17"/>
  <c r="E61" i="17"/>
  <c r="E76" i="17" s="1"/>
  <c r="D61" i="17"/>
  <c r="C61" i="17"/>
  <c r="J50" i="17"/>
  <c r="F50" i="17"/>
  <c r="E50" i="17"/>
  <c r="D50" i="17"/>
  <c r="C50" i="17"/>
  <c r="J43" i="17"/>
  <c r="F43" i="17"/>
  <c r="E43" i="17"/>
  <c r="D43" i="17"/>
  <c r="C43" i="17"/>
  <c r="J36" i="17"/>
  <c r="F36" i="17"/>
  <c r="F51" i="17" s="1"/>
  <c r="E36" i="17"/>
  <c r="D36" i="17"/>
  <c r="D51" i="17" s="1"/>
  <c r="C36" i="17"/>
  <c r="J26" i="17"/>
  <c r="F26" i="17"/>
  <c r="E26" i="17"/>
  <c r="D26" i="17"/>
  <c r="C26" i="17"/>
  <c r="J19" i="17"/>
  <c r="F19" i="17"/>
  <c r="E19" i="17"/>
  <c r="D19" i="17"/>
  <c r="C19" i="17"/>
  <c r="J12" i="17"/>
  <c r="J27" i="17" s="1"/>
  <c r="F12" i="17"/>
  <c r="E12" i="17"/>
  <c r="E27" i="17" s="1"/>
  <c r="D12" i="17"/>
  <c r="C12" i="17"/>
  <c r="C31" i="5"/>
  <c r="D31" i="5"/>
  <c r="E31" i="5"/>
  <c r="D27" i="17" l="1"/>
  <c r="F27" i="17"/>
  <c r="F52" i="17" s="1"/>
  <c r="F77" i="17" s="1"/>
  <c r="E51" i="17"/>
  <c r="J51" i="17"/>
  <c r="I51" i="17" s="1"/>
  <c r="D76" i="17"/>
  <c r="F76" i="17"/>
  <c r="H76" i="17" s="1"/>
  <c r="E101" i="17"/>
  <c r="J101" i="17"/>
  <c r="I101" i="17" s="1"/>
  <c r="I27" i="17"/>
  <c r="H51" i="17"/>
  <c r="I76" i="17"/>
  <c r="H101" i="17"/>
  <c r="D52" i="17"/>
  <c r="D77" i="17" s="1"/>
  <c r="D102" i="17" s="1"/>
  <c r="H27" i="17"/>
  <c r="E52" i="17"/>
  <c r="E77" i="17" s="1"/>
  <c r="E102" i="17" s="1"/>
  <c r="J52" i="17"/>
  <c r="J77" i="17" s="1"/>
  <c r="J102" i="17" s="1"/>
  <c r="E12" i="16"/>
  <c r="I102" i="17" l="1"/>
  <c r="I77" i="17"/>
  <c r="H77" i="17"/>
  <c r="I52" i="17"/>
  <c r="F102" i="17"/>
  <c r="H102" i="17" s="1"/>
  <c r="H52" i="17"/>
  <c r="E26" i="13"/>
  <c r="J89" i="16" l="1"/>
  <c r="F89" i="16"/>
  <c r="E89" i="16"/>
  <c r="D89" i="16"/>
  <c r="C89" i="16"/>
  <c r="J82" i="16"/>
  <c r="F82" i="16"/>
  <c r="E82" i="16"/>
  <c r="D82" i="16"/>
  <c r="C82" i="16"/>
  <c r="J75" i="16"/>
  <c r="F75" i="16"/>
  <c r="E75" i="16"/>
  <c r="D75" i="16"/>
  <c r="C75" i="16"/>
  <c r="J65" i="16"/>
  <c r="F65" i="16"/>
  <c r="E65" i="16"/>
  <c r="D65" i="16"/>
  <c r="C65" i="16"/>
  <c r="J58" i="16"/>
  <c r="F58" i="16"/>
  <c r="E58" i="16"/>
  <c r="D58" i="16"/>
  <c r="C58" i="16"/>
  <c r="J51" i="16"/>
  <c r="F51" i="16"/>
  <c r="E51" i="16"/>
  <c r="D51" i="16"/>
  <c r="C51" i="16"/>
  <c r="J39" i="16"/>
  <c r="F39" i="16"/>
  <c r="E39" i="16"/>
  <c r="D39" i="16"/>
  <c r="C39" i="16"/>
  <c r="J36" i="16"/>
  <c r="F36" i="16"/>
  <c r="E36" i="16"/>
  <c r="D36" i="16"/>
  <c r="C36" i="16"/>
  <c r="J33" i="16"/>
  <c r="F33" i="16"/>
  <c r="E33" i="16"/>
  <c r="D33" i="16"/>
  <c r="C33" i="16"/>
  <c r="J26" i="16"/>
  <c r="F26" i="16"/>
  <c r="E26" i="16"/>
  <c r="D26" i="16"/>
  <c r="C26" i="16"/>
  <c r="J19" i="16"/>
  <c r="F19" i="16"/>
  <c r="E19" i="16"/>
  <c r="D19" i="16"/>
  <c r="C19" i="16"/>
  <c r="J12" i="16"/>
  <c r="F12" i="16"/>
  <c r="D12" i="16"/>
  <c r="C12" i="16"/>
  <c r="D40" i="16" l="1"/>
  <c r="F40" i="16"/>
  <c r="E66" i="16"/>
  <c r="J66" i="16"/>
  <c r="D90" i="16"/>
  <c r="F90" i="16"/>
  <c r="E40" i="16"/>
  <c r="J40" i="16"/>
  <c r="D66" i="16"/>
  <c r="F66" i="16"/>
  <c r="E90" i="16"/>
  <c r="J90" i="16"/>
  <c r="F27" i="16"/>
  <c r="D27" i="16"/>
  <c r="E27" i="16"/>
  <c r="E41" i="16" s="1"/>
  <c r="E67" i="16" s="1"/>
  <c r="E91" i="16" s="1"/>
  <c r="J27" i="16"/>
  <c r="J41" i="16" s="1"/>
  <c r="J94" i="15"/>
  <c r="F94" i="15"/>
  <c r="E94" i="15"/>
  <c r="D94" i="15"/>
  <c r="C94" i="15"/>
  <c r="J87" i="15"/>
  <c r="F87" i="15"/>
  <c r="E87" i="15"/>
  <c r="D87" i="15"/>
  <c r="C87" i="15"/>
  <c r="J80" i="15"/>
  <c r="F80" i="15"/>
  <c r="E80" i="15"/>
  <c r="D80" i="15"/>
  <c r="C80" i="15"/>
  <c r="J70" i="15"/>
  <c r="F70" i="15"/>
  <c r="E70" i="15"/>
  <c r="D70" i="15"/>
  <c r="C70" i="15"/>
  <c r="J63" i="15"/>
  <c r="F63" i="15"/>
  <c r="E63" i="15"/>
  <c r="D63" i="15"/>
  <c r="C63" i="15"/>
  <c r="J56" i="15"/>
  <c r="F56" i="15"/>
  <c r="E56" i="15"/>
  <c r="D56" i="15"/>
  <c r="C56" i="15"/>
  <c r="J44" i="15"/>
  <c r="F44" i="15"/>
  <c r="E44" i="15"/>
  <c r="D44" i="15"/>
  <c r="C44" i="15"/>
  <c r="J37" i="15"/>
  <c r="F37" i="15"/>
  <c r="E37" i="15"/>
  <c r="D37" i="15"/>
  <c r="C37" i="15"/>
  <c r="J30" i="15"/>
  <c r="F30" i="15"/>
  <c r="E30" i="15"/>
  <c r="D30" i="15"/>
  <c r="C30" i="15"/>
  <c r="J21" i="15"/>
  <c r="F21" i="15"/>
  <c r="E21" i="15"/>
  <c r="D21" i="15"/>
  <c r="C21" i="15"/>
  <c r="J16" i="15"/>
  <c r="F16" i="15"/>
  <c r="E16" i="15"/>
  <c r="D16" i="15"/>
  <c r="C16" i="15"/>
  <c r="J12" i="15"/>
  <c r="F12" i="15"/>
  <c r="E12" i="15"/>
  <c r="D12" i="15"/>
  <c r="C12" i="15"/>
  <c r="E26" i="12"/>
  <c r="J82" i="13"/>
  <c r="F82" i="13"/>
  <c r="E82" i="13"/>
  <c r="D82" i="13"/>
  <c r="C82" i="13"/>
  <c r="J75" i="13"/>
  <c r="F75" i="13"/>
  <c r="E75" i="13"/>
  <c r="D75" i="13"/>
  <c r="C75" i="13"/>
  <c r="J68" i="13"/>
  <c r="F68" i="13"/>
  <c r="E68" i="13"/>
  <c r="D68" i="13"/>
  <c r="C68" i="13"/>
  <c r="J58" i="13"/>
  <c r="F58" i="13"/>
  <c r="E58" i="13"/>
  <c r="D58" i="13"/>
  <c r="C58" i="13"/>
  <c r="J51" i="13"/>
  <c r="F51" i="13"/>
  <c r="E51" i="13"/>
  <c r="D51" i="13"/>
  <c r="C51" i="13"/>
  <c r="J44" i="13"/>
  <c r="F44" i="13"/>
  <c r="D44" i="13"/>
  <c r="C44" i="13"/>
  <c r="J32" i="13"/>
  <c r="F32" i="13"/>
  <c r="E32" i="13"/>
  <c r="D32" i="13"/>
  <c r="C32" i="13"/>
  <c r="J29" i="13"/>
  <c r="F29" i="13"/>
  <c r="E29" i="13"/>
  <c r="D29" i="13"/>
  <c r="C29" i="13"/>
  <c r="J26" i="13"/>
  <c r="F26" i="13"/>
  <c r="D26" i="13"/>
  <c r="C26" i="13"/>
  <c r="J20" i="13"/>
  <c r="F20" i="13"/>
  <c r="E20" i="13"/>
  <c r="D20" i="13"/>
  <c r="C20" i="13"/>
  <c r="J13" i="13"/>
  <c r="F13" i="13"/>
  <c r="E13" i="13"/>
  <c r="D13" i="13"/>
  <c r="C13" i="13"/>
  <c r="J9" i="13"/>
  <c r="E9" i="13"/>
  <c r="D9" i="13"/>
  <c r="C9" i="13"/>
  <c r="J96" i="12"/>
  <c r="F96" i="12"/>
  <c r="E96" i="12"/>
  <c r="D96" i="12"/>
  <c r="C96" i="12"/>
  <c r="J89" i="12"/>
  <c r="F89" i="12"/>
  <c r="E89" i="12"/>
  <c r="D89" i="12"/>
  <c r="C89" i="12"/>
  <c r="J82" i="12"/>
  <c r="F82" i="12"/>
  <c r="E82" i="12"/>
  <c r="D82" i="12"/>
  <c r="C82" i="12"/>
  <c r="J72" i="12"/>
  <c r="F72" i="12"/>
  <c r="E72" i="12"/>
  <c r="D72" i="12"/>
  <c r="C72" i="12"/>
  <c r="J65" i="12"/>
  <c r="F65" i="12"/>
  <c r="E65" i="12"/>
  <c r="D65" i="12"/>
  <c r="C65" i="12"/>
  <c r="J58" i="12"/>
  <c r="F58" i="12"/>
  <c r="E58" i="12"/>
  <c r="D58" i="12"/>
  <c r="C58" i="12"/>
  <c r="J46" i="12"/>
  <c r="F46" i="12"/>
  <c r="E46" i="12"/>
  <c r="D46" i="12"/>
  <c r="C46" i="12"/>
  <c r="J39" i="12"/>
  <c r="F39" i="12"/>
  <c r="E39" i="12"/>
  <c r="D39" i="12"/>
  <c r="C39" i="12"/>
  <c r="J32" i="12"/>
  <c r="F32" i="12"/>
  <c r="E32" i="12"/>
  <c r="D32" i="12"/>
  <c r="C32" i="12"/>
  <c r="J26" i="12"/>
  <c r="F26" i="12"/>
  <c r="D26" i="12"/>
  <c r="C26" i="12"/>
  <c r="J19" i="12"/>
  <c r="F19" i="12"/>
  <c r="E19" i="12"/>
  <c r="D19" i="12"/>
  <c r="C19" i="12"/>
  <c r="J12" i="12"/>
  <c r="F12" i="12"/>
  <c r="E12" i="12"/>
  <c r="D12" i="12"/>
  <c r="C12" i="12"/>
  <c r="J95" i="10"/>
  <c r="F95" i="10"/>
  <c r="E95" i="10"/>
  <c r="D95" i="10"/>
  <c r="C95" i="10"/>
  <c r="J88" i="10"/>
  <c r="F88" i="10"/>
  <c r="E88" i="10"/>
  <c r="D88" i="10"/>
  <c r="C88" i="10"/>
  <c r="J81" i="10"/>
  <c r="F81" i="10"/>
  <c r="E81" i="10"/>
  <c r="D81" i="10"/>
  <c r="C81" i="10"/>
  <c r="J71" i="10"/>
  <c r="F71" i="10"/>
  <c r="E71" i="10"/>
  <c r="D71" i="10"/>
  <c r="C71" i="10"/>
  <c r="J64" i="10"/>
  <c r="F64" i="10"/>
  <c r="E64" i="10"/>
  <c r="D64" i="10"/>
  <c r="C64" i="10"/>
  <c r="J57" i="10"/>
  <c r="F57" i="10"/>
  <c r="E57" i="10"/>
  <c r="D57" i="10"/>
  <c r="C57" i="10"/>
  <c r="J48" i="10"/>
  <c r="F48" i="10"/>
  <c r="E48" i="10"/>
  <c r="D48" i="10"/>
  <c r="C48" i="10"/>
  <c r="J41" i="10"/>
  <c r="F41" i="10"/>
  <c r="E41" i="10"/>
  <c r="D41" i="10"/>
  <c r="C41" i="10"/>
  <c r="J34" i="10"/>
  <c r="F34" i="10"/>
  <c r="E34" i="10"/>
  <c r="D34" i="10"/>
  <c r="C34" i="10"/>
  <c r="J26" i="10"/>
  <c r="F26" i="10"/>
  <c r="E26" i="10"/>
  <c r="D26" i="10"/>
  <c r="C26" i="10"/>
  <c r="J19" i="10"/>
  <c r="F19" i="10"/>
  <c r="E19" i="10"/>
  <c r="D19" i="10"/>
  <c r="C19" i="10"/>
  <c r="J12" i="10"/>
  <c r="F12" i="10"/>
  <c r="E12" i="10"/>
  <c r="D12" i="10"/>
  <c r="C12" i="10"/>
  <c r="F8" i="9"/>
  <c r="J88" i="9"/>
  <c r="F88" i="9"/>
  <c r="E88" i="9"/>
  <c r="D88" i="9"/>
  <c r="C88" i="9"/>
  <c r="J81" i="9"/>
  <c r="F81" i="9"/>
  <c r="E81" i="9"/>
  <c r="D81" i="9"/>
  <c r="C81" i="9"/>
  <c r="J74" i="9"/>
  <c r="F74" i="9"/>
  <c r="E74" i="9"/>
  <c r="D74" i="9"/>
  <c r="C74" i="9"/>
  <c r="J64" i="9"/>
  <c r="F64" i="9"/>
  <c r="E64" i="9"/>
  <c r="D64" i="9"/>
  <c r="C64" i="9"/>
  <c r="J60" i="9"/>
  <c r="F60" i="9"/>
  <c r="E60" i="9"/>
  <c r="D60" i="9"/>
  <c r="C60" i="9"/>
  <c r="J53" i="9"/>
  <c r="F53" i="9"/>
  <c r="E53" i="9"/>
  <c r="D53" i="9"/>
  <c r="C53" i="9"/>
  <c r="J41" i="9"/>
  <c r="F41" i="9"/>
  <c r="E41" i="9"/>
  <c r="D41" i="9"/>
  <c r="C41" i="9"/>
  <c r="J34" i="9"/>
  <c r="F34" i="9"/>
  <c r="D34" i="9"/>
  <c r="C34" i="9"/>
  <c r="J27" i="9"/>
  <c r="E27" i="9"/>
  <c r="D27" i="9"/>
  <c r="C27" i="9"/>
  <c r="J19" i="9"/>
  <c r="F19" i="9"/>
  <c r="E19" i="9"/>
  <c r="D19" i="9"/>
  <c r="C19" i="9"/>
  <c r="J12" i="9"/>
  <c r="E12" i="9"/>
  <c r="D12" i="9"/>
  <c r="C12" i="9"/>
  <c r="J8" i="9"/>
  <c r="E8" i="9"/>
  <c r="D8" i="9"/>
  <c r="C8" i="9"/>
  <c r="J78" i="8"/>
  <c r="E78" i="8"/>
  <c r="D78" i="8"/>
  <c r="C78" i="8"/>
  <c r="J74" i="8"/>
  <c r="F74" i="8"/>
  <c r="E74" i="8"/>
  <c r="D74" i="8"/>
  <c r="C74" i="8"/>
  <c r="J69" i="8"/>
  <c r="F69" i="8"/>
  <c r="E69" i="8"/>
  <c r="D69" i="8"/>
  <c r="C69" i="8"/>
  <c r="J61" i="8"/>
  <c r="E61" i="8"/>
  <c r="D61" i="8"/>
  <c r="C61" i="8"/>
  <c r="J56" i="8"/>
  <c r="E56" i="8"/>
  <c r="D56" i="8"/>
  <c r="C56" i="8"/>
  <c r="J52" i="8"/>
  <c r="E52" i="8"/>
  <c r="D52" i="8"/>
  <c r="C52" i="8"/>
  <c r="E42" i="8"/>
  <c r="D42" i="8"/>
  <c r="C42" i="8"/>
  <c r="E37" i="8"/>
  <c r="D37" i="8"/>
  <c r="C37" i="8"/>
  <c r="E31" i="8"/>
  <c r="D31" i="8"/>
  <c r="C31" i="8"/>
  <c r="J20" i="8"/>
  <c r="E20" i="8"/>
  <c r="D20" i="8"/>
  <c r="C20" i="8"/>
  <c r="E14" i="8"/>
  <c r="D14" i="8"/>
  <c r="C14" i="8"/>
  <c r="J9" i="8"/>
  <c r="E9" i="8"/>
  <c r="D9" i="8"/>
  <c r="C9" i="8"/>
  <c r="E20" i="9" l="1"/>
  <c r="F41" i="16"/>
  <c r="F67" i="16" s="1"/>
  <c r="I66" i="16"/>
  <c r="J20" i="9"/>
  <c r="J42" i="9"/>
  <c r="H27" i="16"/>
  <c r="I90" i="16"/>
  <c r="H66" i="16"/>
  <c r="I40" i="16"/>
  <c r="H90" i="16"/>
  <c r="H40" i="16"/>
  <c r="D41" i="16"/>
  <c r="H41" i="16" s="1"/>
  <c r="E21" i="8"/>
  <c r="D42" i="9"/>
  <c r="F42" i="9"/>
  <c r="E65" i="9"/>
  <c r="J65" i="9"/>
  <c r="D89" i="9"/>
  <c r="F89" i="9"/>
  <c r="E27" i="10"/>
  <c r="J27" i="10"/>
  <c r="D49" i="10"/>
  <c r="F49" i="10"/>
  <c r="E72" i="10"/>
  <c r="J72" i="10"/>
  <c r="D96" i="10"/>
  <c r="F96" i="10"/>
  <c r="D67" i="16"/>
  <c r="D91" i="16" s="1"/>
  <c r="J21" i="8"/>
  <c r="I21" i="8" s="1"/>
  <c r="I41" i="16"/>
  <c r="J67" i="16"/>
  <c r="I67" i="16" s="1"/>
  <c r="I27" i="16"/>
  <c r="E22" i="15"/>
  <c r="J22" i="15"/>
  <c r="D45" i="15"/>
  <c r="F45" i="15"/>
  <c r="E71" i="15"/>
  <c r="J71" i="15"/>
  <c r="D95" i="15"/>
  <c r="F95" i="15"/>
  <c r="E45" i="15"/>
  <c r="J45" i="15"/>
  <c r="J46" i="15" s="1"/>
  <c r="D71" i="15"/>
  <c r="F71" i="15"/>
  <c r="E95" i="15"/>
  <c r="J95" i="15"/>
  <c r="D22" i="15"/>
  <c r="D46" i="15" s="1"/>
  <c r="D72" i="15" s="1"/>
  <c r="D96" i="15" s="1"/>
  <c r="F22" i="15"/>
  <c r="F46" i="15" s="1"/>
  <c r="E46" i="15"/>
  <c r="E72" i="15" s="1"/>
  <c r="E96" i="15" s="1"/>
  <c r="D47" i="12"/>
  <c r="F47" i="12"/>
  <c r="E73" i="12"/>
  <c r="J73" i="12"/>
  <c r="D97" i="12"/>
  <c r="F97" i="12"/>
  <c r="E21" i="13"/>
  <c r="J21" i="13"/>
  <c r="D33" i="13"/>
  <c r="F33" i="13"/>
  <c r="J59" i="13"/>
  <c r="D83" i="13"/>
  <c r="F83" i="13"/>
  <c r="D21" i="13"/>
  <c r="F21" i="13"/>
  <c r="E33" i="13"/>
  <c r="J33" i="13"/>
  <c r="D59" i="13"/>
  <c r="F59" i="13"/>
  <c r="E83" i="13"/>
  <c r="J83" i="13"/>
  <c r="E47" i="12"/>
  <c r="J47" i="12"/>
  <c r="D73" i="12"/>
  <c r="F73" i="12"/>
  <c r="E97" i="12"/>
  <c r="J97" i="12"/>
  <c r="E27" i="12"/>
  <c r="J27" i="12"/>
  <c r="D27" i="12"/>
  <c r="F27" i="12"/>
  <c r="E48" i="12"/>
  <c r="J48" i="12"/>
  <c r="E49" i="10"/>
  <c r="E50" i="10" s="1"/>
  <c r="E73" i="10" s="1"/>
  <c r="J49" i="10"/>
  <c r="D72" i="10"/>
  <c r="F72" i="10"/>
  <c r="E96" i="10"/>
  <c r="J96" i="10"/>
  <c r="D27" i="10"/>
  <c r="D50" i="10" s="1"/>
  <c r="D73" i="10" s="1"/>
  <c r="D97" i="10" s="1"/>
  <c r="F27" i="10"/>
  <c r="F50" i="10" s="1"/>
  <c r="F73" i="10" s="1"/>
  <c r="D43" i="8"/>
  <c r="F43" i="8"/>
  <c r="E62" i="8"/>
  <c r="J62" i="8"/>
  <c r="D79" i="8"/>
  <c r="F79" i="8"/>
  <c r="E42" i="9"/>
  <c r="E43" i="9" s="1"/>
  <c r="E66" i="9" s="1"/>
  <c r="D65" i="9"/>
  <c r="F65" i="9"/>
  <c r="E89" i="9"/>
  <c r="J89" i="9"/>
  <c r="D20" i="9"/>
  <c r="F20" i="9"/>
  <c r="E43" i="8"/>
  <c r="J43" i="8"/>
  <c r="D62" i="8"/>
  <c r="F62" i="8"/>
  <c r="H62" i="8" s="1"/>
  <c r="E79" i="8"/>
  <c r="J79" i="8"/>
  <c r="D21" i="8"/>
  <c r="F21" i="8"/>
  <c r="J90" i="5"/>
  <c r="F90" i="5"/>
  <c r="E90" i="5"/>
  <c r="D90" i="5"/>
  <c r="C90" i="5"/>
  <c r="J83" i="5"/>
  <c r="F83" i="5"/>
  <c r="E83" i="5"/>
  <c r="D83" i="5"/>
  <c r="C83" i="5"/>
  <c r="J76" i="5"/>
  <c r="F76" i="5"/>
  <c r="E76" i="5"/>
  <c r="D76" i="5"/>
  <c r="C76" i="5"/>
  <c r="J66" i="5"/>
  <c r="F66" i="5"/>
  <c r="E66" i="5"/>
  <c r="D66" i="5"/>
  <c r="C66" i="5"/>
  <c r="J62" i="5"/>
  <c r="F62" i="5"/>
  <c r="E62" i="5"/>
  <c r="D62" i="5"/>
  <c r="C62" i="5"/>
  <c r="J43" i="5"/>
  <c r="F43" i="5"/>
  <c r="E43" i="5"/>
  <c r="D43" i="5"/>
  <c r="C43" i="5"/>
  <c r="J37" i="5"/>
  <c r="F37" i="5"/>
  <c r="E37" i="5"/>
  <c r="D37" i="5"/>
  <c r="C37" i="5"/>
  <c r="J31" i="5"/>
  <c r="F31" i="5"/>
  <c r="J17" i="5"/>
  <c r="F17" i="5"/>
  <c r="E17" i="5"/>
  <c r="D17" i="5"/>
  <c r="C17" i="5"/>
  <c r="J12" i="5"/>
  <c r="F12" i="5"/>
  <c r="E12" i="5"/>
  <c r="D12" i="5"/>
  <c r="C12" i="5"/>
  <c r="J8" i="5"/>
  <c r="F8" i="5"/>
  <c r="E8" i="5"/>
  <c r="D8" i="5"/>
  <c r="C8" i="5"/>
  <c r="J100" i="1"/>
  <c r="F100" i="1"/>
  <c r="E100" i="1"/>
  <c r="D100" i="1"/>
  <c r="C100" i="1"/>
  <c r="J93" i="1"/>
  <c r="F93" i="1"/>
  <c r="E93" i="1"/>
  <c r="D93" i="1"/>
  <c r="C93" i="1"/>
  <c r="E86" i="1"/>
  <c r="D86" i="1"/>
  <c r="C86" i="1"/>
  <c r="J86" i="1"/>
  <c r="F86" i="1"/>
  <c r="J75" i="1"/>
  <c r="F75" i="1"/>
  <c r="E75" i="1"/>
  <c r="D75" i="1"/>
  <c r="C75" i="1"/>
  <c r="F68" i="1"/>
  <c r="J68" i="1"/>
  <c r="E68" i="1"/>
  <c r="D68" i="1"/>
  <c r="C68" i="1"/>
  <c r="J61" i="1"/>
  <c r="F61" i="1"/>
  <c r="F76" i="1" s="1"/>
  <c r="E61" i="1"/>
  <c r="D61" i="1"/>
  <c r="C61" i="1"/>
  <c r="J50" i="1"/>
  <c r="F50" i="1"/>
  <c r="E50" i="1"/>
  <c r="D50" i="1"/>
  <c r="C50" i="1"/>
  <c r="I20" i="9" l="1"/>
  <c r="E44" i="8"/>
  <c r="J34" i="13"/>
  <c r="J60" i="13" s="1"/>
  <c r="F34" i="13"/>
  <c r="H47" i="12"/>
  <c r="D43" i="9"/>
  <c r="D66" i="9" s="1"/>
  <c r="D90" i="9" s="1"/>
  <c r="H89" i="9"/>
  <c r="H42" i="9"/>
  <c r="I65" i="9"/>
  <c r="H96" i="10"/>
  <c r="E34" i="13"/>
  <c r="D34" i="13"/>
  <c r="F44" i="8"/>
  <c r="F63" i="8" s="1"/>
  <c r="F80" i="8" s="1"/>
  <c r="H20" i="9"/>
  <c r="I89" i="9"/>
  <c r="E90" i="9"/>
  <c r="I43" i="8"/>
  <c r="F43" i="9"/>
  <c r="H43" i="9" s="1"/>
  <c r="I42" i="9"/>
  <c r="H49" i="10"/>
  <c r="I72" i="10"/>
  <c r="I27" i="10"/>
  <c r="J50" i="10"/>
  <c r="J73" i="10" s="1"/>
  <c r="J97" i="10" s="1"/>
  <c r="H97" i="12"/>
  <c r="H67" i="16"/>
  <c r="I21" i="13"/>
  <c r="J84" i="13"/>
  <c r="J74" i="12"/>
  <c r="J98" i="12" s="1"/>
  <c r="F48" i="12"/>
  <c r="F74" i="12" s="1"/>
  <c r="I97" i="12"/>
  <c r="I47" i="12"/>
  <c r="H83" i="13"/>
  <c r="H33" i="13"/>
  <c r="I73" i="12"/>
  <c r="H45" i="15"/>
  <c r="J91" i="16"/>
  <c r="I91" i="16" s="1"/>
  <c r="J44" i="8"/>
  <c r="I45" i="15"/>
  <c r="H95" i="15"/>
  <c r="F91" i="16"/>
  <c r="H91" i="16" s="1"/>
  <c r="H65" i="9"/>
  <c r="H79" i="8"/>
  <c r="I62" i="8"/>
  <c r="E74" i="12"/>
  <c r="E98" i="12" s="1"/>
  <c r="D48" i="12"/>
  <c r="D74" i="12" s="1"/>
  <c r="D98" i="12" s="1"/>
  <c r="I95" i="15"/>
  <c r="H71" i="15"/>
  <c r="I71" i="15"/>
  <c r="I22" i="15"/>
  <c r="H46" i="15"/>
  <c r="F72" i="15"/>
  <c r="H72" i="15" s="1"/>
  <c r="H22" i="15"/>
  <c r="I46" i="15"/>
  <c r="H72" i="10"/>
  <c r="H73" i="12"/>
  <c r="I83" i="13"/>
  <c r="J72" i="15"/>
  <c r="I27" i="12"/>
  <c r="F60" i="13"/>
  <c r="H21" i="13"/>
  <c r="H59" i="13"/>
  <c r="D60" i="13"/>
  <c r="D84" i="13" s="1"/>
  <c r="I33" i="13"/>
  <c r="I96" i="10"/>
  <c r="E97" i="10"/>
  <c r="I74" i="12"/>
  <c r="I34" i="13"/>
  <c r="H34" i="13"/>
  <c r="I48" i="12"/>
  <c r="H27" i="12"/>
  <c r="D44" i="8"/>
  <c r="D63" i="8" s="1"/>
  <c r="D80" i="8" s="1"/>
  <c r="H43" i="8"/>
  <c r="I79" i="8"/>
  <c r="I49" i="10"/>
  <c r="H27" i="10"/>
  <c r="E63" i="8"/>
  <c r="E80" i="8" s="1"/>
  <c r="H73" i="10"/>
  <c r="F97" i="10"/>
  <c r="H97" i="10" s="1"/>
  <c r="H50" i="10"/>
  <c r="J43" i="9"/>
  <c r="H21" i="8"/>
  <c r="E44" i="5"/>
  <c r="J44" i="5"/>
  <c r="D67" i="5"/>
  <c r="F67" i="5"/>
  <c r="E91" i="5"/>
  <c r="J91" i="5"/>
  <c r="D44" i="5"/>
  <c r="F44" i="5"/>
  <c r="E67" i="5"/>
  <c r="J67" i="5"/>
  <c r="D91" i="5"/>
  <c r="F91" i="5"/>
  <c r="F18" i="5"/>
  <c r="D18" i="5"/>
  <c r="E18" i="5"/>
  <c r="J18" i="5"/>
  <c r="D101" i="1"/>
  <c r="J101" i="1"/>
  <c r="F101" i="1"/>
  <c r="E101" i="1"/>
  <c r="D76" i="1"/>
  <c r="E76" i="1"/>
  <c r="J76" i="1"/>
  <c r="J43" i="1"/>
  <c r="F66" i="9" l="1"/>
  <c r="H66" i="9" s="1"/>
  <c r="I50" i="10"/>
  <c r="I97" i="10"/>
  <c r="I73" i="10"/>
  <c r="J63" i="8"/>
  <c r="J80" i="8" s="1"/>
  <c r="I80" i="8" s="1"/>
  <c r="I44" i="8"/>
  <c r="F90" i="9"/>
  <c r="H90" i="9" s="1"/>
  <c r="I101" i="1"/>
  <c r="I76" i="1"/>
  <c r="J66" i="9"/>
  <c r="I43" i="9"/>
  <c r="H74" i="12"/>
  <c r="H48" i="12"/>
  <c r="H80" i="8"/>
  <c r="H63" i="8"/>
  <c r="I98" i="12"/>
  <c r="F96" i="15"/>
  <c r="H96" i="15" s="1"/>
  <c r="I72" i="15"/>
  <c r="J96" i="15"/>
  <c r="I96" i="15" s="1"/>
  <c r="H60" i="13"/>
  <c r="F84" i="13"/>
  <c r="H84" i="13" s="1"/>
  <c r="J45" i="5"/>
  <c r="J68" i="5" s="1"/>
  <c r="J92" i="5" s="1"/>
  <c r="H44" i="8"/>
  <c r="F98" i="12"/>
  <c r="H98" i="12" s="1"/>
  <c r="H91" i="5"/>
  <c r="I91" i="5"/>
  <c r="H67" i="5"/>
  <c r="I44" i="5"/>
  <c r="E45" i="5"/>
  <c r="E68" i="5" s="1"/>
  <c r="H18" i="5"/>
  <c r="I67" i="5"/>
  <c r="H44" i="5"/>
  <c r="F45" i="5"/>
  <c r="D45" i="5"/>
  <c r="D68" i="5" s="1"/>
  <c r="D92" i="5" s="1"/>
  <c r="I18" i="5"/>
  <c r="H101" i="1"/>
  <c r="H76" i="1"/>
  <c r="F43" i="1"/>
  <c r="E43" i="1"/>
  <c r="D43" i="1"/>
  <c r="C43" i="1"/>
  <c r="J36" i="1"/>
  <c r="J51" i="1" s="1"/>
  <c r="F36" i="1"/>
  <c r="E36" i="1"/>
  <c r="I63" i="8" l="1"/>
  <c r="I66" i="9"/>
  <c r="J90" i="9"/>
  <c r="I90" i="9" s="1"/>
  <c r="H45" i="5"/>
  <c r="F68" i="5"/>
  <c r="I92" i="5"/>
  <c r="I45" i="5"/>
  <c r="I68" i="5"/>
  <c r="F51" i="1"/>
  <c r="E51" i="1"/>
  <c r="I51" i="1" s="1"/>
  <c r="D36" i="1"/>
  <c r="D51" i="1" s="1"/>
  <c r="C36" i="1"/>
  <c r="H68" i="5" l="1"/>
  <c r="F92" i="5"/>
  <c r="H92" i="5" s="1"/>
  <c r="H51" i="1"/>
  <c r="F26" i="1"/>
  <c r="J26" i="1"/>
  <c r="E26" i="1"/>
  <c r="D26" i="1"/>
  <c r="J19" i="1"/>
  <c r="J12" i="1"/>
  <c r="F19" i="1"/>
  <c r="F12" i="1"/>
  <c r="D19" i="1"/>
  <c r="J27" i="1" l="1"/>
  <c r="F27" i="1"/>
  <c r="F52" i="1" s="1"/>
  <c r="F77" i="1" s="1"/>
  <c r="F102" i="1" s="1"/>
  <c r="J52" i="1" l="1"/>
  <c r="E12" i="1"/>
  <c r="C12" i="1"/>
  <c r="E19" i="1"/>
  <c r="D12" i="1"/>
  <c r="D27" i="1" s="1"/>
  <c r="J77" i="1" l="1"/>
  <c r="H27" i="1"/>
  <c r="D52" i="1"/>
  <c r="E27" i="1"/>
  <c r="I27" i="1" s="1"/>
  <c r="C26" i="1"/>
  <c r="C19" i="1"/>
  <c r="J102" i="1" l="1"/>
  <c r="H52" i="1"/>
  <c r="D77" i="1"/>
  <c r="E52" i="1"/>
  <c r="I52" i="1" s="1"/>
  <c r="H77" i="1" l="1"/>
  <c r="D102" i="1"/>
  <c r="H102" i="1" s="1"/>
  <c r="E77" i="1"/>
  <c r="I77" i="1" s="1"/>
  <c r="E102" i="1" l="1"/>
  <c r="I102" i="1" s="1"/>
  <c r="E59" i="13"/>
  <c r="I59" i="13" l="1"/>
  <c r="E60" i="13"/>
  <c r="E84" i="13" l="1"/>
  <c r="I84" i="13" s="1"/>
  <c r="I60" i="13"/>
</calcChain>
</file>

<file path=xl/sharedStrings.xml><?xml version="1.0" encoding="utf-8"?>
<sst xmlns="http://schemas.openxmlformats.org/spreadsheetml/2006/main" count="1494" uniqueCount="324">
  <si>
    <t>№</t>
  </si>
  <si>
    <t xml:space="preserve">Номера партий </t>
  </si>
  <si>
    <t xml:space="preserve">Акт отбраковки </t>
  </si>
  <si>
    <t>Акт входного контроля</t>
  </si>
  <si>
    <t>Причина,%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</si>
  <si>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</si>
  <si>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</si>
  <si>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</si>
  <si>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</si>
  <si>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</si>
  <si>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</si>
  <si>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</si>
  <si>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Сентябрь</t>
  </si>
  <si>
    <t>Август</t>
  </si>
  <si>
    <t>Октябрь</t>
  </si>
  <si>
    <t>Ноябрь</t>
  </si>
  <si>
    <t>Декабрь</t>
  </si>
  <si>
    <t>Итого</t>
  </si>
  <si>
    <t>за 1 квартал</t>
  </si>
  <si>
    <t>Начальник отдела контроля и качества</t>
  </si>
  <si>
    <t>Инженер по качеству</t>
  </si>
  <si>
    <t>А.Г. Беззубов</t>
  </si>
  <si>
    <t>Г.И. Данилова</t>
  </si>
  <si>
    <t>Дата 
поступления</t>
  </si>
  <si>
    <t>№ Партии</t>
  </si>
  <si>
    <t>Дата</t>
  </si>
  <si>
    <t>Журнал входного контроля</t>
  </si>
  <si>
    <t>Акты</t>
  </si>
  <si>
    <t>Отбраковка</t>
  </si>
  <si>
    <t>Входной 
контроль</t>
  </si>
  <si>
    <t>Количество 
отбракованной продукции, кг</t>
  </si>
  <si>
    <t>ПВХ липкое АО "БСК"</t>
  </si>
  <si>
    <t>ПВХ липкое ООО "СибТрубизол"</t>
  </si>
  <si>
    <t>ПВХ липкое (новый поставщик)</t>
  </si>
  <si>
    <t>Материал антиадгезионный на основе ПЭТ</t>
  </si>
  <si>
    <t>Материл антиадгезионный на основе бумаги</t>
  </si>
  <si>
    <t>Материал антиадгезионный на основе пленки</t>
  </si>
  <si>
    <t>Лента ПВХ марка "Б" ООО "Сэларон"</t>
  </si>
  <si>
    <t>Лента ПВХ марка "Б" ОАО "БСК"</t>
  </si>
  <si>
    <t>Лента ПВХ ООО "Сибтрубизол"</t>
  </si>
  <si>
    <t>ID</t>
  </si>
  <si>
    <t>Наименование</t>
  </si>
  <si>
    <t>Другое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</si>
  <si>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</si>
  <si>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</si>
  <si>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</si>
  <si>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</si>
  <si>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</si>
  <si>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</si>
  <si>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</si>
  <si>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</si>
  <si>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</si>
  <si>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</si>
  <si>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Лента ПВХ (новый поставщик)</t>
  </si>
  <si>
    <t>Пакеты</t>
  </si>
  <si>
    <t>Коробки</t>
  </si>
  <si>
    <t>Коробки "Гофралюкс"</t>
  </si>
  <si>
    <t>ПЭКОМ</t>
  </si>
  <si>
    <t>Полилен 40-ОБ-63</t>
  </si>
  <si>
    <t>Полилен 40-ЛИ-63</t>
  </si>
  <si>
    <t>Полилен 40-ЛИ-45</t>
  </si>
  <si>
    <t>Политерм</t>
  </si>
  <si>
    <t>Грунтовка "Транскор" №1</t>
  </si>
  <si>
    <t>Праймер ПЛ-М</t>
  </si>
  <si>
    <t>Праймер ПЛ-Л</t>
  </si>
  <si>
    <t>Праймер НК-50</t>
  </si>
  <si>
    <t>Грунтовка "Транскор" №2</t>
  </si>
  <si>
    <t>Мастика Транскор - Л</t>
  </si>
  <si>
    <t>Мастика Транскор - З</t>
  </si>
  <si>
    <t>Мастика Биткор - Р</t>
  </si>
  <si>
    <t>Мастика МБПР - З</t>
  </si>
  <si>
    <t>Мастика МБПР - Л</t>
  </si>
  <si>
    <t>Мастика Биткор - Р(У)</t>
  </si>
  <si>
    <t>Шпули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</si>
  <si>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</si>
  <si>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</si>
  <si>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</si>
  <si>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</si>
  <si>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</si>
  <si>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</si>
  <si>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</si>
  <si>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</si>
  <si>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</si>
  <si>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</si>
  <si>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</si>
  <si>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</si>
  <si>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</si>
  <si>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</si>
  <si>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</si>
  <si>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</si>
  <si>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</si>
  <si>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</si>
  <si>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</si>
  <si>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</si>
  <si>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</si>
  <si>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</si>
  <si>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Количество 
отбракованной
 продукции, кг</t>
  </si>
  <si>
    <t>Ф(8.2)005.001</t>
  </si>
  <si>
    <t>Справка о поступлениях __________________ за 20___год</t>
  </si>
  <si>
    <t>Количество, кг</t>
  </si>
  <si>
    <t>Наименование продукции</t>
  </si>
  <si>
    <t>Выборка/Наименование</t>
  </si>
  <si>
    <t>/Дата</t>
  </si>
  <si>
    <t>/Кол-во</t>
  </si>
  <si>
    <t>/Партии</t>
  </si>
  <si>
    <t>/Вх.контроль</t>
  </si>
  <si>
    <t>/Отбраковка</t>
  </si>
  <si>
    <t>/Кол-во,отб-ки</t>
  </si>
  <si>
    <t>1,2,3,4</t>
  </si>
  <si>
    <t>5,6,7,8</t>
  </si>
  <si>
    <t>476,494,1</t>
  </si>
  <si>
    <t>2,10,11</t>
  </si>
  <si>
    <t>11,28,29,30</t>
  </si>
  <si>
    <t>30,43,44</t>
  </si>
  <si>
    <t>43,44,61,62,63</t>
  </si>
  <si>
    <t>Причина</t>
  </si>
  <si>
    <t xml:space="preserve">№ 1 от 17.01.19 </t>
  </si>
  <si>
    <t>Паспорт не соответствует ТУ,замяты края полотна у 17%</t>
  </si>
  <si>
    <t>№ 1 от 25.01.19</t>
  </si>
  <si>
    <t xml:space="preserve"> От 20866 кг отбраковано 440 кг срезов</t>
  </si>
  <si>
    <t>Причина/отб</t>
  </si>
  <si>
    <t>Причина/вх</t>
  </si>
  <si>
    <t>Количество,кг(шт)</t>
  </si>
  <si>
    <t xml:space="preserve">№ 2 от 25.01.19 № 5 от 05.02.19 </t>
  </si>
  <si>
    <t>Замятые шпули, торцевой сдвиг, надрывы на торцах,показатель качества " адгезия в нахлесте".</t>
  </si>
  <si>
    <t>№ 3 от 25.01.19</t>
  </si>
  <si>
    <t>Паспорт не соответствует ТУ, замяты края полотна , пузыри на поверхности ПВХ</t>
  </si>
  <si>
    <t>№ 4 от 04.02.19</t>
  </si>
  <si>
    <t>Паспорт не соответствует ТУ, замяты края полотна , пузыри на поверхности ПВХ.</t>
  </si>
  <si>
    <t>№ 7 от 18.02.19</t>
  </si>
  <si>
    <t>Замятые шпули, торцевой сдвиг, полосы на полотне, не соответствует показатель качества «адгезия в нахлесте».</t>
  </si>
  <si>
    <t>№ 6 от 12.02.19</t>
  </si>
  <si>
    <t>Паспорт не соответствует ТУ, замяты края полотна .</t>
  </si>
  <si>
    <t xml:space="preserve">№ 9 от26.02.19 </t>
  </si>
  <si>
    <t>Торцевой сдвиг, на торцах рулонов выступила клеевая основа, другое ТУ на упаковочных мешках, не соответствует показатель качества» адгезия в нахлесте».</t>
  </si>
  <si>
    <t xml:space="preserve">№ 8 от 21.02.19 </t>
  </si>
  <si>
    <t>Паспорт не соответствует ТУ, замяты края полотна , пузыри на 
поверхности ПВХ</t>
  </si>
  <si>
    <t>№ 10 от 07.03.19</t>
  </si>
  <si>
    <t xml:space="preserve"> Паспорт не соответствует ТУ, замяты края полотна .</t>
  </si>
  <si>
    <t xml:space="preserve">№ 2 от 28.02.19 </t>
  </si>
  <si>
    <t>за 2 квартал</t>
  </si>
  <si>
    <t>за 1 п/г</t>
  </si>
  <si>
    <t>за 3 квартал</t>
  </si>
  <si>
    <t>за 4 квартал</t>
  </si>
  <si>
    <t>за 1,2,3 квартал</t>
  </si>
  <si>
    <t>за год</t>
  </si>
  <si>
    <t>443/03/19</t>
  </si>
  <si>
    <t>63,65,66</t>
  </si>
  <si>
    <t>66,78,77</t>
  </si>
  <si>
    <t>№ 11 от 20.03.19</t>
  </si>
  <si>
    <t>№ 12 от 25.03.19</t>
  </si>
  <si>
    <t>43,66,78</t>
  </si>
  <si>
    <t>№13 от 28.03.19</t>
  </si>
  <si>
    <t>Количество, шт</t>
  </si>
  <si>
    <t>От 32485 кг отбраковано 131,1кг(от 10 рулонов) и 254,2кг(срезы с рулонов).</t>
  </si>
  <si>
    <t>Паспорт не соответствует ТУ, замяты края полотна, пузыри на 
поверхности ПВХ</t>
  </si>
  <si>
    <t>Паспорт не соответствует ТУ, замяты края полотна</t>
  </si>
  <si>
    <t xml:space="preserve"> Паспорт не соответствует ТУ, замяты края полотна</t>
  </si>
  <si>
    <t>Паспорт не соответствует ТУ, замяты края полотна, пузыри на поверхности ПВХ</t>
  </si>
  <si>
    <t>Паспорт не соответствует ТУ, замяты края полотна у 17%</t>
  </si>
  <si>
    <t>Замятые шпули, торцевой сдвиг, надрывы на торцах,показатель качества " адгезия в нахлесте"</t>
  </si>
  <si>
    <t>Замятые шпули, торцевой сдвиг, полосы на полотне, не соответствует показатель качества «адгезия в нахлесте»</t>
  </si>
  <si>
    <t>Торцевой сдвиг, на торцах рулонов выступила клеевая основа, другое ТУ на упаковочных мешках, не соответствует показатель качества» адгезия в нахлесте»</t>
  </si>
  <si>
    <t>443,03,19</t>
  </si>
  <si>
    <t>№ 3 от 16.04.19</t>
  </si>
  <si>
    <t>От 30468 кг отбраковано 146 кг срезов с рулонов (начальные витки с замятыми краями)</t>
  </si>
  <si>
    <t>1337,1338, 1339,1340, 1341, 1342</t>
  </si>
  <si>
    <t>96,97,98</t>
  </si>
  <si>
    <t>623/04/19</t>
  </si>
  <si>
    <t>№14 от 05.04.19</t>
  </si>
  <si>
    <t>№ 15 от 12.04.19</t>
  </si>
  <si>
    <t>№ 16 от 19.04.19</t>
  </si>
  <si>
    <t>651/04/19</t>
  </si>
  <si>
    <t>98,114,116,126,127</t>
  </si>
  <si>
    <t>662/04/19      664/04/19</t>
  </si>
  <si>
    <t>338,8,10</t>
  </si>
  <si>
    <t>127,128,129,130</t>
  </si>
  <si>
    <t>№ 17 от 24.03.19</t>
  </si>
  <si>
    <t xml:space="preserve"> Паспорт не соответствует ТУ</t>
  </si>
  <si>
    <t>№ 18 от 26.04.19</t>
  </si>
  <si>
    <t>№ 19 от 29.04.19</t>
  </si>
  <si>
    <t>Показатель качества " адгезия в нахлесте к ленте" не соответствует ТУ.На торцах рулонов выступила клеевая основа.</t>
  </si>
  <si>
    <t>№ 19/1 от 30.04.19</t>
  </si>
  <si>
    <t>№ 20 от 29.04.19</t>
  </si>
  <si>
    <t>Замятые шпули,торцевой сдвиг</t>
  </si>
  <si>
    <t>№ 21 от 29.04.19</t>
  </si>
  <si>
    <t>Замятые шпули,торцевой сдвиг. Показатель качества " адгезия в нахлесте к ленте" не соответствует ТУ,</t>
  </si>
  <si>
    <t>№ 4 от 26.04.19</t>
  </si>
  <si>
    <t>139,140,141</t>
  </si>
  <si>
    <t>31,47,49</t>
  </si>
  <si>
    <t>130,141,142</t>
  </si>
  <si>
    <t>749/05/19</t>
  </si>
  <si>
    <t>1339,1559,1560,1561,1562,1563</t>
  </si>
  <si>
    <t>150,151,153</t>
  </si>
  <si>
    <t>171,172,173</t>
  </si>
  <si>
    <t>№ 27 от 29.05.19</t>
  </si>
  <si>
    <t>№ 26 от 20.05.19</t>
  </si>
  <si>
    <t>№ 25 от 17.05.19</t>
  </si>
  <si>
    <t>№ 24 от 08.05.19</t>
  </si>
  <si>
    <t>№ 23 от 07.05.19</t>
  </si>
  <si>
    <t>№ 22 от 06.05.19</t>
  </si>
  <si>
    <t>У партии № 17 выявлены замятые шпули,торцевой сдвиг.</t>
  </si>
  <si>
    <t>934/06/19</t>
  </si>
  <si>
    <t>173,185,186</t>
  </si>
  <si>
    <t>52,53,55</t>
  </si>
  <si>
    <t>1615,1616,1617,1618,1619</t>
  </si>
  <si>
    <t>№ 28 от 19.06.19</t>
  </si>
  <si>
    <t>паспорт не соответствует ТУ</t>
  </si>
  <si>
    <t>№30 от 28.06.19</t>
  </si>
  <si>
    <t>№29 от 11.06.19</t>
  </si>
  <si>
    <t>Количество 
отбракованной
 продукции, шт</t>
  </si>
  <si>
    <t>Замятые шпули,торцевой сдвиг. Показатель качества " адгезия в нахлесте к ленте" не соответствует ТУ.</t>
  </si>
  <si>
    <t>Разработал</t>
  </si>
  <si>
    <t>Проверил</t>
  </si>
  <si>
    <t>Ознакомлен</t>
  </si>
  <si>
    <t xml:space="preserve">Зам. начальника ОКиК </t>
  </si>
  <si>
    <t>Начальник коммерческого отдела</t>
  </si>
  <si>
    <t>А.И. Кочетков</t>
  </si>
  <si>
    <t>Д.А. Подсухин</t>
  </si>
  <si>
    <t>Мастика МБПР - Л (Биткор -Р (Тула))</t>
  </si>
  <si>
    <t xml:space="preserve"> Паспорт не соответствует ТУ, замяты края полотна </t>
  </si>
  <si>
    <t xml:space="preserve"> Отбраковано 440 кг срезов</t>
  </si>
  <si>
    <t xml:space="preserve"> Отбраковано 131,1кг (от 10 рулонов) и 254,2кг (срезы с рулонов)</t>
  </si>
  <si>
    <t>Отбраковано 131,1кг (от 10 рулонов) и 254,2кг (срезы с рулонов)</t>
  </si>
  <si>
    <t>Отбраковано 146 кг срезов с рулонов (начальные витки с замятыми краями)</t>
  </si>
  <si>
    <t>№6 от 16.07.19 г.</t>
  </si>
  <si>
    <t>Отбраковано 242 кг срезов</t>
  </si>
  <si>
    <t>209,230,231,232</t>
  </si>
  <si>
    <t>1187/07/19</t>
  </si>
  <si>
    <t>1638,1640,1641,1642,1619,1339</t>
  </si>
  <si>
    <t>245,231,232,247</t>
  </si>
  <si>
    <t>189,131,258,257</t>
  </si>
  <si>
    <t>255,257,258</t>
  </si>
  <si>
    <t>№ 34 от 26.07.19</t>
  </si>
  <si>
    <t>№33 от 19.07.19</t>
  </si>
  <si>
    <t>№32 от 12.07.19</t>
  </si>
  <si>
    <t>Показатель качества " адгезия в нахлесте к ленте" не соответствует ТУ.</t>
  </si>
  <si>
    <t>№31 от 12.07.19</t>
  </si>
  <si>
    <t>№ 6 от 16.07.19</t>
  </si>
  <si>
    <t>От 110,516 т отбраковано 242 кг срезов с рулонов (начальные витки с замятыми краями)</t>
  </si>
  <si>
    <t>Муфта термоусаживающаяся ИЗТМ</t>
  </si>
  <si>
    <t>б/н</t>
  </si>
  <si>
    <t>20000</t>
  </si>
  <si>
    <t>54,56,58,120</t>
  </si>
  <si>
    <t>Полилен 40-ли-45</t>
  </si>
  <si>
    <t>Мастика МБПР-З</t>
  </si>
  <si>
    <t>9, 13</t>
  </si>
  <si>
    <t>№ 35 от 13.08.19</t>
  </si>
  <si>
    <t>55, 184</t>
  </si>
  <si>
    <t>29, 30</t>
  </si>
  <si>
    <t>№ 36 от 19.08.19</t>
  </si>
  <si>
    <t>184, 185</t>
  </si>
  <si>
    <t>17958, 5</t>
  </si>
  <si>
    <t>298, 299</t>
  </si>
  <si>
    <t>№ 37 от 21.08.19</t>
  </si>
  <si>
    <t>Паспорт не соответствует ТУ, торцевой сдвиг выше 3мм</t>
  </si>
  <si>
    <t>1341/08/07/19</t>
  </si>
  <si>
    <t>Мастика Транскор-З</t>
  </si>
  <si>
    <t>1706, 1707,1713, 1710, 1715</t>
  </si>
  <si>
    <t>Полилен-ОБ 40-ОБ-63</t>
  </si>
  <si>
    <t>101900142, 101900107, 101900088, 101900110</t>
  </si>
  <si>
    <t>187, 188</t>
  </si>
  <si>
    <t>319, 320</t>
  </si>
  <si>
    <t>№ 38 от 04.09.19</t>
  </si>
  <si>
    <t>1583/09/19</t>
  </si>
  <si>
    <t>188,209, 210</t>
  </si>
  <si>
    <t>320,321, 324, 325, 326</t>
  </si>
  <si>
    <t>№ 39 от 11.09.19</t>
  </si>
  <si>
    <t>№ 40 от 17.09.19</t>
  </si>
  <si>
    <t>340, 341</t>
  </si>
  <si>
    <t>№ 41 от 18.09.19</t>
  </si>
  <si>
    <t>1715, 1782, 1783, 1786, 1787, 1788</t>
  </si>
  <si>
    <t>210, 247</t>
  </si>
  <si>
    <t>361,362,363</t>
  </si>
  <si>
    <t>№ 42 от 07.10.19</t>
  </si>
  <si>
    <t>185,186,197</t>
  </si>
  <si>
    <t>361,363,375, 376,377</t>
  </si>
  <si>
    <t>№ 44 от 11.10.19</t>
  </si>
  <si>
    <t>№ 43 от 08.10.19</t>
  </si>
  <si>
    <t>266,264,185</t>
  </si>
  <si>
    <t>1857/10/19</t>
  </si>
  <si>
    <t>185,265,270</t>
  </si>
  <si>
    <t>377,395,396</t>
  </si>
  <si>
    <t>1879,1881, 1884,1887, 1890</t>
  </si>
  <si>
    <t>423,428,429</t>
  </si>
  <si>
    <t>№45 от 12.11.19</t>
  </si>
  <si>
    <t>271,351,352</t>
  </si>
  <si>
    <t>351,352,353</t>
  </si>
  <si>
    <t>№46 от 25.11.19</t>
  </si>
  <si>
    <t>451,452,453</t>
  </si>
  <si>
    <t>№47 от 29.11.19</t>
  </si>
  <si>
    <t>1890,1946, 1947,1950, 1951,1954</t>
  </si>
  <si>
    <t>353,354,355</t>
  </si>
  <si>
    <t>466,467,468, 469</t>
  </si>
  <si>
    <t>№50 от 16.12.19</t>
  </si>
  <si>
    <t>№51 от 26.12.19</t>
  </si>
  <si>
    <t>Справка о поступлениях ящиков картонных за 2019 год</t>
  </si>
  <si>
    <t>Справка о поступлениях пакетов за 2019 год</t>
  </si>
  <si>
    <t>Справка о поступлениях шпуль  за 2019 год</t>
  </si>
  <si>
    <t>Справка о поступлениях праймера и грунтовки за 2019 год</t>
  </si>
  <si>
    <t>Справка о поступлениях материала антидгезионного за 2019 год</t>
  </si>
  <si>
    <t>Справка о поступлениях ленты ПВХ липкой за 2019 год</t>
  </si>
  <si>
    <t>№ ---</t>
  </si>
  <si>
    <t>Справка о поступлениях ленты ПВХ за 2019 год</t>
  </si>
  <si>
    <t>Справка о поступлениях мастики за 2019 год</t>
  </si>
  <si>
    <t>№49 от 06.12.19</t>
  </si>
  <si>
    <t>Отсутствие маркировки упаковочных мест, заливы между слоями упаковки</t>
  </si>
  <si>
    <t>№ 7 от 11.09.19 № 9 от 01.10.19</t>
  </si>
  <si>
    <t>№ 8 от 19.09.19</t>
  </si>
  <si>
    <t>Не соответствие заявленному показателю "теплостойкость"</t>
  </si>
  <si>
    <t>№48 от 02.12.19</t>
  </si>
  <si>
    <t xml:space="preserve">№5 от 02.07.19 </t>
  </si>
  <si>
    <t xml:space="preserve">№ 5 от 02.07.19 </t>
  </si>
  <si>
    <t>Отбраковано 3 рулона(95 кг) ленты ПВХ-Липкой партия № 6 (смятые шпули)</t>
  </si>
  <si>
    <t>Замятие шпуль (145 кг)</t>
  </si>
  <si>
    <t>Отбраковано 3 рулона (95 кг) ленты ПВХ-Липкой партия № 6 (смятые шпули)</t>
  </si>
  <si>
    <t>№ 1 от 12.02.20</t>
  </si>
  <si>
    <t>От 189828 кг отбраковано 243 кг срезов с рулонов (начальные витки с замятыми краями)</t>
  </si>
  <si>
    <t>Металлические включения, образующие сквозные отверстия в полотне (4300 кг.)</t>
  </si>
  <si>
    <t>Металлические включения, образующие сквозные отверстия в полотне (1100)</t>
  </si>
  <si>
    <t>Итого*</t>
  </si>
  <si>
    <t>*- без учета праймера проходящего транзитом</t>
  </si>
  <si>
    <t>Металлические включения, образующие сквозные отверстия в полотне (4300 кг)</t>
  </si>
  <si>
    <t>Металлические включения, образующие сквозные отверстия в полотне(1100 кг)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</si>
</sst>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&quot; пр&quot;"/>
    <numFmt numFmtId="165" formatCode="#&quot; кг&quot;"/>
    <numFmt numFmtId="166" formatCode="#&quot; акт(ов)&quot;"/>
    <numFmt numFmtId="167" formatCode="#&quot; шт&quot;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9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1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3" xfId="0" applyFont="1" applyFill="1" applyBorder="1"/>
    <xf numFmtId="0" fontId="6" fillId="3" borderId="4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49" fontId="6" fillId="4" borderId="1" xfId="0" applyNumberFormat="1" applyFont="1" applyFill="1" applyBorder="1" applyAlignment="1">
      <alignment horizontal="center" vertical="center"/>
    </xf>
    <xf numFmtId="0" fontId="5" fillId="3" borderId="4" xfId="0" applyFont="1" applyFill="1" applyBorder="1"/>
    <xf numFmtId="0" fontId="7" fillId="2" borderId="1" xfId="0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49" fontId="7" fillId="2" borderId="1" xfId="0" applyNumberFormat="1" applyFont="1" applyFill="1" applyBorder="1"/>
    <xf numFmtId="49" fontId="5" fillId="2" borderId="1" xfId="0" applyNumberFormat="1" applyFont="1" applyFill="1" applyBorder="1"/>
    <xf numFmtId="0" fontId="6" fillId="0" borderId="0" xfId="0" applyFont="1" applyAlignment="1">
      <alignment horizontal="center"/>
    </xf>
    <xf numFmtId="0" fontId="8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 applyAlignment="1">
      <alignment horizontal="left"/>
    </xf>
    <xf numFmtId="165" fontId="6" fillId="3" borderId="4" xfId="0" applyNumberFormat="1" applyFont="1" applyFill="1" applyBorder="1" applyAlignment="1">
      <alignment horizontal="right"/>
    </xf>
    <xf numFmtId="166" fontId="6" fillId="3" borderId="4" xfId="0" applyNumberFormat="1" applyFont="1" applyFill="1" applyBorder="1" applyAlignment="1">
      <alignment horizontal="right"/>
    </xf>
    <xf numFmtId="165" fontId="6" fillId="3" borderId="5" xfId="0" applyNumberFormat="1" applyFont="1" applyFill="1" applyBorder="1"/>
    <xf numFmtId="49" fontId="7" fillId="2" borderId="1" xfId="0" applyNumberFormat="1" applyFont="1" applyFill="1" applyBorder="1" applyAlignment="1">
      <alignment horizontal="right"/>
    </xf>
    <xf numFmtId="49" fontId="5" fillId="2" borderId="1" xfId="0" applyNumberFormat="1" applyFont="1" applyFill="1" applyBorder="1" applyAlignment="1">
      <alignment horizontal="right"/>
    </xf>
    <xf numFmtId="164" fontId="6" fillId="3" borderId="4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0" fillId="2" borderId="8" xfId="0" applyFill="1" applyBorder="1"/>
    <xf numFmtId="14" fontId="0" fillId="2" borderId="8" xfId="0" applyNumberFormat="1" applyFill="1" applyBorder="1"/>
    <xf numFmtId="0" fontId="6" fillId="2" borderId="8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164" fontId="6" fillId="5" borderId="4" xfId="0" applyNumberFormat="1" applyFont="1" applyFill="1" applyBorder="1" applyAlignment="1">
      <alignment horizontal="right" vertical="center"/>
    </xf>
    <xf numFmtId="165" fontId="6" fillId="5" borderId="4" xfId="0" applyNumberFormat="1" applyFont="1" applyFill="1" applyBorder="1" applyAlignment="1">
      <alignment horizontal="right" vertical="center"/>
    </xf>
    <xf numFmtId="166" fontId="6" fillId="5" borderId="4" xfId="0" applyNumberFormat="1" applyFont="1" applyFill="1" applyBorder="1" applyAlignment="1">
      <alignment horizontal="right" vertical="center"/>
    </xf>
    <xf numFmtId="165" fontId="6" fillId="5" borderId="5" xfId="0" applyNumberFormat="1" applyFont="1" applyFill="1" applyBorder="1" applyAlignment="1">
      <alignment horizontal="right" vertical="center"/>
    </xf>
    <xf numFmtId="0" fontId="3" fillId="3" borderId="4" xfId="0" applyFont="1" applyFill="1" applyBorder="1"/>
    <xf numFmtId="0" fontId="11" fillId="4" borderId="0" xfId="0" applyFont="1" applyFill="1" applyAlignment="1">
      <alignment horizontal="right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 shrinkToFit="1"/>
    </xf>
    <xf numFmtId="0" fontId="8" fillId="6" borderId="1" xfId="0" applyFont="1" applyFill="1" applyBorder="1" applyAlignment="1">
      <alignment horizontal="center" vertical="center" wrapText="1" shrinkToFit="1"/>
    </xf>
    <xf numFmtId="0" fontId="9" fillId="0" borderId="0" xfId="0" applyFont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9" fillId="6" borderId="2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 shrinkToFit="1"/>
    </xf>
    <xf numFmtId="14" fontId="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 shrinkToFit="1"/>
    </xf>
    <xf numFmtId="14" fontId="9" fillId="0" borderId="8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center" vertical="center" wrapText="1" shrinkToFit="1"/>
    </xf>
    <xf numFmtId="0" fontId="7" fillId="0" borderId="1" xfId="0" applyFont="1" applyFill="1" applyBorder="1"/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 shrinkToFit="1"/>
    </xf>
    <xf numFmtId="14" fontId="9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0" fillId="0" borderId="0" xfId="0" applyFill="1"/>
    <xf numFmtId="0" fontId="11" fillId="0" borderId="0" xfId="0" applyFont="1" applyFill="1" applyAlignment="1">
      <alignment horizontal="right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3" xfId="0" applyFont="1" applyFill="1" applyBorder="1"/>
    <xf numFmtId="0" fontId="6" fillId="0" borderId="4" xfId="0" applyFont="1" applyFill="1" applyBorder="1"/>
    <xf numFmtId="164" fontId="6" fillId="0" borderId="4" xfId="0" applyNumberFormat="1" applyFont="1" applyFill="1" applyBorder="1" applyAlignment="1">
      <alignment horizontal="right"/>
    </xf>
    <xf numFmtId="165" fontId="6" fillId="0" borderId="4" xfId="0" applyNumberFormat="1" applyFont="1" applyFill="1" applyBorder="1" applyAlignment="1">
      <alignment horizontal="right"/>
    </xf>
    <xf numFmtId="166" fontId="6" fillId="0" borderId="4" xfId="0" applyNumberFormat="1" applyFont="1" applyFill="1" applyBorder="1" applyAlignment="1">
      <alignment horizontal="right"/>
    </xf>
    <xf numFmtId="0" fontId="5" fillId="0" borderId="4" xfId="0" applyFont="1" applyFill="1" applyBorder="1"/>
    <xf numFmtId="165" fontId="6" fillId="0" borderId="5" xfId="0" applyNumberFormat="1" applyFont="1" applyFill="1" applyBorder="1"/>
    <xf numFmtId="0" fontId="3" fillId="0" borderId="0" xfId="0" applyFont="1" applyFill="1"/>
    <xf numFmtId="0" fontId="5" fillId="0" borderId="1" xfId="0" applyFont="1" applyFill="1" applyBorder="1"/>
    <xf numFmtId="0" fontId="9" fillId="0" borderId="8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 wrapText="1" shrinkToFit="1"/>
    </xf>
    <xf numFmtId="14" fontId="9" fillId="0" borderId="8" xfId="0" applyNumberFormat="1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 wrapText="1" shrinkToFit="1"/>
    </xf>
    <xf numFmtId="14" fontId="9" fillId="0" borderId="13" xfId="0" applyNumberFormat="1" applyFont="1" applyFill="1" applyBorder="1" applyAlignment="1">
      <alignment horizontal="center" vertical="center" wrapText="1"/>
    </xf>
    <xf numFmtId="0" fontId="3" fillId="0" borderId="4" xfId="0" applyFont="1" applyFill="1" applyBorder="1"/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164" fontId="6" fillId="0" borderId="4" xfId="0" applyNumberFormat="1" applyFont="1" applyFill="1" applyBorder="1" applyAlignment="1">
      <alignment horizontal="right" vertical="center"/>
    </xf>
    <xf numFmtId="165" fontId="6" fillId="0" borderId="4" xfId="0" applyNumberFormat="1" applyFont="1" applyFill="1" applyBorder="1" applyAlignment="1">
      <alignment horizontal="right" vertical="center"/>
    </xf>
    <xf numFmtId="166" fontId="6" fillId="0" borderId="4" xfId="0" applyNumberFormat="1" applyFont="1" applyFill="1" applyBorder="1" applyAlignment="1">
      <alignment horizontal="right" vertical="center"/>
    </xf>
    <xf numFmtId="165" fontId="6" fillId="0" borderId="5" xfId="0" applyNumberFormat="1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/>
    </xf>
    <xf numFmtId="49" fontId="9" fillId="0" borderId="8" xfId="0" applyNumberFormat="1" applyFont="1" applyFill="1" applyBorder="1" applyAlignment="1">
      <alignment horizontal="center" vertical="center"/>
    </xf>
    <xf numFmtId="0" fontId="9" fillId="0" borderId="13" xfId="0" applyNumberFormat="1" applyFont="1" applyFill="1" applyBorder="1" applyAlignment="1">
      <alignment horizontal="center" vertical="center" wrapText="1" shrinkToFit="1"/>
    </xf>
    <xf numFmtId="49" fontId="9" fillId="0" borderId="13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right"/>
    </xf>
    <xf numFmtId="49" fontId="7" fillId="0" borderId="1" xfId="0" applyNumberFormat="1" applyFont="1" applyFill="1" applyBorder="1"/>
    <xf numFmtId="14" fontId="7" fillId="0" borderId="1" xfId="0" applyNumberFormat="1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/>
    <xf numFmtId="0" fontId="5" fillId="0" borderId="1" xfId="0" applyFont="1" applyFill="1" applyBorder="1" applyAlignment="1">
      <alignment horizontal="right"/>
    </xf>
    <xf numFmtId="49" fontId="7" fillId="0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horizontal="right"/>
    </xf>
    <xf numFmtId="49" fontId="9" fillId="0" borderId="13" xfId="0" applyNumberFormat="1" applyFont="1" applyFill="1" applyBorder="1" applyAlignment="1">
      <alignment horizontal="center" vertical="center" wrapText="1"/>
    </xf>
    <xf numFmtId="167" fontId="6" fillId="0" borderId="4" xfId="0" applyNumberFormat="1" applyFont="1" applyFill="1" applyBorder="1" applyAlignment="1">
      <alignment horizontal="right"/>
    </xf>
    <xf numFmtId="167" fontId="6" fillId="0" borderId="4" xfId="0" applyNumberFormat="1" applyFont="1" applyFill="1" applyBorder="1" applyAlignment="1">
      <alignment horizontal="right" vertical="center"/>
    </xf>
    <xf numFmtId="167" fontId="6" fillId="0" borderId="5" xfId="0" applyNumberFormat="1" applyFont="1" applyFill="1" applyBorder="1"/>
    <xf numFmtId="167" fontId="6" fillId="0" borderId="5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 shrinkToFit="1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0" fillId="0" borderId="1" xfId="0" applyFill="1" applyBorder="1"/>
    <xf numFmtId="0" fontId="9" fillId="0" borderId="13" xfId="0" applyFont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 wrapText="1" shrinkToFit="1"/>
    </xf>
    <xf numFmtId="14" fontId="9" fillId="0" borderId="13" xfId="0" applyNumberFormat="1" applyFont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/>
    </xf>
    <xf numFmtId="0" fontId="9" fillId="0" borderId="8" xfId="0" applyNumberFormat="1" applyFont="1" applyFill="1" applyBorder="1" applyAlignment="1">
      <alignment horizontal="center" vertical="center" wrapText="1" shrinkToFit="1"/>
    </xf>
    <xf numFmtId="0" fontId="7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167" fontId="6" fillId="3" borderId="4" xfId="0" applyNumberFormat="1" applyFont="1" applyFill="1" applyBorder="1" applyAlignment="1">
      <alignment horizontal="right"/>
    </xf>
    <xf numFmtId="167" fontId="6" fillId="3" borderId="5" xfId="0" applyNumberFormat="1" applyFont="1" applyFill="1" applyBorder="1"/>
    <xf numFmtId="167" fontId="6" fillId="5" borderId="4" xfId="0" applyNumberFormat="1" applyFont="1" applyFill="1" applyBorder="1" applyAlignment="1">
      <alignment horizontal="right" vertical="center"/>
    </xf>
    <xf numFmtId="167" fontId="6" fillId="5" borderId="5" xfId="0" applyNumberFormat="1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 vertical="center"/>
    </xf>
    <xf numFmtId="14" fontId="0" fillId="0" borderId="1" xfId="0" applyNumberFormat="1" applyFill="1" applyBorder="1"/>
    <xf numFmtId="0" fontId="6" fillId="0" borderId="8" xfId="0" applyFont="1" applyFill="1" applyBorder="1" applyAlignment="1">
      <alignment horizontal="center"/>
    </xf>
    <xf numFmtId="0" fontId="0" fillId="0" borderId="8" xfId="0" applyFill="1" applyBorder="1"/>
    <xf numFmtId="14" fontId="0" fillId="0" borderId="8" xfId="0" applyNumberFormat="1" applyFill="1" applyBorder="1"/>
    <xf numFmtId="0" fontId="12" fillId="0" borderId="13" xfId="0" applyNumberFormat="1" applyFont="1" applyFill="1" applyBorder="1" applyAlignment="1">
      <alignment horizontal="center" vertical="center" wrapText="1" shrinkToFit="1"/>
    </xf>
    <xf numFmtId="14" fontId="12" fillId="0" borderId="13" xfId="0" applyNumberFormat="1" applyFont="1" applyFill="1" applyBorder="1" applyAlignment="1">
      <alignment horizontal="center" vertical="center" wrapText="1"/>
    </xf>
    <xf numFmtId="0" fontId="12" fillId="0" borderId="8" xfId="0" applyNumberFormat="1" applyFont="1" applyFill="1" applyBorder="1" applyAlignment="1">
      <alignment horizontal="center" vertical="center" wrapText="1" shrinkToFit="1"/>
    </xf>
    <xf numFmtId="14" fontId="12" fillId="0" borderId="8" xfId="0" applyNumberFormat="1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 shrinkToFit="1"/>
    </xf>
    <xf numFmtId="0" fontId="12" fillId="0" borderId="1" xfId="0" applyFont="1" applyFill="1" applyBorder="1" applyAlignment="1">
      <alignment horizontal="center" vertical="center" wrapText="1" shrinkToFit="1"/>
    </xf>
    <xf numFmtId="14" fontId="12" fillId="0" borderId="1" xfId="0" applyNumberFormat="1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left" vertical="center"/>
    </xf>
    <xf numFmtId="0" fontId="12" fillId="0" borderId="13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 shrinkToFit="1"/>
    </xf>
    <xf numFmtId="0" fontId="12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Fill="1" applyBorder="1" applyAlignment="1">
      <alignment horizontal="left" vertical="center"/>
    </xf>
    <xf numFmtId="0" fontId="6" fillId="0" borderId="4" xfId="0" applyFont="1" applyBorder="1"/>
    <xf numFmtId="0" fontId="6" fillId="0" borderId="5" xfId="0" applyFont="1" applyBorder="1"/>
    <xf numFmtId="0" fontId="0" fillId="0" borderId="3" xfId="0" applyBorder="1"/>
    <xf numFmtId="0" fontId="5" fillId="0" borderId="1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6" fillId="0" borderId="4" xfId="0" applyFont="1" applyBorder="1" applyAlignment="1">
      <alignment horizontal="left"/>
    </xf>
    <xf numFmtId="164" fontId="6" fillId="0" borderId="4" xfId="0" applyNumberFormat="1" applyFont="1" applyFill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6" fillId="0" borderId="4" xfId="0" applyFont="1" applyFill="1" applyBorder="1" applyAlignment="1">
      <alignment horizontal="right"/>
    </xf>
    <xf numFmtId="0" fontId="6" fillId="0" borderId="1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2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/>
    </xf>
    <xf numFmtId="0" fontId="9" fillId="0" borderId="8" xfId="0" applyNumberFormat="1" applyFont="1" applyBorder="1" applyAlignment="1">
      <alignment horizontal="center" vertical="center" wrapText="1"/>
    </xf>
    <xf numFmtId="0" fontId="9" fillId="0" borderId="0" xfId="0" applyNumberFormat="1" applyFont="1" applyAlignment="1">
      <alignment horizontal="center" vertical="center" wrapText="1" shrinkToFit="1"/>
    </xf>
    <xf numFmtId="0" fontId="9" fillId="6" borderId="2" xfId="0" applyNumberFormat="1" applyFont="1" applyFill="1" applyBorder="1" applyAlignment="1">
      <alignment horizontal="center" vertical="center" wrapText="1" shrinkToFit="1"/>
    </xf>
    <xf numFmtId="0" fontId="8" fillId="6" borderId="1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Alignment="1">
      <alignment horizontal="center" vertical="center" wrapText="1" shrinkToFit="1"/>
    </xf>
    <xf numFmtId="14" fontId="9" fillId="0" borderId="8" xfId="0" applyNumberFormat="1" applyFont="1" applyBorder="1" applyAlignment="1">
      <alignment horizontal="center" vertical="center" wrapText="1" shrinkToFit="1"/>
    </xf>
    <xf numFmtId="0" fontId="9" fillId="0" borderId="8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8" xfId="0" applyNumberFormat="1" applyFont="1" applyFill="1" applyBorder="1" applyAlignment="1">
      <alignment horizontal="center" vertical="center" wrapText="1" shrinkToFit="1"/>
    </xf>
    <xf numFmtId="14" fontId="13" fillId="0" borderId="8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/>
    <xf numFmtId="0" fontId="0" fillId="0" borderId="3" xfId="0" applyFill="1" applyBorder="1"/>
    <xf numFmtId="0" fontId="6" fillId="0" borderId="4" xfId="0" applyFont="1" applyFill="1" applyBorder="1" applyAlignment="1">
      <alignment horizontal="left"/>
    </xf>
    <xf numFmtId="0" fontId="6" fillId="0" borderId="5" xfId="0" applyFont="1" applyFill="1" applyBorder="1"/>
    <xf numFmtId="0" fontId="9" fillId="0" borderId="8" xfId="0" applyNumberFormat="1" applyFont="1" applyFill="1" applyBorder="1" applyAlignment="1">
      <alignment horizontal="center" vertical="center" wrapText="1"/>
    </xf>
    <xf numFmtId="14" fontId="9" fillId="0" borderId="8" xfId="0" applyNumberFormat="1" applyFont="1" applyFill="1" applyBorder="1" applyAlignment="1">
      <alignment horizontal="center" vertical="center" wrapText="1" shrinkToFit="1"/>
    </xf>
    <xf numFmtId="0" fontId="9" fillId="0" borderId="8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9" fillId="0" borderId="8" xfId="0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/>
    </xf>
    <xf numFmtId="0" fontId="8" fillId="0" borderId="1" xfId="0" applyFont="1" applyFill="1" applyBorder="1"/>
    <xf numFmtId="14" fontId="9" fillId="0" borderId="13" xfId="0" applyNumberFormat="1" applyFont="1" applyFill="1" applyBorder="1" applyAlignment="1">
      <alignment horizontal="center" vertical="center" wrapText="1" shrinkToFit="1"/>
    </xf>
    <xf numFmtId="0" fontId="4" fillId="0" borderId="8" xfId="0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49" fontId="9" fillId="0" borderId="8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3" xfId="0" applyFont="1" applyFill="1" applyBorder="1"/>
    <xf numFmtId="0" fontId="5" fillId="0" borderId="5" xfId="0" applyFont="1" applyFill="1" applyBorder="1"/>
    <xf numFmtId="0" fontId="4" fillId="0" borderId="1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10" fillId="0" borderId="9" xfId="0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8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/>
    </xf>
    <xf numFmtId="49" fontId="6" fillId="0" borderId="5" xfId="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2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14"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FF5F51-900D-4DE1-AC88-5A594CADDFCE}" name="Таблица2" displayName="Таблица2" ref="A2:I220" totalsRowShown="0" headerRowDxfId="13" headerRowBorderDxfId="12" tableBorderDxfId="11">
  <autoFilter ref="A2:I220" xr:uid="{706EF4E5-8C70-4D3E-BBBC-9800AAA6C39A}"/>
  <tableColumns count="9">
    <tableColumn id="1" xr3:uid="{EA1E1B4B-9A26-4EB3-B51B-84AEFF233EF5}" name="Выборка/Наименование" dataDxfId="10"/>
    <tableColumn id="2" xr3:uid="{D9ABFFA8-8AFA-4BF2-88EF-F501A1749921}" name="/Партии" dataDxfId="9"/>
    <tableColumn id="3" xr3:uid="{931A0C37-FA8C-45DC-AEAA-62BA7D397266}" name="/Дата" dataDxfId="8"/>
    <tableColumn id="4" xr3:uid="{239C2BCB-D81C-4AAE-A75B-7B6016DA9090}" name="/Кол-во" dataDxfId="7"/>
    <tableColumn id="5" xr3:uid="{205DF198-B67E-4EB8-BC84-11680164FDA3}" name="/Вх.контроль" dataDxfId="6"/>
    <tableColumn id="9" xr3:uid="{0DCF45F5-7294-4B46-B758-A3E70CF35F62}" name="Причина/вх" dataDxfId="5"/>
    <tableColumn id="6" xr3:uid="{2D8E564A-A0B8-45DA-B638-FAB72CC0B39A}" name="/Отбраковка" dataDxfId="4"/>
    <tableColumn id="10" xr3:uid="{F938144E-EADD-4C9C-A468-DA68E8933979}" name="Причина/отб" dataDxfId="3"/>
    <tableColumn id="7" xr3:uid="{C641D73E-A6F8-4F0E-88CF-E6DE043C44CA}" name="/Кол-во,отб-ки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A1D25-F1D3-40CA-AF18-13F9FB1BD49B}" name="Вид" displayName="Вид" ref="A1:B33" totalsRowShown="0" headerRowDxfId="1">
  <autoFilter ref="A1:B33" xr:uid="{3B847936-9E41-4848-889F-1A28276FF736}"/>
  <sortState xmlns:xlrd2="http://schemas.microsoft.com/office/spreadsheetml/2017/richdata2" ref="A2:A7">
    <sortCondition ref="A1:A7"/>
  </sortState>
  <tableColumns count="2">
    <tableColumn id="1" xr3:uid="{2C862E00-383B-4DF9-BA89-D357D6107182}" name="Наименование"/>
    <tableColumn id="3" xr3:uid="{FFDED820-E247-4B34-9DCD-60DEECCF60B3}" name="I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2A0D-EE2D-4A70-B58F-87BD645346C9}">
  <sheetPr codeName="Лист1">
    <pageSetUpPr fitToPage="1"/>
  </sheetPr>
  <dimension ref="A1:K349"/>
  <sheetViews>
    <sheetView zoomScaleNormal="100" workbookViewId="0">
      <pane ySplit="3" topLeftCell="A175" activePane="bottomLeft" state="frozen"/>
      <selection pane="bottomLeft" activeCell="M283" sqref="M283"/>
    </sheetView>
  </sheetViews>
  <sheetFormatPr defaultRowHeight="15" x14ac:dyDescent="0.25"/>
  <cols>
    <col min="1" max="1" width="44" style="20" customWidth="1"/>
    <col min="2" max="2" width="13.5703125" style="201" customWidth="1"/>
    <col min="3" max="3" width="17.7109375" style="61" customWidth="1"/>
    <col min="4" max="4" width="12.140625" style="57" customWidth="1"/>
    <col min="5" max="5" width="16.5703125" style="51" customWidth="1"/>
    <col min="6" max="6" width="16.5703125" style="63" customWidth="1"/>
    <col min="7" max="7" width="17.140625" style="63" customWidth="1"/>
    <col min="8" max="8" width="14.7109375" style="63" customWidth="1"/>
    <col min="9" max="9" width="17.5703125" style="20" customWidth="1"/>
    <col min="10" max="10" width="20.42578125" customWidth="1"/>
    <col min="11" max="11" width="22.28515625" customWidth="1"/>
  </cols>
  <sheetData>
    <row r="1" spans="1:11" ht="27" customHeight="1" x14ac:dyDescent="0.25">
      <c r="A1" s="246" t="s">
        <v>26</v>
      </c>
      <c r="B1" s="247"/>
      <c r="C1" s="247"/>
      <c r="D1" s="248"/>
      <c r="E1" s="243" t="s">
        <v>27</v>
      </c>
      <c r="F1" s="244"/>
      <c r="G1" s="244"/>
      <c r="H1" s="244"/>
      <c r="I1" s="245"/>
      <c r="J1" s="240"/>
      <c r="K1" s="242"/>
    </row>
    <row r="2" spans="1:11" ht="23.25" customHeight="1" x14ac:dyDescent="0.25">
      <c r="A2" s="47" t="s">
        <v>101</v>
      </c>
      <c r="B2" s="199" t="s">
        <v>104</v>
      </c>
      <c r="C2" s="58" t="s">
        <v>102</v>
      </c>
      <c r="D2" s="54" t="s">
        <v>103</v>
      </c>
      <c r="E2" s="48" t="s">
        <v>105</v>
      </c>
      <c r="F2" s="50" t="s">
        <v>121</v>
      </c>
      <c r="G2" s="50" t="s">
        <v>106</v>
      </c>
      <c r="H2" s="50" t="s">
        <v>120</v>
      </c>
      <c r="I2" s="38" t="s">
        <v>107</v>
      </c>
      <c r="J2" s="240"/>
      <c r="K2" s="242"/>
    </row>
    <row r="3" spans="1:11" ht="45" x14ac:dyDescent="0.25">
      <c r="A3" s="49"/>
      <c r="B3" s="200" t="s">
        <v>24</v>
      </c>
      <c r="C3" s="59" t="s">
        <v>25</v>
      </c>
      <c r="D3" s="55" t="s">
        <v>122</v>
      </c>
      <c r="E3" s="19" t="s">
        <v>29</v>
      </c>
      <c r="F3" s="19" t="s">
        <v>115</v>
      </c>
      <c r="G3" s="19" t="s">
        <v>28</v>
      </c>
      <c r="H3" s="19" t="s">
        <v>115</v>
      </c>
      <c r="I3" s="64" t="s">
        <v>30</v>
      </c>
      <c r="J3" s="241"/>
      <c r="K3" s="242"/>
    </row>
    <row r="4" spans="1:11" s="233" customFormat="1" x14ac:dyDescent="0.25">
      <c r="A4" s="232" t="s">
        <v>54</v>
      </c>
      <c r="B4" s="132">
        <v>171</v>
      </c>
      <c r="C4" s="67">
        <v>43479</v>
      </c>
      <c r="D4" s="66">
        <v>2000</v>
      </c>
      <c r="E4" s="68"/>
      <c r="F4" s="68"/>
      <c r="G4" s="68"/>
      <c r="H4" s="68"/>
      <c r="I4" s="232"/>
    </row>
    <row r="5" spans="1:11" s="233" customFormat="1" ht="32.450000000000003" customHeight="1" x14ac:dyDescent="0.25">
      <c r="A5" s="232" t="s">
        <v>70</v>
      </c>
      <c r="B5" s="132">
        <v>11</v>
      </c>
      <c r="C5" s="67">
        <v>43480</v>
      </c>
      <c r="D5" s="66">
        <v>19500</v>
      </c>
      <c r="E5" s="68"/>
      <c r="F5" s="68"/>
      <c r="G5" s="68"/>
      <c r="H5" s="68"/>
      <c r="I5" s="232"/>
    </row>
    <row r="6" spans="1:11" s="233" customFormat="1" ht="77.25" customHeight="1" x14ac:dyDescent="0.25">
      <c r="A6" s="232" t="s">
        <v>37</v>
      </c>
      <c r="B6" s="132" t="s">
        <v>110</v>
      </c>
      <c r="C6" s="67">
        <v>43481</v>
      </c>
      <c r="D6" s="66">
        <v>9862</v>
      </c>
      <c r="E6" s="68" t="s">
        <v>116</v>
      </c>
      <c r="F6" s="68" t="s">
        <v>117</v>
      </c>
      <c r="G6" s="68" t="s">
        <v>118</v>
      </c>
      <c r="H6" s="68" t="s">
        <v>119</v>
      </c>
      <c r="I6" s="232">
        <v>440</v>
      </c>
    </row>
    <row r="7" spans="1:11" s="233" customFormat="1" ht="121.15" customHeight="1" x14ac:dyDescent="0.25">
      <c r="A7" s="232" t="s">
        <v>31</v>
      </c>
      <c r="B7" s="132" t="s">
        <v>108</v>
      </c>
      <c r="C7" s="67">
        <v>43488</v>
      </c>
      <c r="D7" s="66">
        <v>19959</v>
      </c>
      <c r="E7" s="68" t="s">
        <v>123</v>
      </c>
      <c r="F7" s="68" t="s">
        <v>124</v>
      </c>
      <c r="G7" s="68"/>
      <c r="H7" s="68"/>
      <c r="I7" s="232"/>
    </row>
    <row r="8" spans="1:11" s="233" customFormat="1" ht="130.15" customHeight="1" x14ac:dyDescent="0.25">
      <c r="A8" s="232" t="s">
        <v>37</v>
      </c>
      <c r="B8" s="132">
        <v>2</v>
      </c>
      <c r="C8" s="67">
        <v>43489</v>
      </c>
      <c r="D8" s="66">
        <v>9886</v>
      </c>
      <c r="E8" s="68" t="s">
        <v>125</v>
      </c>
      <c r="F8" s="68" t="s">
        <v>126</v>
      </c>
      <c r="G8" s="68"/>
      <c r="H8" s="68"/>
      <c r="I8" s="232"/>
    </row>
    <row r="9" spans="1:11" s="233" customFormat="1" ht="65.45" customHeight="1" x14ac:dyDescent="0.25">
      <c r="A9" s="232" t="s">
        <v>34</v>
      </c>
      <c r="B9" s="132">
        <v>322</v>
      </c>
      <c r="C9" s="67">
        <v>43490</v>
      </c>
      <c r="D9" s="66">
        <v>2106</v>
      </c>
      <c r="E9" s="68"/>
      <c r="F9" s="68"/>
      <c r="G9" s="68"/>
      <c r="H9" s="68"/>
      <c r="I9" s="232"/>
    </row>
    <row r="10" spans="1:11" s="233" customFormat="1" ht="48.75" customHeight="1" x14ac:dyDescent="0.25">
      <c r="A10" s="232" t="s">
        <v>54</v>
      </c>
      <c r="B10" s="132">
        <v>173</v>
      </c>
      <c r="C10" s="67">
        <v>43493</v>
      </c>
      <c r="D10" s="66">
        <v>600</v>
      </c>
      <c r="E10" s="68"/>
      <c r="F10" s="68"/>
      <c r="G10" s="68"/>
      <c r="H10" s="68"/>
      <c r="I10" s="232"/>
    </row>
    <row r="11" spans="1:11" s="233" customFormat="1" ht="57.75" customHeight="1" x14ac:dyDescent="0.25">
      <c r="A11" s="232" t="s">
        <v>63</v>
      </c>
      <c r="B11" s="132">
        <v>42</v>
      </c>
      <c r="C11" s="67">
        <v>43494</v>
      </c>
      <c r="D11" s="66">
        <v>3000</v>
      </c>
      <c r="E11" s="68"/>
      <c r="F11" s="68"/>
      <c r="G11" s="68"/>
      <c r="H11" s="68"/>
      <c r="I11" s="232"/>
    </row>
    <row r="12" spans="1:11" s="233" customFormat="1" x14ac:dyDescent="0.25">
      <c r="A12" s="232" t="s">
        <v>73</v>
      </c>
      <c r="B12" s="132">
        <v>255</v>
      </c>
      <c r="C12" s="67">
        <v>43497</v>
      </c>
      <c r="D12" s="66">
        <v>2556</v>
      </c>
      <c r="E12" s="68"/>
      <c r="F12" s="68"/>
      <c r="G12" s="68"/>
      <c r="H12" s="68"/>
      <c r="I12" s="232"/>
    </row>
    <row r="13" spans="1:11" s="233" customFormat="1" ht="105" x14ac:dyDescent="0.25">
      <c r="A13" s="232" t="s">
        <v>37</v>
      </c>
      <c r="B13" s="132" t="s">
        <v>111</v>
      </c>
      <c r="C13" s="67">
        <v>43497</v>
      </c>
      <c r="D13" s="66">
        <v>9804</v>
      </c>
      <c r="E13" s="68" t="s">
        <v>127</v>
      </c>
      <c r="F13" s="68" t="s">
        <v>128</v>
      </c>
      <c r="G13" s="68"/>
      <c r="H13" s="68"/>
      <c r="I13" s="232"/>
    </row>
    <row r="14" spans="1:11" s="233" customFormat="1" ht="41.45" customHeight="1" x14ac:dyDescent="0.25">
      <c r="A14" s="232" t="s">
        <v>54</v>
      </c>
      <c r="B14" s="132">
        <v>179.18</v>
      </c>
      <c r="C14" s="67">
        <v>43501</v>
      </c>
      <c r="D14" s="66">
        <v>4900</v>
      </c>
      <c r="E14" s="68"/>
      <c r="F14" s="68"/>
      <c r="G14" s="68"/>
      <c r="H14" s="68"/>
      <c r="I14" s="232"/>
    </row>
    <row r="15" spans="1:11" s="233" customFormat="1" x14ac:dyDescent="0.25">
      <c r="A15" s="232" t="s">
        <v>70</v>
      </c>
      <c r="B15" s="132">
        <v>11.12</v>
      </c>
      <c r="C15" s="67">
        <v>43503</v>
      </c>
      <c r="D15" s="66">
        <v>19500</v>
      </c>
      <c r="E15" s="68"/>
      <c r="F15" s="68"/>
      <c r="G15" s="68"/>
      <c r="H15" s="68"/>
      <c r="I15" s="232"/>
    </row>
    <row r="16" spans="1:11" s="233" customFormat="1" ht="150" x14ac:dyDescent="0.25">
      <c r="A16" s="232" t="s">
        <v>31</v>
      </c>
      <c r="B16" s="132" t="s">
        <v>109</v>
      </c>
      <c r="C16" s="67">
        <v>43507</v>
      </c>
      <c r="D16" s="66">
        <v>19978</v>
      </c>
      <c r="E16" s="68" t="s">
        <v>129</v>
      </c>
      <c r="F16" s="68" t="s">
        <v>130</v>
      </c>
      <c r="G16" s="68" t="s">
        <v>187</v>
      </c>
      <c r="H16" s="68" t="s">
        <v>313</v>
      </c>
      <c r="I16" s="232">
        <v>95</v>
      </c>
    </row>
    <row r="17" spans="1:9" s="233" customFormat="1" ht="137.44999999999999" customHeight="1" x14ac:dyDescent="0.25">
      <c r="A17" s="232" t="s">
        <v>37</v>
      </c>
      <c r="B17" s="132" t="s">
        <v>112</v>
      </c>
      <c r="C17" s="67">
        <v>43507</v>
      </c>
      <c r="D17" s="66">
        <v>9890</v>
      </c>
      <c r="E17" s="68" t="s">
        <v>131</v>
      </c>
      <c r="F17" s="68" t="s">
        <v>132</v>
      </c>
      <c r="G17" s="68" t="s">
        <v>139</v>
      </c>
      <c r="H17" s="68" t="s">
        <v>154</v>
      </c>
      <c r="I17" s="232">
        <v>385.3</v>
      </c>
    </row>
    <row r="18" spans="1:9" s="233" customFormat="1" ht="114.6" customHeight="1" x14ac:dyDescent="0.25">
      <c r="A18" s="232" t="s">
        <v>32</v>
      </c>
      <c r="B18" s="132">
        <v>4</v>
      </c>
      <c r="C18" s="67">
        <v>43514</v>
      </c>
      <c r="D18" s="66">
        <v>19978</v>
      </c>
      <c r="E18" s="68" t="s">
        <v>133</v>
      </c>
      <c r="F18" s="68" t="s">
        <v>134</v>
      </c>
      <c r="G18" s="68"/>
      <c r="H18" s="68"/>
      <c r="I18" s="232"/>
    </row>
    <row r="19" spans="1:9" s="233" customFormat="1" x14ac:dyDescent="0.25">
      <c r="A19" s="232" t="s">
        <v>63</v>
      </c>
      <c r="B19" s="132">
        <v>44</v>
      </c>
      <c r="C19" s="67">
        <v>43515</v>
      </c>
      <c r="D19" s="66">
        <v>1200</v>
      </c>
      <c r="E19" s="68"/>
      <c r="F19" s="68"/>
      <c r="G19" s="68"/>
      <c r="H19" s="68"/>
      <c r="I19" s="232"/>
    </row>
    <row r="20" spans="1:9" s="233" customFormat="1" ht="138" customHeight="1" x14ac:dyDescent="0.25">
      <c r="A20" s="232" t="s">
        <v>37</v>
      </c>
      <c r="B20" s="132" t="s">
        <v>113</v>
      </c>
      <c r="C20" s="67">
        <v>43516</v>
      </c>
      <c r="D20" s="66">
        <v>9828</v>
      </c>
      <c r="E20" s="68" t="s">
        <v>135</v>
      </c>
      <c r="F20" s="68" t="s">
        <v>136</v>
      </c>
      <c r="G20" s="68"/>
      <c r="H20" s="68"/>
      <c r="I20" s="232"/>
    </row>
    <row r="21" spans="1:9" s="233" customFormat="1" x14ac:dyDescent="0.25">
      <c r="A21" s="232" t="s">
        <v>56</v>
      </c>
      <c r="B21" s="132">
        <v>120.31399999999999</v>
      </c>
      <c r="C21" s="67">
        <v>43517</v>
      </c>
      <c r="D21" s="66">
        <v>6218</v>
      </c>
      <c r="E21" s="68"/>
      <c r="F21" s="68"/>
      <c r="G21" s="68"/>
      <c r="H21" s="68"/>
      <c r="I21" s="232"/>
    </row>
    <row r="22" spans="1:9" s="233" customFormat="1" x14ac:dyDescent="0.25">
      <c r="A22" s="232" t="s">
        <v>63</v>
      </c>
      <c r="B22" s="132">
        <v>44</v>
      </c>
      <c r="C22" s="67">
        <v>43522</v>
      </c>
      <c r="D22" s="66">
        <v>3600</v>
      </c>
      <c r="E22" s="68"/>
      <c r="F22" s="68"/>
      <c r="G22" s="68"/>
      <c r="H22" s="68"/>
      <c r="I22" s="232"/>
    </row>
    <row r="23" spans="1:9" s="233" customFormat="1" x14ac:dyDescent="0.25">
      <c r="A23" s="232" t="s">
        <v>70</v>
      </c>
      <c r="B23" s="132">
        <v>12.13</v>
      </c>
      <c r="C23" s="67">
        <v>43522</v>
      </c>
      <c r="D23" s="66">
        <v>19500</v>
      </c>
      <c r="E23" s="68"/>
      <c r="F23" s="68"/>
      <c r="G23" s="68"/>
      <c r="H23" s="68"/>
      <c r="I23" s="232"/>
    </row>
    <row r="24" spans="1:9" s="233" customFormat="1" x14ac:dyDescent="0.25">
      <c r="A24" s="232" t="s">
        <v>54</v>
      </c>
      <c r="B24" s="132">
        <v>185.18700000000001</v>
      </c>
      <c r="C24" s="67">
        <v>43523</v>
      </c>
      <c r="D24" s="66">
        <v>4000</v>
      </c>
      <c r="E24" s="68"/>
      <c r="F24" s="68"/>
      <c r="G24" s="68"/>
      <c r="H24" s="68"/>
      <c r="I24" s="232"/>
    </row>
    <row r="25" spans="1:9" s="233" customFormat="1" ht="60" x14ac:dyDescent="0.25">
      <c r="A25" s="232" t="s">
        <v>37</v>
      </c>
      <c r="B25" s="132" t="s">
        <v>114</v>
      </c>
      <c r="C25" s="67">
        <v>43530</v>
      </c>
      <c r="D25" s="66">
        <v>9890</v>
      </c>
      <c r="E25" s="68" t="s">
        <v>137</v>
      </c>
      <c r="F25" s="68" t="s">
        <v>138</v>
      </c>
      <c r="G25" s="68"/>
      <c r="H25" s="68"/>
      <c r="I25" s="232"/>
    </row>
    <row r="26" spans="1:9" s="233" customFormat="1" x14ac:dyDescent="0.25">
      <c r="A26" s="232" t="s">
        <v>73</v>
      </c>
      <c r="B26" s="132">
        <v>780</v>
      </c>
      <c r="C26" s="67">
        <v>43531</v>
      </c>
      <c r="D26" s="66">
        <v>2566</v>
      </c>
      <c r="E26" s="68"/>
      <c r="F26" s="68"/>
      <c r="G26" s="68"/>
      <c r="H26" s="68"/>
      <c r="I26" s="232"/>
    </row>
    <row r="27" spans="1:9" s="233" customFormat="1" ht="30" x14ac:dyDescent="0.25">
      <c r="A27" s="234" t="s">
        <v>34</v>
      </c>
      <c r="B27" s="76">
        <v>322</v>
      </c>
      <c r="C27" s="73">
        <v>43538</v>
      </c>
      <c r="D27" s="72">
        <v>1615</v>
      </c>
      <c r="E27" s="75"/>
      <c r="F27" s="75"/>
      <c r="G27" s="75"/>
      <c r="H27" s="75"/>
      <c r="I27" s="234"/>
    </row>
    <row r="28" spans="1:9" s="233" customFormat="1" x14ac:dyDescent="0.25">
      <c r="A28" s="234" t="s">
        <v>69</v>
      </c>
      <c r="B28" s="76">
        <v>9</v>
      </c>
      <c r="C28" s="73">
        <v>43537</v>
      </c>
      <c r="D28" s="72">
        <v>18093</v>
      </c>
      <c r="E28" s="75"/>
      <c r="F28" s="75"/>
      <c r="G28" s="75"/>
      <c r="H28" s="75"/>
      <c r="I28" s="234"/>
    </row>
    <row r="29" spans="1:9" s="233" customFormat="1" x14ac:dyDescent="0.25">
      <c r="A29" s="234" t="s">
        <v>69</v>
      </c>
      <c r="B29" s="76">
        <v>10</v>
      </c>
      <c r="C29" s="73">
        <v>43538</v>
      </c>
      <c r="D29" s="72">
        <v>18282</v>
      </c>
      <c r="E29" s="75"/>
      <c r="F29" s="75"/>
      <c r="G29" s="75"/>
      <c r="H29" s="75"/>
      <c r="I29" s="234"/>
    </row>
    <row r="30" spans="1:9" s="233" customFormat="1" x14ac:dyDescent="0.25">
      <c r="A30" s="234" t="s">
        <v>63</v>
      </c>
      <c r="B30" s="76">
        <v>44</v>
      </c>
      <c r="C30" s="73">
        <v>43539</v>
      </c>
      <c r="D30" s="72">
        <v>450</v>
      </c>
      <c r="E30" s="75"/>
      <c r="F30" s="75"/>
      <c r="G30" s="75"/>
      <c r="H30" s="75"/>
      <c r="I30" s="234"/>
    </row>
    <row r="31" spans="1:9" s="233" customFormat="1" x14ac:dyDescent="0.25">
      <c r="A31" s="234" t="s">
        <v>56</v>
      </c>
      <c r="B31" s="76" t="s">
        <v>146</v>
      </c>
      <c r="C31" s="73">
        <v>43539</v>
      </c>
      <c r="D31" s="72">
        <v>3130</v>
      </c>
      <c r="E31" s="75"/>
      <c r="F31" s="75"/>
      <c r="G31" s="75"/>
      <c r="H31" s="75"/>
      <c r="I31" s="234"/>
    </row>
    <row r="32" spans="1:9" s="233" customFormat="1" ht="120" x14ac:dyDescent="0.25">
      <c r="A32" s="234" t="s">
        <v>37</v>
      </c>
      <c r="B32" s="76" t="s">
        <v>147</v>
      </c>
      <c r="C32" s="73">
        <v>43542</v>
      </c>
      <c r="D32" s="72">
        <v>9898</v>
      </c>
      <c r="E32" s="75" t="s">
        <v>149</v>
      </c>
      <c r="F32" s="68" t="s">
        <v>136</v>
      </c>
      <c r="G32" s="75" t="s">
        <v>164</v>
      </c>
      <c r="H32" s="75" t="s">
        <v>165</v>
      </c>
      <c r="I32" s="234">
        <v>146</v>
      </c>
    </row>
    <row r="33" spans="1:9" s="233" customFormat="1" x14ac:dyDescent="0.25">
      <c r="A33" s="234" t="s">
        <v>69</v>
      </c>
      <c r="B33" s="76">
        <v>14</v>
      </c>
      <c r="C33" s="73">
        <v>43544</v>
      </c>
      <c r="D33" s="72">
        <v>18120</v>
      </c>
      <c r="E33" s="75"/>
      <c r="F33" s="75"/>
      <c r="G33" s="75"/>
      <c r="H33" s="75"/>
      <c r="I33" s="234"/>
    </row>
    <row r="34" spans="1:9" s="233" customFormat="1" ht="60" x14ac:dyDescent="0.25">
      <c r="A34" s="234" t="s">
        <v>37</v>
      </c>
      <c r="B34" s="76" t="s">
        <v>148</v>
      </c>
      <c r="C34" s="73">
        <v>43545</v>
      </c>
      <c r="D34" s="72">
        <v>9908</v>
      </c>
      <c r="E34" s="75" t="s">
        <v>150</v>
      </c>
      <c r="F34" s="68" t="s">
        <v>138</v>
      </c>
      <c r="G34" s="75"/>
      <c r="H34" s="75"/>
      <c r="I34" s="234"/>
    </row>
    <row r="35" spans="1:9" s="233" customFormat="1" ht="60" x14ac:dyDescent="0.25">
      <c r="A35" s="234" t="s">
        <v>37</v>
      </c>
      <c r="B35" s="76" t="s">
        <v>151</v>
      </c>
      <c r="C35" s="73">
        <v>43551</v>
      </c>
      <c r="D35" s="76">
        <v>1000</v>
      </c>
      <c r="E35" s="75" t="s">
        <v>152</v>
      </c>
      <c r="F35" s="68" t="s">
        <v>138</v>
      </c>
      <c r="G35" s="75"/>
      <c r="H35" s="75"/>
      <c r="I35" s="234"/>
    </row>
    <row r="36" spans="1:9" s="233" customFormat="1" x14ac:dyDescent="0.25">
      <c r="A36" s="234" t="s">
        <v>63</v>
      </c>
      <c r="B36" s="132">
        <v>46</v>
      </c>
      <c r="C36" s="67">
        <v>43551</v>
      </c>
      <c r="D36" s="132">
        <v>2550</v>
      </c>
      <c r="E36" s="75"/>
      <c r="F36" s="75"/>
      <c r="G36" s="75"/>
      <c r="H36" s="75"/>
      <c r="I36" s="234"/>
    </row>
    <row r="37" spans="1:9" s="233" customFormat="1" x14ac:dyDescent="0.25">
      <c r="A37" s="234" t="s">
        <v>63</v>
      </c>
      <c r="B37" s="76">
        <v>44</v>
      </c>
      <c r="C37" s="73">
        <v>43553</v>
      </c>
      <c r="D37" s="76">
        <v>3000</v>
      </c>
      <c r="E37" s="75"/>
      <c r="F37" s="75"/>
      <c r="G37" s="75"/>
      <c r="H37" s="75"/>
      <c r="I37" s="234"/>
    </row>
    <row r="38" spans="1:9" s="233" customFormat="1" x14ac:dyDescent="0.25">
      <c r="A38" s="234" t="s">
        <v>54</v>
      </c>
      <c r="B38" s="76">
        <v>0</v>
      </c>
      <c r="C38" s="73">
        <v>43557</v>
      </c>
      <c r="D38" s="76">
        <v>8000</v>
      </c>
      <c r="E38" s="75"/>
      <c r="F38" s="75"/>
      <c r="G38" s="75"/>
      <c r="H38" s="75"/>
      <c r="I38" s="234"/>
    </row>
    <row r="39" spans="1:9" s="233" customFormat="1" x14ac:dyDescent="0.25">
      <c r="A39" s="234" t="s">
        <v>69</v>
      </c>
      <c r="B39" s="76">
        <v>12</v>
      </c>
      <c r="C39" s="73">
        <v>43557</v>
      </c>
      <c r="D39" s="76">
        <v>12226</v>
      </c>
      <c r="E39" s="75"/>
      <c r="F39" s="75"/>
      <c r="G39" s="75"/>
      <c r="H39" s="75"/>
      <c r="I39" s="234"/>
    </row>
    <row r="40" spans="1:9" s="233" customFormat="1" ht="45" x14ac:dyDescent="0.25">
      <c r="A40" s="234" t="s">
        <v>67</v>
      </c>
      <c r="B40" s="76" t="s">
        <v>166</v>
      </c>
      <c r="C40" s="73">
        <v>43557</v>
      </c>
      <c r="D40" s="76">
        <v>18772</v>
      </c>
      <c r="E40" s="75"/>
      <c r="F40" s="75"/>
      <c r="G40" s="75"/>
      <c r="H40" s="75"/>
      <c r="I40" s="234"/>
    </row>
    <row r="41" spans="1:9" s="233" customFormat="1" x14ac:dyDescent="0.25">
      <c r="A41" s="234" t="s">
        <v>73</v>
      </c>
      <c r="B41" s="76">
        <v>1195</v>
      </c>
      <c r="C41" s="73">
        <v>43558</v>
      </c>
      <c r="D41" s="76">
        <v>2520</v>
      </c>
      <c r="E41" s="75"/>
      <c r="F41" s="75"/>
      <c r="G41" s="75"/>
      <c r="H41" s="75"/>
      <c r="I41" s="234"/>
    </row>
    <row r="42" spans="1:9" s="233" customFormat="1" ht="60" x14ac:dyDescent="0.25">
      <c r="A42" s="234" t="s">
        <v>37</v>
      </c>
      <c r="B42" s="76">
        <v>95.96</v>
      </c>
      <c r="C42" s="73">
        <v>43558</v>
      </c>
      <c r="D42" s="76">
        <v>9900</v>
      </c>
      <c r="E42" s="75" t="s">
        <v>169</v>
      </c>
      <c r="F42" s="68" t="s">
        <v>138</v>
      </c>
      <c r="G42" s="75"/>
      <c r="H42" s="75"/>
      <c r="I42" s="234"/>
    </row>
    <row r="43" spans="1:9" s="233" customFormat="1" x14ac:dyDescent="0.25">
      <c r="A43" s="234" t="s">
        <v>69</v>
      </c>
      <c r="B43" s="76">
        <v>14</v>
      </c>
      <c r="C43" s="73">
        <v>43558</v>
      </c>
      <c r="D43" s="76">
        <v>19500</v>
      </c>
      <c r="E43" s="75"/>
      <c r="F43" s="75"/>
      <c r="G43" s="75"/>
      <c r="H43" s="75"/>
      <c r="I43" s="234"/>
    </row>
    <row r="44" spans="1:9" s="233" customFormat="1" x14ac:dyDescent="0.25">
      <c r="A44" s="234" t="s">
        <v>65</v>
      </c>
      <c r="B44" s="76">
        <v>35</v>
      </c>
      <c r="C44" s="73">
        <v>43559</v>
      </c>
      <c r="D44" s="76">
        <v>560</v>
      </c>
      <c r="E44" s="75"/>
      <c r="F44" s="75"/>
      <c r="G44" s="75"/>
      <c r="H44" s="75"/>
      <c r="I44" s="234"/>
    </row>
    <row r="45" spans="1:9" s="233" customFormat="1" ht="30" x14ac:dyDescent="0.25">
      <c r="A45" s="234" t="s">
        <v>34</v>
      </c>
      <c r="B45" s="76">
        <v>10.8</v>
      </c>
      <c r="C45" s="73">
        <v>43564</v>
      </c>
      <c r="D45" s="76">
        <v>1510</v>
      </c>
      <c r="E45" s="75"/>
      <c r="F45" s="75"/>
      <c r="G45" s="75"/>
      <c r="H45" s="75"/>
      <c r="I45" s="234"/>
    </row>
    <row r="46" spans="1:9" s="233" customFormat="1" ht="30" x14ac:dyDescent="0.25">
      <c r="A46" s="234" t="s">
        <v>35</v>
      </c>
      <c r="B46" s="76">
        <v>177</v>
      </c>
      <c r="C46" s="73">
        <v>43564</v>
      </c>
      <c r="D46" s="76">
        <v>418</v>
      </c>
      <c r="E46" s="75"/>
      <c r="F46" s="75"/>
      <c r="G46" s="75"/>
      <c r="H46" s="75"/>
      <c r="I46" s="234"/>
    </row>
    <row r="47" spans="1:9" s="233" customFormat="1" ht="60" x14ac:dyDescent="0.25">
      <c r="A47" s="234" t="s">
        <v>37</v>
      </c>
      <c r="B47" s="76" t="s">
        <v>167</v>
      </c>
      <c r="C47" s="73">
        <v>43566</v>
      </c>
      <c r="D47" s="76">
        <v>9904</v>
      </c>
      <c r="E47" s="75" t="s">
        <v>170</v>
      </c>
      <c r="F47" s="68" t="s">
        <v>138</v>
      </c>
      <c r="G47" s="75"/>
      <c r="H47" s="75"/>
      <c r="I47" s="234"/>
    </row>
    <row r="48" spans="1:9" s="233" customFormat="1" x14ac:dyDescent="0.25">
      <c r="A48" s="234" t="s">
        <v>73</v>
      </c>
      <c r="B48" s="76">
        <v>1452</v>
      </c>
      <c r="C48" s="73">
        <v>43573</v>
      </c>
      <c r="D48" s="76">
        <v>3024</v>
      </c>
      <c r="E48" s="75"/>
      <c r="F48" s="75"/>
      <c r="G48" s="75"/>
      <c r="H48" s="75"/>
      <c r="I48" s="234"/>
    </row>
    <row r="49" spans="1:9" s="233" customFormat="1" x14ac:dyDescent="0.25">
      <c r="A49" s="234" t="s">
        <v>71</v>
      </c>
      <c r="B49" s="76">
        <v>1.2</v>
      </c>
      <c r="C49" s="73">
        <v>43573</v>
      </c>
      <c r="D49" s="76">
        <v>19500</v>
      </c>
      <c r="E49" s="75"/>
      <c r="F49" s="75"/>
      <c r="G49" s="75"/>
      <c r="H49" s="75"/>
      <c r="I49" s="234"/>
    </row>
    <row r="50" spans="1:9" s="233" customFormat="1" ht="60" x14ac:dyDescent="0.25">
      <c r="A50" s="234" t="s">
        <v>37</v>
      </c>
      <c r="B50" s="76">
        <v>114.11499999999999</v>
      </c>
      <c r="C50" s="73">
        <v>43574</v>
      </c>
      <c r="D50" s="76">
        <v>9900</v>
      </c>
      <c r="E50" s="75" t="s">
        <v>171</v>
      </c>
      <c r="F50" s="68" t="s">
        <v>138</v>
      </c>
      <c r="G50" s="75"/>
      <c r="H50" s="75"/>
      <c r="I50" s="234"/>
    </row>
    <row r="51" spans="1:9" s="233" customFormat="1" x14ac:dyDescent="0.25">
      <c r="A51" s="234" t="s">
        <v>56</v>
      </c>
      <c r="B51" s="76" t="s">
        <v>168</v>
      </c>
      <c r="C51" s="73">
        <v>43573</v>
      </c>
      <c r="D51" s="76">
        <v>4067</v>
      </c>
      <c r="E51" s="75"/>
      <c r="F51" s="75"/>
      <c r="G51" s="75"/>
      <c r="H51" s="75"/>
      <c r="I51" s="234"/>
    </row>
    <row r="52" spans="1:9" s="233" customFormat="1" x14ac:dyDescent="0.25">
      <c r="A52" s="234" t="s">
        <v>54</v>
      </c>
      <c r="B52" s="76">
        <v>20</v>
      </c>
      <c r="C52" s="73">
        <v>43574</v>
      </c>
      <c r="D52" s="76">
        <v>6500</v>
      </c>
      <c r="E52" s="75"/>
      <c r="F52" s="75"/>
      <c r="G52" s="75"/>
      <c r="H52" s="75"/>
      <c r="I52" s="234"/>
    </row>
    <row r="53" spans="1:9" s="233" customFormat="1" x14ac:dyDescent="0.25">
      <c r="A53" s="234" t="s">
        <v>69</v>
      </c>
      <c r="B53" s="76">
        <v>24</v>
      </c>
      <c r="C53" s="73">
        <v>43574</v>
      </c>
      <c r="D53" s="76">
        <v>13147</v>
      </c>
      <c r="E53" s="75"/>
      <c r="F53" s="75"/>
      <c r="G53" s="75"/>
      <c r="H53" s="75"/>
      <c r="I53" s="234"/>
    </row>
    <row r="54" spans="1:9" s="233" customFormat="1" x14ac:dyDescent="0.25">
      <c r="A54" s="234" t="s">
        <v>69</v>
      </c>
      <c r="B54" s="76">
        <v>15.16</v>
      </c>
      <c r="C54" s="73">
        <v>43564</v>
      </c>
      <c r="D54" s="76">
        <v>17314</v>
      </c>
      <c r="E54" s="75"/>
      <c r="F54" s="75"/>
      <c r="G54" s="75"/>
      <c r="H54" s="75"/>
      <c r="I54" s="234"/>
    </row>
    <row r="55" spans="1:9" s="233" customFormat="1" ht="45" x14ac:dyDescent="0.25">
      <c r="A55" s="234" t="s">
        <v>31</v>
      </c>
      <c r="B55" s="76">
        <v>16.170000000000002</v>
      </c>
      <c r="C55" s="73">
        <v>43576</v>
      </c>
      <c r="D55" s="76">
        <v>8535</v>
      </c>
      <c r="E55" s="75" t="s">
        <v>183</v>
      </c>
      <c r="F55" s="75" t="s">
        <v>184</v>
      </c>
      <c r="G55" s="75"/>
      <c r="H55" s="75"/>
      <c r="I55" s="234"/>
    </row>
    <row r="56" spans="1:9" s="233" customFormat="1" ht="150" x14ac:dyDescent="0.25">
      <c r="A56" s="234" t="s">
        <v>31</v>
      </c>
      <c r="B56" s="76">
        <v>14.18</v>
      </c>
      <c r="C56" s="73">
        <v>43577</v>
      </c>
      <c r="D56" s="76">
        <v>9546</v>
      </c>
      <c r="E56" s="75" t="s">
        <v>185</v>
      </c>
      <c r="F56" s="75" t="s">
        <v>186</v>
      </c>
      <c r="G56" s="75" t="s">
        <v>312</v>
      </c>
      <c r="H56" s="75" t="s">
        <v>314</v>
      </c>
      <c r="I56" s="234">
        <v>145</v>
      </c>
    </row>
    <row r="57" spans="1:9" s="233" customFormat="1" x14ac:dyDescent="0.25">
      <c r="A57" s="234" t="s">
        <v>39</v>
      </c>
      <c r="B57" s="76">
        <v>17</v>
      </c>
      <c r="C57" s="73">
        <v>43578</v>
      </c>
      <c r="D57" s="76">
        <v>1046</v>
      </c>
      <c r="E57" s="75"/>
      <c r="F57" s="75"/>
      <c r="G57" s="75"/>
      <c r="H57" s="75"/>
      <c r="I57" s="234"/>
    </row>
    <row r="58" spans="1:9" s="233" customFormat="1" ht="150" x14ac:dyDescent="0.25">
      <c r="A58" s="234" t="s">
        <v>32</v>
      </c>
      <c r="B58" s="76">
        <v>8</v>
      </c>
      <c r="C58" s="73">
        <v>43578</v>
      </c>
      <c r="D58" s="76">
        <v>8970</v>
      </c>
      <c r="E58" s="75" t="s">
        <v>180</v>
      </c>
      <c r="F58" s="75" t="s">
        <v>181</v>
      </c>
      <c r="G58" s="75"/>
      <c r="H58" s="75"/>
      <c r="I58" s="234"/>
    </row>
    <row r="59" spans="1:9" s="233" customFormat="1" x14ac:dyDescent="0.25">
      <c r="A59" s="234" t="s">
        <v>71</v>
      </c>
      <c r="B59" s="76">
        <v>3.2</v>
      </c>
      <c r="C59" s="73">
        <v>43574</v>
      </c>
      <c r="D59" s="76">
        <v>19500</v>
      </c>
      <c r="E59" s="75"/>
      <c r="F59" s="75"/>
      <c r="G59" s="75"/>
      <c r="H59" s="75"/>
      <c r="I59" s="234"/>
    </row>
    <row r="60" spans="1:9" s="233" customFormat="1" x14ac:dyDescent="0.25">
      <c r="A60" s="234" t="s">
        <v>56</v>
      </c>
      <c r="B60" s="76" t="s">
        <v>172</v>
      </c>
      <c r="C60" s="73">
        <v>43578</v>
      </c>
      <c r="D60" s="76">
        <v>4470</v>
      </c>
      <c r="E60" s="75"/>
      <c r="F60" s="75"/>
      <c r="G60" s="75"/>
      <c r="H60" s="75"/>
      <c r="I60" s="234"/>
    </row>
    <row r="61" spans="1:9" s="233" customFormat="1" ht="45" x14ac:dyDescent="0.25">
      <c r="A61" s="234" t="s">
        <v>37</v>
      </c>
      <c r="B61" s="76" t="s">
        <v>173</v>
      </c>
      <c r="C61" s="73">
        <v>43578</v>
      </c>
      <c r="D61" s="76">
        <v>9910</v>
      </c>
      <c r="E61" s="75" t="s">
        <v>177</v>
      </c>
      <c r="F61" s="68" t="s">
        <v>178</v>
      </c>
      <c r="G61" s="75"/>
      <c r="H61" s="75"/>
      <c r="I61" s="234"/>
    </row>
    <row r="62" spans="1:9" s="233" customFormat="1" ht="30" x14ac:dyDescent="0.25">
      <c r="A62" s="234" t="s">
        <v>56</v>
      </c>
      <c r="B62" s="76" t="s">
        <v>174</v>
      </c>
      <c r="C62" s="73">
        <v>43579</v>
      </c>
      <c r="D62" s="76">
        <v>4500</v>
      </c>
      <c r="E62" s="75"/>
      <c r="F62" s="75"/>
      <c r="G62" s="75"/>
      <c r="H62" s="75"/>
      <c r="I62" s="234"/>
    </row>
    <row r="63" spans="1:9" s="233" customFormat="1" ht="60" x14ac:dyDescent="0.25">
      <c r="A63" s="234" t="s">
        <v>37</v>
      </c>
      <c r="B63" s="76">
        <v>128.12899999999999</v>
      </c>
      <c r="C63" s="73">
        <v>43580</v>
      </c>
      <c r="D63" s="76">
        <v>9900</v>
      </c>
      <c r="E63" s="75" t="s">
        <v>179</v>
      </c>
      <c r="F63" s="68" t="s">
        <v>138</v>
      </c>
      <c r="G63" s="75"/>
      <c r="H63" s="75"/>
      <c r="I63" s="234"/>
    </row>
    <row r="64" spans="1:9" s="233" customFormat="1" ht="30" x14ac:dyDescent="0.25">
      <c r="A64" s="234" t="s">
        <v>34</v>
      </c>
      <c r="B64" s="76" t="s">
        <v>175</v>
      </c>
      <c r="C64" s="73">
        <v>43581</v>
      </c>
      <c r="D64" s="76">
        <v>1800</v>
      </c>
      <c r="E64" s="75"/>
      <c r="F64" s="75"/>
      <c r="G64" s="75"/>
      <c r="H64" s="75"/>
      <c r="I64" s="234"/>
    </row>
    <row r="65" spans="1:9" s="233" customFormat="1" ht="30" x14ac:dyDescent="0.25">
      <c r="A65" s="234" t="s">
        <v>35</v>
      </c>
      <c r="B65" s="76">
        <v>177</v>
      </c>
      <c r="C65" s="73">
        <v>43581</v>
      </c>
      <c r="D65" s="76">
        <v>138</v>
      </c>
      <c r="E65" s="75"/>
      <c r="F65" s="75"/>
      <c r="G65" s="75"/>
      <c r="H65" s="75"/>
      <c r="I65" s="234"/>
    </row>
    <row r="66" spans="1:9" s="233" customFormat="1" x14ac:dyDescent="0.25">
      <c r="A66" s="234" t="s">
        <v>71</v>
      </c>
      <c r="B66" s="76">
        <v>4.5</v>
      </c>
      <c r="C66" s="73">
        <v>43581</v>
      </c>
      <c r="D66" s="76">
        <v>19266</v>
      </c>
      <c r="E66" s="75"/>
      <c r="F66" s="75"/>
      <c r="G66" s="75"/>
      <c r="H66" s="75"/>
      <c r="I66" s="234"/>
    </row>
    <row r="67" spans="1:9" s="233" customFormat="1" ht="75" x14ac:dyDescent="0.25">
      <c r="A67" s="234" t="s">
        <v>31</v>
      </c>
      <c r="B67" s="76">
        <v>14.17</v>
      </c>
      <c r="C67" s="73">
        <v>43584</v>
      </c>
      <c r="D67" s="76">
        <v>1889</v>
      </c>
      <c r="E67" s="75" t="s">
        <v>200</v>
      </c>
      <c r="F67" s="75" t="s">
        <v>201</v>
      </c>
      <c r="G67" s="75"/>
      <c r="H67" s="75"/>
      <c r="I67" s="234"/>
    </row>
    <row r="68" spans="1:9" s="233" customFormat="1" ht="60" x14ac:dyDescent="0.25">
      <c r="A68" s="234" t="s">
        <v>37</v>
      </c>
      <c r="B68" s="76" t="s">
        <v>176</v>
      </c>
      <c r="C68" s="73">
        <v>43584</v>
      </c>
      <c r="D68" s="76">
        <v>9896</v>
      </c>
      <c r="E68" s="75" t="s">
        <v>182</v>
      </c>
      <c r="F68" s="68" t="s">
        <v>138</v>
      </c>
      <c r="G68" s="75"/>
      <c r="H68" s="75"/>
      <c r="I68" s="234"/>
    </row>
    <row r="69" spans="1:9" s="233" customFormat="1" x14ac:dyDescent="0.25">
      <c r="A69" s="234" t="s">
        <v>69</v>
      </c>
      <c r="B69" s="76">
        <v>24.31</v>
      </c>
      <c r="C69" s="73">
        <v>43584</v>
      </c>
      <c r="D69" s="76">
        <v>17277</v>
      </c>
      <c r="E69" s="75"/>
      <c r="F69" s="75"/>
      <c r="G69" s="75"/>
      <c r="H69" s="75"/>
      <c r="I69" s="234"/>
    </row>
    <row r="70" spans="1:9" s="233" customFormat="1" x14ac:dyDescent="0.25">
      <c r="A70" s="234" t="s">
        <v>71</v>
      </c>
      <c r="B70" s="76">
        <v>3.4</v>
      </c>
      <c r="C70" s="73">
        <v>43580</v>
      </c>
      <c r="D70" s="76">
        <v>19500</v>
      </c>
      <c r="E70" s="75"/>
      <c r="F70" s="75"/>
      <c r="G70" s="75"/>
      <c r="H70" s="75"/>
      <c r="I70" s="234"/>
    </row>
    <row r="71" spans="1:9" s="233" customFormat="1" x14ac:dyDescent="0.25">
      <c r="A71" s="234" t="s">
        <v>54</v>
      </c>
      <c r="B71" s="76">
        <v>21.22</v>
      </c>
      <c r="C71" s="73">
        <v>43591</v>
      </c>
      <c r="D71" s="76">
        <v>10500</v>
      </c>
      <c r="E71" s="75"/>
      <c r="F71" s="75"/>
      <c r="G71" s="75"/>
      <c r="H71" s="75"/>
      <c r="I71" s="234"/>
    </row>
    <row r="72" spans="1:9" s="233" customFormat="1" ht="45" x14ac:dyDescent="0.25">
      <c r="A72" s="234" t="s">
        <v>37</v>
      </c>
      <c r="B72" s="76" t="s">
        <v>188</v>
      </c>
      <c r="C72" s="73">
        <v>43591</v>
      </c>
      <c r="D72" s="76">
        <v>9886</v>
      </c>
      <c r="E72" s="75" t="s">
        <v>199</v>
      </c>
      <c r="F72" s="68" t="s">
        <v>178</v>
      </c>
      <c r="G72" s="75"/>
      <c r="H72" s="75"/>
      <c r="I72" s="234"/>
    </row>
    <row r="73" spans="1:9" s="233" customFormat="1" x14ac:dyDescent="0.25">
      <c r="A73" s="234" t="s">
        <v>69</v>
      </c>
      <c r="B73" s="76" t="s">
        <v>189</v>
      </c>
      <c r="C73" s="73">
        <v>43592</v>
      </c>
      <c r="D73" s="76">
        <v>17620</v>
      </c>
      <c r="E73" s="75"/>
      <c r="F73" s="75"/>
      <c r="G73" s="75"/>
      <c r="H73" s="75"/>
      <c r="I73" s="234"/>
    </row>
    <row r="74" spans="1:9" s="233" customFormat="1" ht="60" x14ac:dyDescent="0.25">
      <c r="A74" s="234" t="s">
        <v>37</v>
      </c>
      <c r="B74" s="76" t="s">
        <v>190</v>
      </c>
      <c r="C74" s="73">
        <v>43592</v>
      </c>
      <c r="D74" s="76">
        <v>10150</v>
      </c>
      <c r="E74" s="75" t="s">
        <v>198</v>
      </c>
      <c r="F74" s="68" t="s">
        <v>138</v>
      </c>
      <c r="G74" s="75"/>
      <c r="H74" s="75"/>
      <c r="I74" s="234"/>
    </row>
    <row r="75" spans="1:9" s="233" customFormat="1" x14ac:dyDescent="0.25">
      <c r="A75" s="234" t="s">
        <v>56</v>
      </c>
      <c r="B75" s="76" t="s">
        <v>191</v>
      </c>
      <c r="C75" s="73">
        <v>43593</v>
      </c>
      <c r="D75" s="76">
        <v>9849</v>
      </c>
      <c r="E75" s="75"/>
      <c r="F75" s="75"/>
      <c r="G75" s="75"/>
      <c r="H75" s="75"/>
      <c r="I75" s="234"/>
    </row>
    <row r="76" spans="1:9" s="233" customFormat="1" ht="150" x14ac:dyDescent="0.25">
      <c r="A76" s="234" t="s">
        <v>32</v>
      </c>
      <c r="B76" s="76">
        <v>25.26</v>
      </c>
      <c r="C76" s="73">
        <v>43598</v>
      </c>
      <c r="D76" s="76">
        <v>9988</v>
      </c>
      <c r="E76" s="75" t="s">
        <v>196</v>
      </c>
      <c r="F76" s="75" t="s">
        <v>181</v>
      </c>
      <c r="G76" s="75"/>
      <c r="H76" s="75"/>
      <c r="I76" s="234"/>
    </row>
    <row r="77" spans="1:9" s="233" customFormat="1" x14ac:dyDescent="0.25">
      <c r="A77" s="234" t="s">
        <v>69</v>
      </c>
      <c r="B77" s="76">
        <v>49</v>
      </c>
      <c r="C77" s="73">
        <v>43600</v>
      </c>
      <c r="D77" s="76">
        <v>18164</v>
      </c>
      <c r="E77" s="75"/>
      <c r="F77" s="75"/>
      <c r="G77" s="75"/>
      <c r="H77" s="75"/>
      <c r="I77" s="234"/>
    </row>
    <row r="78" spans="1:9" s="233" customFormat="1" x14ac:dyDescent="0.25">
      <c r="A78" s="234" t="s">
        <v>73</v>
      </c>
      <c r="B78" s="76">
        <v>1783</v>
      </c>
      <c r="C78" s="73">
        <v>43600</v>
      </c>
      <c r="D78" s="76">
        <v>2160</v>
      </c>
      <c r="E78" s="75"/>
      <c r="F78" s="75"/>
      <c r="G78" s="75"/>
      <c r="H78" s="75"/>
      <c r="I78" s="234"/>
    </row>
    <row r="79" spans="1:9" s="233" customFormat="1" ht="30" x14ac:dyDescent="0.25">
      <c r="A79" s="234" t="s">
        <v>34</v>
      </c>
      <c r="B79" s="76">
        <v>258</v>
      </c>
      <c r="C79" s="73">
        <v>43600</v>
      </c>
      <c r="D79" s="76">
        <v>1658</v>
      </c>
      <c r="E79" s="75"/>
      <c r="F79" s="75"/>
      <c r="G79" s="75"/>
      <c r="H79" s="75"/>
      <c r="I79" s="234"/>
    </row>
    <row r="80" spans="1:9" s="233" customFormat="1" ht="45" x14ac:dyDescent="0.25">
      <c r="A80" s="234" t="s">
        <v>67</v>
      </c>
      <c r="B80" s="76" t="s">
        <v>192</v>
      </c>
      <c r="C80" s="73">
        <v>43600</v>
      </c>
      <c r="D80" s="76">
        <v>20013</v>
      </c>
      <c r="E80" s="75"/>
      <c r="F80" s="75"/>
      <c r="G80" s="75"/>
      <c r="H80" s="75"/>
      <c r="I80" s="234"/>
    </row>
    <row r="81" spans="1:9" s="233" customFormat="1" ht="45" x14ac:dyDescent="0.25">
      <c r="A81" s="234" t="s">
        <v>37</v>
      </c>
      <c r="B81" s="76" t="s">
        <v>193</v>
      </c>
      <c r="C81" s="73">
        <v>43601</v>
      </c>
      <c r="D81" s="76">
        <v>10050</v>
      </c>
      <c r="E81" s="75" t="s">
        <v>197</v>
      </c>
      <c r="F81" s="68" t="s">
        <v>178</v>
      </c>
      <c r="G81" s="75"/>
      <c r="H81" s="75"/>
      <c r="I81" s="234"/>
    </row>
    <row r="82" spans="1:9" s="233" customFormat="1" x14ac:dyDescent="0.25">
      <c r="A82" s="234" t="s">
        <v>63</v>
      </c>
      <c r="B82" s="76">
        <v>49</v>
      </c>
      <c r="C82" s="73">
        <v>43609</v>
      </c>
      <c r="D82" s="76">
        <v>3000</v>
      </c>
      <c r="E82" s="75"/>
      <c r="F82" s="75"/>
      <c r="G82" s="75"/>
      <c r="H82" s="75"/>
      <c r="I82" s="234"/>
    </row>
    <row r="83" spans="1:9" s="233" customFormat="1" ht="60" x14ac:dyDescent="0.25">
      <c r="A83" s="234" t="s">
        <v>37</v>
      </c>
      <c r="B83" s="76" t="s">
        <v>194</v>
      </c>
      <c r="C83" s="73">
        <v>43613</v>
      </c>
      <c r="D83" s="76">
        <v>9894</v>
      </c>
      <c r="E83" s="75" t="s">
        <v>195</v>
      </c>
      <c r="F83" s="68" t="s">
        <v>138</v>
      </c>
      <c r="G83" s="75"/>
      <c r="H83" s="75"/>
      <c r="I83" s="234"/>
    </row>
    <row r="84" spans="1:9" s="233" customFormat="1" x14ac:dyDescent="0.25">
      <c r="A84" s="234" t="s">
        <v>69</v>
      </c>
      <c r="B84" s="76">
        <v>50</v>
      </c>
      <c r="C84" s="73">
        <v>43614</v>
      </c>
      <c r="D84" s="76">
        <v>18009</v>
      </c>
      <c r="E84" s="75"/>
      <c r="F84" s="75"/>
      <c r="G84" s="75"/>
      <c r="H84" s="75"/>
      <c r="I84" s="234"/>
    </row>
    <row r="85" spans="1:9" s="233" customFormat="1" x14ac:dyDescent="0.25">
      <c r="A85" s="234" t="s">
        <v>69</v>
      </c>
      <c r="B85" s="76">
        <v>51</v>
      </c>
      <c r="C85" s="73">
        <v>43621</v>
      </c>
      <c r="D85" s="76">
        <v>18467</v>
      </c>
      <c r="E85" s="75"/>
      <c r="F85" s="75"/>
      <c r="G85" s="75"/>
      <c r="H85" s="75"/>
      <c r="I85" s="234"/>
    </row>
    <row r="86" spans="1:9" s="233" customFormat="1" x14ac:dyDescent="0.25">
      <c r="A86" s="234" t="s">
        <v>56</v>
      </c>
      <c r="B86" s="76" t="s">
        <v>202</v>
      </c>
      <c r="C86" s="73">
        <v>43621</v>
      </c>
      <c r="D86" s="76">
        <v>6763</v>
      </c>
      <c r="E86" s="75"/>
      <c r="F86" s="75"/>
      <c r="G86" s="75"/>
      <c r="H86" s="75"/>
      <c r="I86" s="234"/>
    </row>
    <row r="87" spans="1:9" s="233" customFormat="1" x14ac:dyDescent="0.25">
      <c r="A87" s="234" t="s">
        <v>73</v>
      </c>
      <c r="B87" s="76">
        <v>2160</v>
      </c>
      <c r="C87" s="73">
        <v>43622</v>
      </c>
      <c r="D87" s="76">
        <v>2160</v>
      </c>
      <c r="E87" s="75"/>
      <c r="F87" s="75"/>
      <c r="G87" s="75"/>
      <c r="H87" s="75"/>
      <c r="I87" s="234"/>
    </row>
    <row r="88" spans="1:9" s="233" customFormat="1" x14ac:dyDescent="0.25">
      <c r="A88" s="234" t="s">
        <v>54</v>
      </c>
      <c r="B88" s="76">
        <v>20</v>
      </c>
      <c r="C88" s="73">
        <v>43622</v>
      </c>
      <c r="D88" s="76">
        <v>5500</v>
      </c>
      <c r="E88" s="75"/>
      <c r="F88" s="75"/>
      <c r="G88" s="75"/>
      <c r="H88" s="75"/>
      <c r="I88" s="234"/>
    </row>
    <row r="89" spans="1:9" s="233" customFormat="1" x14ac:dyDescent="0.25">
      <c r="A89" s="234" t="s">
        <v>63</v>
      </c>
      <c r="B89" s="76">
        <v>49</v>
      </c>
      <c r="C89" s="73">
        <v>43623</v>
      </c>
      <c r="D89" s="76">
        <v>1200</v>
      </c>
      <c r="E89" s="75"/>
      <c r="F89" s="75"/>
      <c r="G89" s="75"/>
      <c r="H89" s="75"/>
      <c r="I89" s="234"/>
    </row>
    <row r="90" spans="1:9" s="233" customFormat="1" ht="45" x14ac:dyDescent="0.25">
      <c r="A90" s="234" t="s">
        <v>37</v>
      </c>
      <c r="B90" s="76" t="s">
        <v>203</v>
      </c>
      <c r="C90" s="73">
        <v>43623</v>
      </c>
      <c r="D90" s="76">
        <v>10192</v>
      </c>
      <c r="E90" s="75" t="s">
        <v>209</v>
      </c>
      <c r="F90" s="68" t="s">
        <v>178</v>
      </c>
      <c r="G90" s="75"/>
      <c r="H90" s="75"/>
      <c r="I90" s="234"/>
    </row>
    <row r="91" spans="1:9" s="233" customFormat="1" x14ac:dyDescent="0.25">
      <c r="A91" s="234" t="s">
        <v>69</v>
      </c>
      <c r="B91" s="76">
        <v>53</v>
      </c>
      <c r="C91" s="73">
        <v>43627</v>
      </c>
      <c r="D91" s="76">
        <v>18435</v>
      </c>
      <c r="E91" s="75"/>
      <c r="F91" s="75"/>
      <c r="G91" s="75"/>
      <c r="H91" s="75"/>
      <c r="I91" s="234"/>
    </row>
    <row r="92" spans="1:9" s="233" customFormat="1" ht="30" x14ac:dyDescent="0.25">
      <c r="A92" s="234" t="s">
        <v>34</v>
      </c>
      <c r="B92" s="76">
        <v>258</v>
      </c>
      <c r="C92" s="73">
        <v>43627</v>
      </c>
      <c r="D92" s="76">
        <v>1472</v>
      </c>
      <c r="E92" s="75"/>
      <c r="F92" s="75"/>
      <c r="G92" s="75"/>
      <c r="H92" s="75"/>
      <c r="I92" s="234"/>
    </row>
    <row r="93" spans="1:9" s="233" customFormat="1" x14ac:dyDescent="0.25">
      <c r="A93" s="234" t="s">
        <v>69</v>
      </c>
      <c r="B93" s="76" t="s">
        <v>204</v>
      </c>
      <c r="C93" s="73">
        <v>43630</v>
      </c>
      <c r="D93" s="76">
        <v>18456</v>
      </c>
      <c r="E93" s="75"/>
      <c r="F93" s="75"/>
      <c r="G93" s="75"/>
      <c r="H93" s="75"/>
      <c r="I93" s="234"/>
    </row>
    <row r="94" spans="1:9" s="233" customFormat="1" ht="45" x14ac:dyDescent="0.25">
      <c r="A94" s="234" t="s">
        <v>37</v>
      </c>
      <c r="B94" s="76">
        <v>200.19900000000001</v>
      </c>
      <c r="C94" s="73">
        <v>43634</v>
      </c>
      <c r="D94" s="76">
        <v>10248</v>
      </c>
      <c r="E94" s="75" t="s">
        <v>206</v>
      </c>
      <c r="F94" s="75" t="s">
        <v>207</v>
      </c>
      <c r="G94" s="75"/>
      <c r="H94" s="75"/>
      <c r="I94" s="234"/>
    </row>
    <row r="95" spans="1:9" s="233" customFormat="1" ht="30" x14ac:dyDescent="0.25">
      <c r="A95" s="234" t="s">
        <v>67</v>
      </c>
      <c r="B95" s="76" t="s">
        <v>205</v>
      </c>
      <c r="C95" s="73">
        <v>43636</v>
      </c>
      <c r="D95" s="76">
        <v>18868</v>
      </c>
      <c r="E95" s="75"/>
      <c r="F95" s="75"/>
      <c r="G95" s="75"/>
      <c r="H95" s="75"/>
      <c r="I95" s="234"/>
    </row>
    <row r="96" spans="1:9" s="233" customFormat="1" ht="45" x14ac:dyDescent="0.25">
      <c r="A96" s="234" t="s">
        <v>37</v>
      </c>
      <c r="B96" s="76">
        <v>208.209</v>
      </c>
      <c r="C96" s="73">
        <v>43643</v>
      </c>
      <c r="D96" s="76">
        <v>9916</v>
      </c>
      <c r="E96" s="75" t="s">
        <v>208</v>
      </c>
      <c r="F96" s="68" t="s">
        <v>178</v>
      </c>
      <c r="G96" s="75"/>
      <c r="H96" s="75"/>
      <c r="I96" s="234"/>
    </row>
    <row r="97" spans="1:9" s="233" customFormat="1" x14ac:dyDescent="0.25">
      <c r="A97" s="234" t="s">
        <v>61</v>
      </c>
      <c r="B97" s="197">
        <v>201900010</v>
      </c>
      <c r="C97" s="73">
        <v>43647</v>
      </c>
      <c r="D97" s="72">
        <v>1998</v>
      </c>
      <c r="E97" s="75"/>
      <c r="F97" s="75"/>
      <c r="G97" s="75"/>
      <c r="H97" s="234"/>
      <c r="I97" s="234"/>
    </row>
    <row r="98" spans="1:9" s="233" customFormat="1" x14ac:dyDescent="0.25">
      <c r="A98" s="234" t="s">
        <v>54</v>
      </c>
      <c r="B98" s="197" t="s">
        <v>241</v>
      </c>
      <c r="C98" s="202">
        <v>43650</v>
      </c>
      <c r="D98" s="197">
        <v>8500</v>
      </c>
      <c r="E98" s="75"/>
      <c r="F98" s="75"/>
      <c r="G98" s="75"/>
      <c r="H98" s="234"/>
      <c r="I98" s="234"/>
    </row>
    <row r="99" spans="1:9" s="233" customFormat="1" ht="105" x14ac:dyDescent="0.25">
      <c r="A99" s="234" t="s">
        <v>32</v>
      </c>
      <c r="B99" s="197" t="s">
        <v>241</v>
      </c>
      <c r="C99" s="202">
        <v>43654</v>
      </c>
      <c r="D99" s="75" t="s">
        <v>242</v>
      </c>
      <c r="E99" s="75" t="s">
        <v>235</v>
      </c>
      <c r="F99" s="75" t="s">
        <v>236</v>
      </c>
      <c r="G99" s="75"/>
      <c r="H99" s="234"/>
      <c r="I99" s="234"/>
    </row>
    <row r="100" spans="1:9" s="233" customFormat="1" x14ac:dyDescent="0.25">
      <c r="A100" s="234" t="s">
        <v>73</v>
      </c>
      <c r="B100" s="76">
        <v>2690</v>
      </c>
      <c r="C100" s="73">
        <v>43656</v>
      </c>
      <c r="D100" s="76">
        <v>2520</v>
      </c>
      <c r="E100" s="75"/>
      <c r="F100" s="75"/>
      <c r="G100" s="75"/>
      <c r="H100" s="75"/>
      <c r="I100" s="234"/>
    </row>
    <row r="101" spans="1:9" s="233" customFormat="1" x14ac:dyDescent="0.25">
      <c r="A101" s="234" t="s">
        <v>69</v>
      </c>
      <c r="B101" s="76">
        <v>54</v>
      </c>
      <c r="C101" s="73">
        <v>43656</v>
      </c>
      <c r="D101" s="76">
        <v>18138</v>
      </c>
      <c r="E101" s="75"/>
      <c r="F101" s="75"/>
      <c r="G101" s="75"/>
      <c r="H101" s="75"/>
      <c r="I101" s="234"/>
    </row>
    <row r="102" spans="1:9" s="233" customFormat="1" ht="120" x14ac:dyDescent="0.25">
      <c r="A102" s="234" t="s">
        <v>37</v>
      </c>
      <c r="B102" s="76" t="s">
        <v>227</v>
      </c>
      <c r="C102" s="73">
        <v>43657</v>
      </c>
      <c r="D102" s="76">
        <v>9900</v>
      </c>
      <c r="E102" s="75" t="s">
        <v>237</v>
      </c>
      <c r="F102" s="68" t="s">
        <v>178</v>
      </c>
      <c r="G102" s="75" t="s">
        <v>238</v>
      </c>
      <c r="H102" s="75" t="s">
        <v>239</v>
      </c>
      <c r="I102" s="234"/>
    </row>
    <row r="103" spans="1:9" s="233" customFormat="1" x14ac:dyDescent="0.25">
      <c r="A103" s="234" t="s">
        <v>56</v>
      </c>
      <c r="B103" s="76" t="s">
        <v>228</v>
      </c>
      <c r="C103" s="73">
        <v>43658</v>
      </c>
      <c r="D103" s="76">
        <v>7442</v>
      </c>
      <c r="E103" s="75"/>
      <c r="F103" s="75"/>
      <c r="G103" s="75"/>
      <c r="H103" s="75"/>
      <c r="I103" s="234"/>
    </row>
    <row r="104" spans="1:9" s="233" customFormat="1" ht="45" x14ac:dyDescent="0.25">
      <c r="A104" s="234" t="s">
        <v>67</v>
      </c>
      <c r="B104" s="76" t="s">
        <v>229</v>
      </c>
      <c r="C104" s="73">
        <v>43662</v>
      </c>
      <c r="D104" s="76">
        <v>18257</v>
      </c>
      <c r="E104" s="75"/>
      <c r="F104" s="75"/>
      <c r="G104" s="75"/>
      <c r="H104" s="75"/>
      <c r="I104" s="234"/>
    </row>
    <row r="105" spans="1:9" s="233" customFormat="1" x14ac:dyDescent="0.25">
      <c r="A105" s="234" t="s">
        <v>69</v>
      </c>
      <c r="B105" s="76">
        <v>58.56</v>
      </c>
      <c r="C105" s="73">
        <v>43663</v>
      </c>
      <c r="D105" s="76">
        <v>17742</v>
      </c>
      <c r="E105" s="75"/>
      <c r="F105" s="75"/>
      <c r="G105" s="75"/>
      <c r="H105" s="75"/>
      <c r="I105" s="234"/>
    </row>
    <row r="106" spans="1:9" s="233" customFormat="1" ht="45" x14ac:dyDescent="0.25">
      <c r="A106" s="234" t="s">
        <v>37</v>
      </c>
      <c r="B106" s="76" t="s">
        <v>230</v>
      </c>
      <c r="C106" s="73">
        <v>43664</v>
      </c>
      <c r="D106" s="76">
        <v>10040</v>
      </c>
      <c r="E106" s="75" t="s">
        <v>234</v>
      </c>
      <c r="F106" s="68" t="s">
        <v>178</v>
      </c>
      <c r="G106" s="75"/>
      <c r="H106" s="75"/>
      <c r="I106" s="234"/>
    </row>
    <row r="107" spans="1:9" s="233" customFormat="1" x14ac:dyDescent="0.25">
      <c r="A107" s="234" t="s">
        <v>63</v>
      </c>
      <c r="B107" s="76">
        <v>57</v>
      </c>
      <c r="C107" s="73">
        <v>43664</v>
      </c>
      <c r="D107" s="76">
        <v>3000</v>
      </c>
      <c r="E107" s="75"/>
      <c r="F107" s="75"/>
      <c r="G107" s="75"/>
      <c r="H107" s="75"/>
      <c r="I107" s="234"/>
    </row>
    <row r="108" spans="1:9" s="233" customFormat="1" ht="30" x14ac:dyDescent="0.25">
      <c r="A108" s="234" t="s">
        <v>34</v>
      </c>
      <c r="B108" s="76" t="s">
        <v>231</v>
      </c>
      <c r="C108" s="73">
        <v>43669</v>
      </c>
      <c r="D108" s="76">
        <v>1605</v>
      </c>
      <c r="E108" s="75"/>
      <c r="F108" s="75"/>
      <c r="G108" s="75"/>
      <c r="H108" s="75"/>
      <c r="I108" s="234"/>
    </row>
    <row r="109" spans="1:9" s="233" customFormat="1" ht="30" x14ac:dyDescent="0.25">
      <c r="A109" s="234" t="s">
        <v>35</v>
      </c>
      <c r="B109" s="76">
        <v>460</v>
      </c>
      <c r="C109" s="73">
        <v>43669</v>
      </c>
      <c r="D109" s="76">
        <v>532</v>
      </c>
      <c r="E109" s="75"/>
      <c r="F109" s="75"/>
      <c r="G109" s="75"/>
      <c r="H109" s="75"/>
      <c r="I109" s="234"/>
    </row>
    <row r="110" spans="1:9" s="233" customFormat="1" ht="45" x14ac:dyDescent="0.25">
      <c r="A110" s="234" t="s">
        <v>37</v>
      </c>
      <c r="B110" s="76" t="s">
        <v>232</v>
      </c>
      <c r="C110" s="73">
        <v>43671</v>
      </c>
      <c r="D110" s="76">
        <v>9959</v>
      </c>
      <c r="E110" s="75" t="s">
        <v>233</v>
      </c>
      <c r="F110" s="68" t="s">
        <v>178</v>
      </c>
      <c r="G110" s="75"/>
      <c r="H110" s="75"/>
      <c r="I110" s="234"/>
    </row>
    <row r="111" spans="1:9" s="233" customFormat="1" x14ac:dyDescent="0.25">
      <c r="A111" s="234" t="s">
        <v>69</v>
      </c>
      <c r="B111" s="76" t="s">
        <v>243</v>
      </c>
      <c r="C111" s="73">
        <v>43677</v>
      </c>
      <c r="D111" s="76">
        <v>18063</v>
      </c>
      <c r="E111" s="75"/>
      <c r="F111" s="75"/>
      <c r="G111" s="75"/>
      <c r="H111" s="75"/>
      <c r="I111" s="234"/>
    </row>
    <row r="112" spans="1:9" s="233" customFormat="1" ht="30" x14ac:dyDescent="0.25">
      <c r="A112" s="234" t="s">
        <v>56</v>
      </c>
      <c r="B112" s="76" t="s">
        <v>256</v>
      </c>
      <c r="C112" s="73">
        <v>43679</v>
      </c>
      <c r="D112" s="76">
        <v>7552</v>
      </c>
      <c r="E112" s="75"/>
      <c r="F112" s="75"/>
      <c r="G112" s="75"/>
      <c r="H112" s="75"/>
      <c r="I112" s="234"/>
    </row>
    <row r="113" spans="1:9" s="233" customFormat="1" x14ac:dyDescent="0.25">
      <c r="A113" s="234" t="s">
        <v>244</v>
      </c>
      <c r="B113" s="76">
        <v>101900126</v>
      </c>
      <c r="C113" s="73">
        <v>43679</v>
      </c>
      <c r="D113" s="76">
        <v>2928</v>
      </c>
      <c r="E113" s="75"/>
      <c r="F113" s="75"/>
      <c r="G113" s="75"/>
      <c r="H113" s="75"/>
      <c r="I113" s="234"/>
    </row>
    <row r="114" spans="1:9" s="233" customFormat="1" x14ac:dyDescent="0.25">
      <c r="A114" s="234" t="s">
        <v>245</v>
      </c>
      <c r="B114" s="76" t="s">
        <v>246</v>
      </c>
      <c r="C114" s="73">
        <v>43683</v>
      </c>
      <c r="D114" s="76">
        <v>19500</v>
      </c>
      <c r="E114" s="75"/>
      <c r="F114" s="75"/>
      <c r="G114" s="75"/>
      <c r="H114" s="75"/>
      <c r="I114" s="234"/>
    </row>
    <row r="115" spans="1:9" s="233" customFormat="1" x14ac:dyDescent="0.25">
      <c r="A115" s="234" t="s">
        <v>54</v>
      </c>
      <c r="B115" s="76">
        <v>45</v>
      </c>
      <c r="C115" s="73">
        <v>43684</v>
      </c>
      <c r="D115" s="76">
        <v>6500</v>
      </c>
      <c r="E115" s="75"/>
      <c r="F115" s="75"/>
      <c r="G115" s="75"/>
      <c r="H115" s="75"/>
      <c r="I115" s="234"/>
    </row>
    <row r="116" spans="1:9" s="233" customFormat="1" x14ac:dyDescent="0.25">
      <c r="A116" s="234" t="s">
        <v>73</v>
      </c>
      <c r="B116" s="76">
        <v>3122</v>
      </c>
      <c r="C116" s="73">
        <v>43684</v>
      </c>
      <c r="D116" s="76">
        <v>1890</v>
      </c>
      <c r="E116" s="75"/>
      <c r="F116" s="75"/>
      <c r="G116" s="75"/>
      <c r="H116" s="75"/>
      <c r="I116" s="234"/>
    </row>
    <row r="117" spans="1:9" s="233" customFormat="1" ht="45" x14ac:dyDescent="0.25">
      <c r="A117" s="234" t="s">
        <v>37</v>
      </c>
      <c r="B117" s="76">
        <v>283</v>
      </c>
      <c r="C117" s="73">
        <v>43689</v>
      </c>
      <c r="D117" s="76">
        <v>9904</v>
      </c>
      <c r="E117" s="75" t="s">
        <v>247</v>
      </c>
      <c r="F117" s="68" t="s">
        <v>178</v>
      </c>
      <c r="G117" s="75"/>
      <c r="H117" s="75"/>
      <c r="I117" s="234"/>
    </row>
    <row r="118" spans="1:9" s="233" customFormat="1" x14ac:dyDescent="0.25">
      <c r="A118" s="234" t="s">
        <v>69</v>
      </c>
      <c r="B118" s="76" t="s">
        <v>248</v>
      </c>
      <c r="C118" s="73">
        <v>43690</v>
      </c>
      <c r="D118" s="76">
        <v>18178</v>
      </c>
      <c r="E118" s="75"/>
      <c r="F118" s="75"/>
      <c r="G118" s="75"/>
      <c r="H118" s="75"/>
      <c r="I118" s="234"/>
    </row>
    <row r="119" spans="1:9" s="233" customFormat="1" ht="105" x14ac:dyDescent="0.25">
      <c r="A119" s="234" t="s">
        <v>32</v>
      </c>
      <c r="B119" s="76" t="s">
        <v>249</v>
      </c>
      <c r="C119" s="73">
        <v>43690</v>
      </c>
      <c r="D119" s="76">
        <v>20007</v>
      </c>
      <c r="E119" s="75" t="s">
        <v>250</v>
      </c>
      <c r="F119" s="75" t="s">
        <v>236</v>
      </c>
      <c r="G119" s="75"/>
      <c r="H119" s="75"/>
      <c r="I119" s="234"/>
    </row>
    <row r="120" spans="1:9" s="233" customFormat="1" x14ac:dyDescent="0.25">
      <c r="A120" s="234" t="s">
        <v>63</v>
      </c>
      <c r="B120" s="76">
        <v>60</v>
      </c>
      <c r="C120" s="73">
        <v>43690</v>
      </c>
      <c r="D120" s="76">
        <v>1500</v>
      </c>
      <c r="E120" s="75"/>
      <c r="F120" s="75"/>
      <c r="G120" s="75"/>
      <c r="H120" s="75"/>
      <c r="I120" s="234"/>
    </row>
    <row r="121" spans="1:9" s="233" customFormat="1" x14ac:dyDescent="0.25">
      <c r="A121" s="234" t="s">
        <v>69</v>
      </c>
      <c r="B121" s="76" t="s">
        <v>251</v>
      </c>
      <c r="C121" s="73">
        <v>43693</v>
      </c>
      <c r="D121" s="76" t="s">
        <v>252</v>
      </c>
      <c r="E121" s="75"/>
      <c r="F121" s="75"/>
      <c r="G121" s="75"/>
      <c r="H121" s="75"/>
      <c r="I121" s="234"/>
    </row>
    <row r="122" spans="1:9" s="233" customFormat="1" ht="30" x14ac:dyDescent="0.25">
      <c r="A122" s="234" t="s">
        <v>34</v>
      </c>
      <c r="B122" s="76">
        <v>189</v>
      </c>
      <c r="C122" s="73">
        <v>43697</v>
      </c>
      <c r="D122" s="76">
        <v>1640</v>
      </c>
      <c r="E122" s="75"/>
      <c r="F122" s="75"/>
      <c r="G122" s="75"/>
      <c r="H122" s="75"/>
      <c r="I122" s="234"/>
    </row>
    <row r="123" spans="1:9" s="233" customFormat="1" ht="105" x14ac:dyDescent="0.25">
      <c r="A123" s="234" t="s">
        <v>37</v>
      </c>
      <c r="B123" s="76" t="s">
        <v>253</v>
      </c>
      <c r="C123" s="73">
        <v>43697</v>
      </c>
      <c r="D123" s="76">
        <v>9944</v>
      </c>
      <c r="E123" s="75" t="s">
        <v>254</v>
      </c>
      <c r="F123" s="75" t="s">
        <v>255</v>
      </c>
      <c r="G123" s="75" t="s">
        <v>307</v>
      </c>
      <c r="H123" s="75" t="s">
        <v>318</v>
      </c>
      <c r="I123" s="234"/>
    </row>
    <row r="124" spans="1:9" s="233" customFormat="1" ht="45" x14ac:dyDescent="0.25">
      <c r="A124" s="234" t="s">
        <v>257</v>
      </c>
      <c r="B124" s="76" t="s">
        <v>258</v>
      </c>
      <c r="C124" s="73">
        <v>43704</v>
      </c>
      <c r="D124" s="76">
        <v>18724</v>
      </c>
      <c r="E124" s="75"/>
      <c r="F124" s="75"/>
      <c r="G124" s="75"/>
      <c r="H124" s="75"/>
      <c r="I124" s="234"/>
    </row>
    <row r="125" spans="1:9" s="233" customFormat="1" ht="60" x14ac:dyDescent="0.25">
      <c r="A125" s="234" t="s">
        <v>259</v>
      </c>
      <c r="B125" s="76" t="s">
        <v>260</v>
      </c>
      <c r="C125" s="73">
        <v>43705</v>
      </c>
      <c r="D125" s="76">
        <v>4520.8</v>
      </c>
      <c r="E125" s="75"/>
      <c r="F125" s="75"/>
      <c r="G125" s="75"/>
      <c r="H125" s="75"/>
      <c r="I125" s="234"/>
    </row>
    <row r="126" spans="1:9" s="233" customFormat="1" x14ac:dyDescent="0.25">
      <c r="A126" s="234" t="s">
        <v>69</v>
      </c>
      <c r="B126" s="76" t="s">
        <v>261</v>
      </c>
      <c r="C126" s="73">
        <v>43706</v>
      </c>
      <c r="D126" s="76">
        <v>18262.5</v>
      </c>
      <c r="E126" s="75"/>
      <c r="F126" s="75"/>
      <c r="G126" s="75"/>
      <c r="H126" s="75"/>
      <c r="I126" s="234"/>
    </row>
    <row r="127" spans="1:9" s="233" customFormat="1" x14ac:dyDescent="0.25">
      <c r="A127" s="234" t="s">
        <v>54</v>
      </c>
      <c r="B127" s="76">
        <v>30</v>
      </c>
      <c r="C127" s="73">
        <v>43711</v>
      </c>
      <c r="D127" s="76">
        <v>8000</v>
      </c>
      <c r="E127" s="75"/>
      <c r="F127" s="75"/>
      <c r="G127" s="75"/>
      <c r="H127" s="75"/>
      <c r="I127" s="234"/>
    </row>
    <row r="128" spans="1:9" s="233" customFormat="1" x14ac:dyDescent="0.25">
      <c r="A128" s="234" t="s">
        <v>73</v>
      </c>
      <c r="B128" s="76">
        <v>3527</v>
      </c>
      <c r="C128" s="73">
        <v>43712</v>
      </c>
      <c r="D128" s="76">
        <v>2016</v>
      </c>
      <c r="E128" s="75"/>
      <c r="F128" s="75"/>
      <c r="G128" s="75"/>
      <c r="H128" s="75"/>
      <c r="I128" s="234"/>
    </row>
    <row r="129" spans="1:9" s="233" customFormat="1" ht="105" x14ac:dyDescent="0.25">
      <c r="A129" s="234" t="s">
        <v>37</v>
      </c>
      <c r="B129" s="76" t="s">
        <v>262</v>
      </c>
      <c r="C129" s="73">
        <v>43712</v>
      </c>
      <c r="D129" s="76">
        <v>9900</v>
      </c>
      <c r="E129" s="75" t="s">
        <v>263</v>
      </c>
      <c r="F129" s="75" t="s">
        <v>255</v>
      </c>
      <c r="G129" s="75" t="s">
        <v>308</v>
      </c>
      <c r="H129" s="75" t="s">
        <v>319</v>
      </c>
      <c r="I129" s="234"/>
    </row>
    <row r="130" spans="1:9" s="233" customFormat="1" x14ac:dyDescent="0.25">
      <c r="A130" s="234" t="s">
        <v>56</v>
      </c>
      <c r="B130" s="76" t="s">
        <v>264</v>
      </c>
      <c r="C130" s="73">
        <v>43713</v>
      </c>
      <c r="D130" s="76">
        <v>4408</v>
      </c>
      <c r="E130" s="75"/>
      <c r="F130" s="75"/>
      <c r="G130" s="75"/>
      <c r="H130" s="75"/>
      <c r="I130" s="234"/>
    </row>
    <row r="131" spans="1:9" s="233" customFormat="1" x14ac:dyDescent="0.25">
      <c r="A131" s="234" t="s">
        <v>69</v>
      </c>
      <c r="B131" s="76" t="s">
        <v>265</v>
      </c>
      <c r="C131" s="73">
        <v>43718</v>
      </c>
      <c r="D131" s="76">
        <v>18341</v>
      </c>
      <c r="E131" s="75"/>
      <c r="F131" s="75"/>
      <c r="G131" s="75"/>
      <c r="H131" s="75"/>
      <c r="I131" s="234"/>
    </row>
    <row r="132" spans="1:9" s="233" customFormat="1" ht="75" x14ac:dyDescent="0.25">
      <c r="A132" s="234" t="s">
        <v>37</v>
      </c>
      <c r="B132" s="76" t="s">
        <v>266</v>
      </c>
      <c r="C132" s="73">
        <v>43718</v>
      </c>
      <c r="D132" s="76">
        <v>10045</v>
      </c>
      <c r="E132" s="75" t="s">
        <v>267</v>
      </c>
      <c r="F132" s="75" t="s">
        <v>255</v>
      </c>
      <c r="G132" s="75"/>
      <c r="H132" s="75"/>
      <c r="I132" s="234"/>
    </row>
    <row r="133" spans="1:9" s="233" customFormat="1" ht="105" x14ac:dyDescent="0.25">
      <c r="A133" s="234" t="s">
        <v>32</v>
      </c>
      <c r="B133" s="76">
        <v>28</v>
      </c>
      <c r="C133" s="73">
        <v>43719</v>
      </c>
      <c r="D133" s="76">
        <v>19987</v>
      </c>
      <c r="E133" s="75" t="s">
        <v>268</v>
      </c>
      <c r="F133" s="75" t="s">
        <v>236</v>
      </c>
      <c r="G133" s="75"/>
      <c r="H133" s="75"/>
      <c r="I133" s="234"/>
    </row>
    <row r="134" spans="1:9" s="233" customFormat="1" ht="45" x14ac:dyDescent="0.25">
      <c r="A134" s="234" t="s">
        <v>37</v>
      </c>
      <c r="B134" s="76" t="s">
        <v>269</v>
      </c>
      <c r="C134" s="73">
        <v>43725</v>
      </c>
      <c r="D134" s="76">
        <v>9997</v>
      </c>
      <c r="E134" s="75" t="s">
        <v>270</v>
      </c>
      <c r="F134" s="68" t="s">
        <v>178</v>
      </c>
      <c r="G134" s="75"/>
      <c r="H134" s="75"/>
      <c r="I134" s="234"/>
    </row>
    <row r="135" spans="1:9" s="233" customFormat="1" ht="30" x14ac:dyDescent="0.25">
      <c r="A135" s="234" t="s">
        <v>34</v>
      </c>
      <c r="B135" s="76">
        <v>157</v>
      </c>
      <c r="C135" s="73">
        <v>43733</v>
      </c>
      <c r="D135" s="76">
        <v>1680</v>
      </c>
      <c r="E135" s="75"/>
      <c r="F135" s="75"/>
      <c r="G135" s="75"/>
      <c r="H135" s="75"/>
      <c r="I135" s="234"/>
    </row>
    <row r="136" spans="1:9" s="233" customFormat="1" ht="45" x14ac:dyDescent="0.25">
      <c r="A136" s="234" t="s">
        <v>257</v>
      </c>
      <c r="B136" s="76" t="s">
        <v>271</v>
      </c>
      <c r="C136" s="73">
        <v>43733</v>
      </c>
      <c r="D136" s="76">
        <v>18967</v>
      </c>
      <c r="E136" s="75"/>
      <c r="F136" s="75"/>
      <c r="G136" s="75"/>
      <c r="H136" s="75"/>
      <c r="I136" s="234"/>
    </row>
    <row r="137" spans="1:9" s="233" customFormat="1" ht="105" x14ac:dyDescent="0.25">
      <c r="A137" s="234" t="s">
        <v>32</v>
      </c>
      <c r="B137" s="76">
        <v>15</v>
      </c>
      <c r="C137" s="73">
        <v>43738</v>
      </c>
      <c r="D137" s="76">
        <v>19996.8</v>
      </c>
      <c r="E137" s="75" t="s">
        <v>278</v>
      </c>
      <c r="F137" s="75" t="s">
        <v>236</v>
      </c>
      <c r="G137" s="75"/>
      <c r="H137" s="75"/>
      <c r="I137" s="234"/>
    </row>
    <row r="138" spans="1:9" s="233" customFormat="1" x14ac:dyDescent="0.25">
      <c r="A138" s="232" t="s">
        <v>63</v>
      </c>
      <c r="B138" s="132" t="s">
        <v>241</v>
      </c>
      <c r="C138" s="67">
        <v>43731</v>
      </c>
      <c r="D138" s="132">
        <v>1650</v>
      </c>
      <c r="E138" s="68"/>
      <c r="F138" s="68"/>
      <c r="G138" s="68"/>
      <c r="H138" s="68"/>
      <c r="I138" s="232"/>
    </row>
    <row r="139" spans="1:9" s="233" customFormat="1" x14ac:dyDescent="0.25">
      <c r="A139" s="234" t="s">
        <v>69</v>
      </c>
      <c r="B139" s="76" t="s">
        <v>272</v>
      </c>
      <c r="C139" s="73">
        <v>43739</v>
      </c>
      <c r="D139" s="72">
        <v>18139</v>
      </c>
      <c r="E139" s="75"/>
      <c r="F139" s="75"/>
      <c r="G139" s="75"/>
      <c r="H139" s="75"/>
      <c r="I139" s="234"/>
    </row>
    <row r="140" spans="1:9" s="233" customFormat="1" ht="75" x14ac:dyDescent="0.25">
      <c r="A140" s="234" t="s">
        <v>37</v>
      </c>
      <c r="B140" s="76" t="s">
        <v>273</v>
      </c>
      <c r="C140" s="73">
        <v>43742</v>
      </c>
      <c r="D140" s="72">
        <v>9902</v>
      </c>
      <c r="E140" s="75" t="s">
        <v>274</v>
      </c>
      <c r="F140" s="75" t="s">
        <v>255</v>
      </c>
      <c r="G140" s="75"/>
      <c r="H140" s="75"/>
      <c r="I140" s="234"/>
    </row>
    <row r="141" spans="1:9" s="233" customFormat="1" x14ac:dyDescent="0.25">
      <c r="A141" s="234" t="s">
        <v>69</v>
      </c>
      <c r="B141" s="76" t="s">
        <v>275</v>
      </c>
      <c r="C141" s="73">
        <v>43746</v>
      </c>
      <c r="D141" s="72">
        <v>18039.5</v>
      </c>
      <c r="E141" s="75"/>
      <c r="F141" s="75"/>
      <c r="G141" s="75"/>
      <c r="H141" s="75"/>
      <c r="I141" s="234"/>
    </row>
    <row r="142" spans="1:9" s="233" customFormat="1" x14ac:dyDescent="0.25">
      <c r="A142" s="234" t="s">
        <v>73</v>
      </c>
      <c r="B142" s="76">
        <v>4039</v>
      </c>
      <c r="C142" s="73">
        <v>43746</v>
      </c>
      <c r="D142" s="72">
        <v>2520</v>
      </c>
      <c r="E142" s="75"/>
      <c r="F142" s="75"/>
      <c r="G142" s="75"/>
      <c r="H142" s="75"/>
      <c r="I142" s="234"/>
    </row>
    <row r="143" spans="1:9" s="233" customFormat="1" ht="45" x14ac:dyDescent="0.25">
      <c r="A143" s="234" t="s">
        <v>37</v>
      </c>
      <c r="B143" s="76" t="s">
        <v>276</v>
      </c>
      <c r="C143" s="73">
        <v>43748</v>
      </c>
      <c r="D143" s="72">
        <v>9896</v>
      </c>
      <c r="E143" s="75" t="s">
        <v>277</v>
      </c>
      <c r="F143" s="68" t="s">
        <v>178</v>
      </c>
      <c r="G143" s="75"/>
      <c r="H143" s="75"/>
      <c r="I143" s="234"/>
    </row>
    <row r="144" spans="1:9" s="233" customFormat="1" ht="90" x14ac:dyDescent="0.25">
      <c r="A144" s="234" t="s">
        <v>69</v>
      </c>
      <c r="B144" s="76" t="s">
        <v>279</v>
      </c>
      <c r="C144" s="73">
        <v>43753</v>
      </c>
      <c r="D144" s="72">
        <v>18307</v>
      </c>
      <c r="E144" s="75" t="s">
        <v>302</v>
      </c>
      <c r="F144" s="75" t="s">
        <v>309</v>
      </c>
      <c r="G144" s="75"/>
      <c r="H144" s="75"/>
      <c r="I144" s="234"/>
    </row>
    <row r="145" spans="1:9" s="233" customFormat="1" x14ac:dyDescent="0.25">
      <c r="A145" s="234" t="s">
        <v>56</v>
      </c>
      <c r="B145" s="76" t="s">
        <v>280</v>
      </c>
      <c r="C145" s="73">
        <v>43755</v>
      </c>
      <c r="D145" s="72">
        <v>2100</v>
      </c>
      <c r="E145" s="75"/>
      <c r="F145" s="75"/>
      <c r="G145" s="75"/>
      <c r="H145" s="75"/>
      <c r="I145" s="234"/>
    </row>
    <row r="146" spans="1:9" s="233" customFormat="1" x14ac:dyDescent="0.25">
      <c r="A146" s="234" t="s">
        <v>69</v>
      </c>
      <c r="B146" s="76" t="s">
        <v>281</v>
      </c>
      <c r="C146" s="73">
        <v>43759</v>
      </c>
      <c r="D146" s="72">
        <v>18425</v>
      </c>
      <c r="E146" s="75"/>
      <c r="F146" s="75"/>
      <c r="G146" s="75"/>
      <c r="H146" s="75"/>
      <c r="I146" s="234"/>
    </row>
    <row r="147" spans="1:9" s="233" customFormat="1" x14ac:dyDescent="0.25">
      <c r="A147" s="234" t="s">
        <v>63</v>
      </c>
      <c r="B147" s="76">
        <v>63</v>
      </c>
      <c r="C147" s="73">
        <v>43760</v>
      </c>
      <c r="D147" s="72">
        <v>4000</v>
      </c>
      <c r="E147" s="75"/>
      <c r="F147" s="75"/>
      <c r="G147" s="75"/>
      <c r="H147" s="75"/>
      <c r="I147" s="234"/>
    </row>
    <row r="148" spans="1:9" s="233" customFormat="1" ht="45" x14ac:dyDescent="0.25">
      <c r="A148" s="234" t="s">
        <v>37</v>
      </c>
      <c r="B148" s="76" t="s">
        <v>282</v>
      </c>
      <c r="C148" s="73">
        <v>43762</v>
      </c>
      <c r="D148" s="72">
        <v>9992</v>
      </c>
      <c r="E148" s="75" t="s">
        <v>302</v>
      </c>
      <c r="F148" s="68" t="s">
        <v>178</v>
      </c>
      <c r="G148" s="75"/>
      <c r="H148" s="75"/>
      <c r="I148" s="234"/>
    </row>
    <row r="149" spans="1:9" s="233" customFormat="1" x14ac:dyDescent="0.25">
      <c r="A149" s="234" t="s">
        <v>245</v>
      </c>
      <c r="B149" s="76">
        <v>11</v>
      </c>
      <c r="C149" s="73">
        <v>43763</v>
      </c>
      <c r="D149" s="72">
        <v>19500</v>
      </c>
      <c r="E149" s="75"/>
      <c r="F149" s="75"/>
      <c r="G149" s="75"/>
      <c r="H149" s="75"/>
      <c r="I149" s="234"/>
    </row>
    <row r="150" spans="1:9" s="233" customFormat="1" ht="30" x14ac:dyDescent="0.25">
      <c r="A150" s="234" t="s">
        <v>34</v>
      </c>
      <c r="B150" s="76">
        <v>157.18899999999999</v>
      </c>
      <c r="C150" s="73">
        <v>43763</v>
      </c>
      <c r="D150" s="72">
        <v>1630</v>
      </c>
      <c r="E150" s="75"/>
      <c r="F150" s="75"/>
      <c r="G150" s="75"/>
      <c r="H150" s="75"/>
      <c r="I150" s="234"/>
    </row>
    <row r="151" spans="1:9" s="233" customFormat="1" x14ac:dyDescent="0.25">
      <c r="A151" s="234" t="s">
        <v>54</v>
      </c>
      <c r="B151" s="76">
        <v>35</v>
      </c>
      <c r="C151" s="73">
        <v>43769</v>
      </c>
      <c r="D151" s="72">
        <v>6000</v>
      </c>
      <c r="E151" s="75"/>
      <c r="F151" s="75"/>
      <c r="G151" s="75"/>
      <c r="H151" s="75"/>
      <c r="I151" s="234"/>
    </row>
    <row r="152" spans="1:9" s="233" customFormat="1" ht="45" x14ac:dyDescent="0.25">
      <c r="A152" s="234" t="s">
        <v>257</v>
      </c>
      <c r="B152" s="76" t="s">
        <v>283</v>
      </c>
      <c r="C152" s="73">
        <v>43775</v>
      </c>
      <c r="D152" s="72">
        <v>18649</v>
      </c>
      <c r="E152" s="75"/>
      <c r="F152" s="75"/>
      <c r="G152" s="75"/>
      <c r="H152" s="75"/>
      <c r="I152" s="234"/>
    </row>
    <row r="153" spans="1:9" s="233" customFormat="1" x14ac:dyDescent="0.25">
      <c r="A153" s="234" t="s">
        <v>56</v>
      </c>
      <c r="B153" s="202">
        <v>39771</v>
      </c>
      <c r="C153" s="73">
        <v>43775</v>
      </c>
      <c r="D153" s="72">
        <v>3412</v>
      </c>
      <c r="E153" s="75"/>
      <c r="F153" s="75"/>
      <c r="G153" s="75"/>
      <c r="H153" s="75"/>
      <c r="I153" s="234"/>
    </row>
    <row r="154" spans="1:9" s="233" customFormat="1" x14ac:dyDescent="0.25">
      <c r="A154" s="234" t="s">
        <v>69</v>
      </c>
      <c r="B154" s="76">
        <v>270.27100000000002</v>
      </c>
      <c r="C154" s="73">
        <v>43776</v>
      </c>
      <c r="D154" s="72">
        <v>17905</v>
      </c>
      <c r="E154" s="75"/>
      <c r="F154" s="75"/>
      <c r="G154" s="75"/>
      <c r="H154" s="75"/>
      <c r="I154" s="234"/>
    </row>
    <row r="155" spans="1:9" s="233" customFormat="1" x14ac:dyDescent="0.25">
      <c r="A155" s="234" t="s">
        <v>73</v>
      </c>
      <c r="B155" s="76">
        <v>4566</v>
      </c>
      <c r="C155" s="73">
        <v>43776</v>
      </c>
      <c r="D155" s="72">
        <v>2016</v>
      </c>
      <c r="E155" s="75"/>
      <c r="F155" s="75"/>
      <c r="G155" s="75"/>
      <c r="H155" s="75"/>
      <c r="I155" s="234"/>
    </row>
    <row r="156" spans="1:9" s="233" customFormat="1" x14ac:dyDescent="0.25">
      <c r="A156" s="234" t="s">
        <v>63</v>
      </c>
      <c r="B156" s="76">
        <v>67</v>
      </c>
      <c r="C156" s="73">
        <v>43777</v>
      </c>
      <c r="D156" s="72">
        <v>3000</v>
      </c>
      <c r="E156" s="75"/>
      <c r="F156" s="75"/>
      <c r="G156" s="75"/>
      <c r="H156" s="75"/>
      <c r="I156" s="234"/>
    </row>
    <row r="157" spans="1:9" s="233" customFormat="1" ht="75" x14ac:dyDescent="0.25">
      <c r="A157" s="234" t="s">
        <v>37</v>
      </c>
      <c r="B157" s="76" t="s">
        <v>284</v>
      </c>
      <c r="C157" s="73">
        <v>43780</v>
      </c>
      <c r="D157" s="72">
        <v>10002</v>
      </c>
      <c r="E157" s="75" t="s">
        <v>285</v>
      </c>
      <c r="F157" s="75" t="s">
        <v>255</v>
      </c>
      <c r="G157" s="75"/>
      <c r="H157" s="75"/>
      <c r="I157" s="234"/>
    </row>
    <row r="158" spans="1:9" s="233" customFormat="1" x14ac:dyDescent="0.25">
      <c r="A158" s="234" t="s">
        <v>69</v>
      </c>
      <c r="B158" s="76" t="s">
        <v>286</v>
      </c>
      <c r="C158" s="73">
        <v>43788</v>
      </c>
      <c r="D158" s="72">
        <v>17766</v>
      </c>
      <c r="E158" s="75"/>
      <c r="F158" s="75"/>
      <c r="G158" s="75"/>
      <c r="H158" s="75"/>
      <c r="I158" s="234"/>
    </row>
    <row r="159" spans="1:9" s="233" customFormat="1" x14ac:dyDescent="0.25">
      <c r="A159" s="234" t="s">
        <v>69</v>
      </c>
      <c r="B159" s="76" t="s">
        <v>287</v>
      </c>
      <c r="C159" s="73">
        <v>43791</v>
      </c>
      <c r="D159" s="72">
        <v>17829</v>
      </c>
      <c r="E159" s="75"/>
      <c r="F159" s="75"/>
      <c r="G159" s="75"/>
      <c r="H159" s="75"/>
      <c r="I159" s="234"/>
    </row>
    <row r="160" spans="1:9" s="233" customFormat="1" ht="45" x14ac:dyDescent="0.25">
      <c r="A160" s="234" t="s">
        <v>37</v>
      </c>
      <c r="B160" s="76">
        <v>450.45100000000002</v>
      </c>
      <c r="C160" s="73">
        <v>43791</v>
      </c>
      <c r="D160" s="72">
        <v>9900</v>
      </c>
      <c r="E160" s="75" t="s">
        <v>288</v>
      </c>
      <c r="F160" s="68" t="s">
        <v>178</v>
      </c>
      <c r="G160" s="75"/>
      <c r="H160" s="75"/>
      <c r="I160" s="234"/>
    </row>
    <row r="161" spans="1:9" s="233" customFormat="1" ht="105" x14ac:dyDescent="0.25">
      <c r="A161" s="234" t="s">
        <v>32</v>
      </c>
      <c r="B161" s="76">
        <v>6</v>
      </c>
      <c r="C161" s="73">
        <v>43794</v>
      </c>
      <c r="D161" s="72">
        <v>20000</v>
      </c>
      <c r="E161" s="75" t="s">
        <v>310</v>
      </c>
      <c r="F161" s="75" t="s">
        <v>236</v>
      </c>
      <c r="G161" s="75"/>
      <c r="H161" s="75"/>
      <c r="I161" s="234"/>
    </row>
    <row r="162" spans="1:9" s="233" customFormat="1" x14ac:dyDescent="0.25">
      <c r="A162" s="234" t="s">
        <v>69</v>
      </c>
      <c r="B162" s="76">
        <v>352.35300000000001</v>
      </c>
      <c r="C162" s="73">
        <v>43797</v>
      </c>
      <c r="D162" s="72">
        <v>18443</v>
      </c>
      <c r="E162" s="75"/>
      <c r="F162" s="75"/>
      <c r="G162" s="75"/>
      <c r="H162" s="75"/>
      <c r="I162" s="234"/>
    </row>
    <row r="163" spans="1:9" s="233" customFormat="1" ht="75" x14ac:dyDescent="0.25">
      <c r="A163" s="234" t="s">
        <v>37</v>
      </c>
      <c r="B163" s="76" t="s">
        <v>289</v>
      </c>
      <c r="C163" s="73">
        <v>43797</v>
      </c>
      <c r="D163" s="72">
        <v>10300</v>
      </c>
      <c r="E163" s="75" t="s">
        <v>290</v>
      </c>
      <c r="F163" s="75" t="s">
        <v>255</v>
      </c>
      <c r="G163" s="75"/>
      <c r="H163" s="75"/>
      <c r="I163" s="234"/>
    </row>
    <row r="164" spans="1:9" s="233" customFormat="1" x14ac:dyDescent="0.25">
      <c r="A164" s="234" t="s">
        <v>54</v>
      </c>
      <c r="B164" s="76">
        <v>38</v>
      </c>
      <c r="C164" s="73">
        <v>43802</v>
      </c>
      <c r="D164" s="72">
        <v>5500</v>
      </c>
      <c r="E164" s="75"/>
      <c r="F164" s="75"/>
      <c r="G164" s="75"/>
      <c r="H164" s="75"/>
      <c r="I164" s="234"/>
    </row>
    <row r="165" spans="1:9" s="233" customFormat="1" ht="90" x14ac:dyDescent="0.25">
      <c r="A165" s="234" t="s">
        <v>257</v>
      </c>
      <c r="B165" s="76" t="s">
        <v>291</v>
      </c>
      <c r="C165" s="73">
        <v>43805</v>
      </c>
      <c r="D165" s="72">
        <v>18621</v>
      </c>
      <c r="E165" s="75" t="s">
        <v>305</v>
      </c>
      <c r="F165" s="75" t="s">
        <v>306</v>
      </c>
      <c r="G165" s="75"/>
      <c r="H165" s="75"/>
      <c r="I165" s="234"/>
    </row>
    <row r="166" spans="1:9" s="233" customFormat="1" x14ac:dyDescent="0.25">
      <c r="A166" s="234" t="s">
        <v>73</v>
      </c>
      <c r="B166" s="76">
        <v>5108</v>
      </c>
      <c r="C166" s="73">
        <v>43808</v>
      </c>
      <c r="D166" s="72">
        <v>2016</v>
      </c>
      <c r="E166" s="75"/>
      <c r="F166" s="75"/>
      <c r="G166" s="75"/>
      <c r="H166" s="75"/>
      <c r="I166" s="234"/>
    </row>
    <row r="167" spans="1:9" s="233" customFormat="1" x14ac:dyDescent="0.25">
      <c r="A167" s="234" t="s">
        <v>69</v>
      </c>
      <c r="B167" s="76" t="s">
        <v>292</v>
      </c>
      <c r="C167" s="73">
        <v>43809</v>
      </c>
      <c r="D167" s="72">
        <v>18759</v>
      </c>
      <c r="E167" s="75"/>
      <c r="F167" s="75"/>
      <c r="G167" s="75"/>
      <c r="H167" s="75"/>
      <c r="I167" s="234"/>
    </row>
    <row r="168" spans="1:9" s="233" customFormat="1" x14ac:dyDescent="0.25">
      <c r="A168" s="234" t="s">
        <v>69</v>
      </c>
      <c r="B168" s="76">
        <v>355.35599999999999</v>
      </c>
      <c r="C168" s="73">
        <v>43810</v>
      </c>
      <c r="D168" s="72">
        <v>18800</v>
      </c>
      <c r="E168" s="75"/>
      <c r="F168" s="75"/>
      <c r="G168" s="75"/>
      <c r="H168" s="75"/>
      <c r="I168" s="234"/>
    </row>
    <row r="169" spans="1:9" s="233" customFormat="1" x14ac:dyDescent="0.25">
      <c r="A169" s="234" t="s">
        <v>56</v>
      </c>
      <c r="B169" s="202">
        <v>136590</v>
      </c>
      <c r="C169" s="73">
        <v>43810</v>
      </c>
      <c r="D169" s="72">
        <v>2546</v>
      </c>
      <c r="E169" s="75"/>
      <c r="F169" s="75"/>
      <c r="G169" s="75"/>
      <c r="H169" s="75"/>
      <c r="I169" s="234"/>
    </row>
    <row r="170" spans="1:9" s="233" customFormat="1" x14ac:dyDescent="0.25">
      <c r="A170" s="235" t="s">
        <v>69</v>
      </c>
      <c r="B170" s="132">
        <v>356.35700000000003</v>
      </c>
      <c r="C170" s="67">
        <v>43811</v>
      </c>
      <c r="D170" s="66">
        <v>18122</v>
      </c>
      <c r="E170" s="68"/>
      <c r="F170" s="68"/>
      <c r="G170" s="68"/>
      <c r="H170" s="68"/>
      <c r="I170" s="232"/>
    </row>
    <row r="171" spans="1:9" s="233" customFormat="1" ht="75" x14ac:dyDescent="0.25">
      <c r="A171" s="235" t="s">
        <v>37</v>
      </c>
      <c r="B171" s="132" t="s">
        <v>293</v>
      </c>
      <c r="C171" s="67">
        <v>43815</v>
      </c>
      <c r="D171" s="66">
        <v>10143</v>
      </c>
      <c r="E171" s="68" t="s">
        <v>294</v>
      </c>
      <c r="F171" s="219" t="s">
        <v>255</v>
      </c>
      <c r="G171" s="68"/>
      <c r="H171" s="68"/>
      <c r="I171" s="232"/>
    </row>
    <row r="172" spans="1:9" s="233" customFormat="1" x14ac:dyDescent="0.25">
      <c r="A172" s="236" t="s">
        <v>69</v>
      </c>
      <c r="B172" s="132">
        <v>358</v>
      </c>
      <c r="C172" s="67">
        <v>43816</v>
      </c>
      <c r="D172" s="66">
        <v>17706</v>
      </c>
      <c r="E172" s="68"/>
      <c r="F172" s="68"/>
      <c r="G172" s="68"/>
      <c r="H172" s="68"/>
      <c r="I172" s="232"/>
    </row>
    <row r="173" spans="1:9" s="233" customFormat="1" x14ac:dyDescent="0.25">
      <c r="A173" s="236" t="s">
        <v>34</v>
      </c>
      <c r="B173" s="132">
        <v>358</v>
      </c>
      <c r="C173" s="67">
        <v>43819</v>
      </c>
      <c r="D173" s="66">
        <v>3346</v>
      </c>
      <c r="E173" s="68"/>
      <c r="F173" s="68"/>
      <c r="G173" s="68"/>
      <c r="H173" s="68"/>
      <c r="I173" s="232"/>
    </row>
    <row r="174" spans="1:9" s="233" customFormat="1" ht="120" x14ac:dyDescent="0.25">
      <c r="A174" s="236" t="s">
        <v>37</v>
      </c>
      <c r="B174" s="132">
        <v>478.47899999999998</v>
      </c>
      <c r="C174" s="67">
        <v>43823</v>
      </c>
      <c r="D174" s="66">
        <v>10000</v>
      </c>
      <c r="E174" s="68" t="s">
        <v>295</v>
      </c>
      <c r="F174" s="219" t="s">
        <v>255</v>
      </c>
      <c r="G174" s="75" t="s">
        <v>316</v>
      </c>
      <c r="H174" s="75" t="s">
        <v>317</v>
      </c>
      <c r="I174" s="234">
        <v>243</v>
      </c>
    </row>
    <row r="175" spans="1:9" s="233" customFormat="1" x14ac:dyDescent="0.25">
      <c r="A175" s="234"/>
      <c r="B175" s="76"/>
      <c r="C175" s="73"/>
      <c r="D175" s="76"/>
      <c r="E175" s="75"/>
      <c r="F175" s="75"/>
      <c r="G175" s="75"/>
      <c r="H175" s="75"/>
      <c r="I175" s="234"/>
    </row>
    <row r="176" spans="1:9" s="233" customFormat="1" x14ac:dyDescent="0.25">
      <c r="A176" s="234"/>
      <c r="B176" s="76"/>
      <c r="C176" s="73"/>
      <c r="D176" s="76"/>
      <c r="E176" s="75"/>
      <c r="F176" s="75"/>
      <c r="G176" s="75"/>
      <c r="H176" s="75"/>
      <c r="I176" s="234"/>
    </row>
    <row r="177" spans="1:9" s="233" customFormat="1" x14ac:dyDescent="0.25">
      <c r="A177" s="232"/>
      <c r="B177" s="132"/>
      <c r="C177" s="67"/>
      <c r="D177" s="132"/>
      <c r="E177" s="68"/>
      <c r="F177" s="68"/>
      <c r="G177" s="68"/>
      <c r="H177" s="68"/>
      <c r="I177" s="232"/>
    </row>
    <row r="178" spans="1:9" s="233" customFormat="1" x14ac:dyDescent="0.25">
      <c r="A178" s="232"/>
      <c r="B178" s="132"/>
      <c r="C178" s="67"/>
      <c r="D178" s="132"/>
      <c r="E178" s="68"/>
      <c r="F178" s="68"/>
      <c r="G178" s="68"/>
      <c r="H178" s="68"/>
      <c r="I178" s="232"/>
    </row>
    <row r="179" spans="1:9" s="233" customFormat="1" x14ac:dyDescent="0.25">
      <c r="A179" s="232"/>
      <c r="B179" s="132"/>
      <c r="C179" s="67"/>
      <c r="D179" s="132"/>
      <c r="E179" s="68"/>
      <c r="F179" s="68"/>
      <c r="G179" s="68"/>
      <c r="H179" s="68"/>
      <c r="I179" s="232"/>
    </row>
    <row r="180" spans="1:9" s="233" customFormat="1" x14ac:dyDescent="0.25">
      <c r="A180" s="232"/>
      <c r="B180" s="132"/>
      <c r="C180" s="67"/>
      <c r="D180" s="132"/>
      <c r="E180" s="68"/>
      <c r="F180" s="68"/>
      <c r="G180" s="68"/>
      <c r="H180" s="68"/>
      <c r="I180" s="232"/>
    </row>
    <row r="181" spans="1:9" s="233" customFormat="1" x14ac:dyDescent="0.25">
      <c r="A181" s="232"/>
      <c r="B181" s="132"/>
      <c r="C181" s="67"/>
      <c r="D181" s="132"/>
      <c r="E181" s="68"/>
      <c r="F181" s="68"/>
      <c r="G181" s="68"/>
      <c r="H181" s="68"/>
      <c r="I181" s="232"/>
    </row>
    <row r="182" spans="1:9" s="233" customFormat="1" x14ac:dyDescent="0.25">
      <c r="A182" s="232"/>
      <c r="B182" s="132"/>
      <c r="C182" s="67"/>
      <c r="D182" s="132"/>
      <c r="E182" s="68"/>
      <c r="F182" s="68"/>
      <c r="G182" s="68"/>
      <c r="H182" s="68"/>
      <c r="I182" s="232"/>
    </row>
    <row r="183" spans="1:9" s="233" customFormat="1" x14ac:dyDescent="0.25">
      <c r="A183" s="232"/>
      <c r="B183" s="132"/>
      <c r="C183" s="67"/>
      <c r="D183" s="132"/>
      <c r="E183" s="68"/>
      <c r="F183" s="68"/>
      <c r="G183" s="68"/>
      <c r="H183" s="68"/>
      <c r="I183" s="232"/>
    </row>
    <row r="184" spans="1:9" s="233" customFormat="1" x14ac:dyDescent="0.25">
      <c r="A184" s="232"/>
      <c r="B184" s="132"/>
      <c r="C184" s="67"/>
      <c r="D184" s="132"/>
      <c r="E184" s="68"/>
      <c r="F184" s="68"/>
      <c r="G184" s="68"/>
      <c r="H184" s="68"/>
      <c r="I184" s="232"/>
    </row>
    <row r="185" spans="1:9" s="233" customFormat="1" x14ac:dyDescent="0.25">
      <c r="A185" s="232"/>
      <c r="B185" s="132"/>
      <c r="C185" s="67"/>
      <c r="D185" s="132"/>
      <c r="E185" s="68"/>
      <c r="F185" s="68"/>
      <c r="G185" s="68"/>
      <c r="H185" s="68"/>
      <c r="I185" s="232"/>
    </row>
    <row r="186" spans="1:9" s="233" customFormat="1" x14ac:dyDescent="0.25">
      <c r="A186" s="232"/>
      <c r="B186" s="132"/>
      <c r="C186" s="67"/>
      <c r="D186" s="132"/>
      <c r="E186" s="68"/>
      <c r="F186" s="68"/>
      <c r="G186" s="68"/>
      <c r="H186" s="68"/>
      <c r="I186" s="232"/>
    </row>
    <row r="187" spans="1:9" s="233" customFormat="1" x14ac:dyDescent="0.25">
      <c r="A187" s="232"/>
      <c r="B187" s="132"/>
      <c r="C187" s="67"/>
      <c r="D187" s="132"/>
      <c r="E187" s="68"/>
      <c r="F187" s="68"/>
      <c r="G187" s="68"/>
      <c r="H187" s="68"/>
      <c r="I187" s="232"/>
    </row>
    <row r="188" spans="1:9" s="233" customFormat="1" x14ac:dyDescent="0.25">
      <c r="A188" s="232"/>
      <c r="B188" s="132"/>
      <c r="C188" s="67"/>
      <c r="D188" s="132"/>
      <c r="E188" s="68"/>
      <c r="F188" s="68"/>
      <c r="G188" s="68"/>
      <c r="H188" s="68"/>
      <c r="I188" s="232"/>
    </row>
    <row r="189" spans="1:9" s="233" customFormat="1" x14ac:dyDescent="0.25">
      <c r="A189" s="232"/>
      <c r="B189" s="132"/>
      <c r="C189" s="67"/>
      <c r="D189" s="132"/>
      <c r="E189" s="68"/>
      <c r="F189" s="68"/>
      <c r="G189" s="68"/>
      <c r="H189" s="68"/>
      <c r="I189" s="232"/>
    </row>
    <row r="190" spans="1:9" s="233" customFormat="1" x14ac:dyDescent="0.25">
      <c r="A190" s="232"/>
      <c r="B190" s="132"/>
      <c r="C190" s="67"/>
      <c r="D190" s="132"/>
      <c r="E190" s="68"/>
      <c r="F190" s="68"/>
      <c r="G190" s="68"/>
      <c r="H190" s="68"/>
      <c r="I190" s="232"/>
    </row>
    <row r="191" spans="1:9" s="233" customFormat="1" x14ac:dyDescent="0.25">
      <c r="A191" s="232"/>
      <c r="B191" s="132"/>
      <c r="C191" s="67"/>
      <c r="D191" s="132"/>
      <c r="E191" s="68"/>
      <c r="F191" s="68"/>
      <c r="G191" s="68"/>
      <c r="H191" s="68"/>
      <c r="I191" s="232"/>
    </row>
    <row r="192" spans="1:9" s="233" customFormat="1" x14ac:dyDescent="0.25">
      <c r="A192" s="232"/>
      <c r="B192" s="132"/>
      <c r="C192" s="67"/>
      <c r="D192" s="132"/>
      <c r="E192" s="68"/>
      <c r="F192" s="68"/>
      <c r="G192" s="68"/>
      <c r="H192" s="68"/>
      <c r="I192" s="232"/>
    </row>
    <row r="193" spans="1:9" s="233" customFormat="1" x14ac:dyDescent="0.25">
      <c r="A193" s="232"/>
      <c r="B193" s="132"/>
      <c r="C193" s="67"/>
      <c r="D193" s="132"/>
      <c r="E193" s="68"/>
      <c r="F193" s="68"/>
      <c r="G193" s="68"/>
      <c r="H193" s="68"/>
      <c r="I193" s="232"/>
    </row>
    <row r="194" spans="1:9" s="233" customFormat="1" x14ac:dyDescent="0.25">
      <c r="A194" s="232"/>
      <c r="B194" s="132"/>
      <c r="C194" s="67"/>
      <c r="D194" s="132"/>
      <c r="E194" s="68"/>
      <c r="F194" s="68"/>
      <c r="G194" s="68"/>
      <c r="H194" s="68"/>
      <c r="I194" s="232"/>
    </row>
    <row r="195" spans="1:9" s="233" customFormat="1" x14ac:dyDescent="0.25">
      <c r="A195" s="232"/>
      <c r="B195" s="132"/>
      <c r="C195" s="67"/>
      <c r="D195" s="132"/>
      <c r="E195" s="68"/>
      <c r="F195" s="68"/>
      <c r="G195" s="68"/>
      <c r="H195" s="68"/>
      <c r="I195" s="232"/>
    </row>
    <row r="196" spans="1:9" s="233" customFormat="1" x14ac:dyDescent="0.25">
      <c r="A196" s="232"/>
      <c r="B196" s="132"/>
      <c r="C196" s="67"/>
      <c r="D196" s="132"/>
      <c r="E196" s="68"/>
      <c r="F196" s="68"/>
      <c r="G196" s="68"/>
      <c r="H196" s="68"/>
      <c r="I196" s="232"/>
    </row>
    <row r="197" spans="1:9" s="233" customFormat="1" x14ac:dyDescent="0.25">
      <c r="A197" s="232"/>
      <c r="B197" s="132"/>
      <c r="C197" s="67"/>
      <c r="D197" s="132"/>
      <c r="E197" s="68"/>
      <c r="F197" s="68"/>
      <c r="G197" s="68"/>
      <c r="H197" s="68"/>
      <c r="I197" s="232"/>
    </row>
    <row r="198" spans="1:9" s="233" customFormat="1" x14ac:dyDescent="0.25">
      <c r="A198" s="232"/>
      <c r="B198" s="132"/>
      <c r="C198" s="67"/>
      <c r="D198" s="132"/>
      <c r="E198" s="68"/>
      <c r="F198" s="68"/>
      <c r="G198" s="68"/>
      <c r="H198" s="68"/>
      <c r="I198" s="232"/>
    </row>
    <row r="199" spans="1:9" s="233" customFormat="1" x14ac:dyDescent="0.25">
      <c r="A199" s="232"/>
      <c r="B199" s="132"/>
      <c r="C199" s="67"/>
      <c r="D199" s="132"/>
      <c r="E199" s="68"/>
      <c r="F199" s="68"/>
      <c r="G199" s="68"/>
      <c r="H199" s="68"/>
      <c r="I199" s="232"/>
    </row>
    <row r="200" spans="1:9" s="233" customFormat="1" x14ac:dyDescent="0.25">
      <c r="A200" s="232"/>
      <c r="B200" s="132"/>
      <c r="C200" s="67"/>
      <c r="D200" s="132"/>
      <c r="E200" s="68"/>
      <c r="F200" s="68"/>
      <c r="G200" s="68"/>
      <c r="H200" s="68"/>
      <c r="I200" s="232"/>
    </row>
    <row r="201" spans="1:9" s="233" customFormat="1" x14ac:dyDescent="0.25">
      <c r="A201" s="232"/>
      <c r="B201" s="132"/>
      <c r="C201" s="67"/>
      <c r="D201" s="132"/>
      <c r="E201" s="68"/>
      <c r="F201" s="68"/>
      <c r="G201" s="68"/>
      <c r="H201" s="68"/>
      <c r="I201" s="232"/>
    </row>
    <row r="202" spans="1:9" s="233" customFormat="1" x14ac:dyDescent="0.25">
      <c r="A202" s="232"/>
      <c r="B202" s="132"/>
      <c r="C202" s="67"/>
      <c r="D202" s="132"/>
      <c r="E202" s="68"/>
      <c r="F202" s="68"/>
      <c r="G202" s="68"/>
      <c r="H202" s="68"/>
      <c r="I202" s="232"/>
    </row>
    <row r="203" spans="1:9" s="233" customFormat="1" x14ac:dyDescent="0.25">
      <c r="A203" s="232"/>
      <c r="B203" s="132"/>
      <c r="C203" s="67"/>
      <c r="D203" s="132"/>
      <c r="E203" s="68"/>
      <c r="F203" s="68"/>
      <c r="G203" s="68"/>
      <c r="H203" s="68"/>
      <c r="I203" s="232"/>
    </row>
    <row r="204" spans="1:9" s="233" customFormat="1" x14ac:dyDescent="0.25">
      <c r="A204" s="232"/>
      <c r="B204" s="132"/>
      <c r="C204" s="67"/>
      <c r="D204" s="132"/>
      <c r="E204" s="68"/>
      <c r="F204" s="68"/>
      <c r="G204" s="68"/>
      <c r="H204" s="68"/>
      <c r="I204" s="232"/>
    </row>
    <row r="205" spans="1:9" s="233" customFormat="1" x14ac:dyDescent="0.25">
      <c r="A205" s="232"/>
      <c r="B205" s="132"/>
      <c r="C205" s="67"/>
      <c r="D205" s="132"/>
      <c r="E205" s="68"/>
      <c r="F205" s="68"/>
      <c r="G205" s="68"/>
      <c r="H205" s="68"/>
      <c r="I205" s="232"/>
    </row>
    <row r="206" spans="1:9" s="233" customFormat="1" x14ac:dyDescent="0.25">
      <c r="A206" s="232"/>
      <c r="B206" s="132"/>
      <c r="C206" s="67"/>
      <c r="D206" s="132"/>
      <c r="E206" s="68"/>
      <c r="F206" s="68"/>
      <c r="G206" s="68"/>
      <c r="H206" s="68"/>
      <c r="I206" s="232"/>
    </row>
    <row r="207" spans="1:9" s="233" customFormat="1" x14ac:dyDescent="0.25">
      <c r="A207" s="232"/>
      <c r="B207" s="132"/>
      <c r="C207" s="67"/>
      <c r="D207" s="132"/>
      <c r="E207" s="68"/>
      <c r="F207" s="68"/>
      <c r="G207" s="68"/>
      <c r="H207" s="68"/>
      <c r="I207" s="232"/>
    </row>
    <row r="208" spans="1:9" s="233" customFormat="1" x14ac:dyDescent="0.25">
      <c r="A208" s="232"/>
      <c r="B208" s="132"/>
      <c r="C208" s="67"/>
      <c r="D208" s="132"/>
      <c r="E208" s="68"/>
      <c r="F208" s="68"/>
      <c r="G208" s="68"/>
      <c r="H208" s="68"/>
      <c r="I208" s="232"/>
    </row>
    <row r="209" spans="1:9" s="233" customFormat="1" x14ac:dyDescent="0.25">
      <c r="A209" s="232"/>
      <c r="B209" s="132"/>
      <c r="C209" s="67"/>
      <c r="D209" s="132"/>
      <c r="E209" s="68"/>
      <c r="F209" s="68"/>
      <c r="G209" s="68"/>
      <c r="H209" s="68"/>
      <c r="I209" s="232"/>
    </row>
    <row r="210" spans="1:9" s="233" customFormat="1" x14ac:dyDescent="0.25">
      <c r="A210" s="232"/>
      <c r="B210" s="132"/>
      <c r="C210" s="67"/>
      <c r="D210" s="132"/>
      <c r="E210" s="68"/>
      <c r="F210" s="68"/>
      <c r="G210" s="68"/>
      <c r="H210" s="68"/>
      <c r="I210" s="232"/>
    </row>
    <row r="211" spans="1:9" s="233" customFormat="1" x14ac:dyDescent="0.25">
      <c r="A211" s="65"/>
      <c r="B211" s="132"/>
      <c r="C211" s="67"/>
      <c r="D211" s="132"/>
      <c r="E211" s="68"/>
      <c r="F211" s="68"/>
      <c r="G211" s="68"/>
      <c r="H211" s="68"/>
      <c r="I211" s="232"/>
    </row>
    <row r="212" spans="1:9" x14ac:dyDescent="0.25">
      <c r="A212" s="65"/>
      <c r="B212" s="132"/>
      <c r="C212" s="67"/>
      <c r="D212" s="132"/>
      <c r="E212" s="69"/>
      <c r="F212" s="68"/>
      <c r="G212" s="68"/>
      <c r="H212" s="68"/>
      <c r="I212" s="65"/>
    </row>
    <row r="213" spans="1:9" x14ac:dyDescent="0.25">
      <c r="A213" s="65"/>
      <c r="B213" s="132"/>
      <c r="C213" s="67"/>
      <c r="D213" s="132"/>
      <c r="E213" s="69"/>
      <c r="F213" s="68"/>
      <c r="G213" s="68"/>
      <c r="H213" s="68"/>
      <c r="I213" s="65"/>
    </row>
    <row r="214" spans="1:9" x14ac:dyDescent="0.25">
      <c r="A214" s="65"/>
      <c r="B214" s="132"/>
      <c r="C214" s="67"/>
      <c r="D214" s="132"/>
      <c r="E214" s="69"/>
      <c r="F214" s="68"/>
      <c r="G214" s="68"/>
      <c r="H214" s="68"/>
      <c r="I214" s="65"/>
    </row>
    <row r="215" spans="1:9" x14ac:dyDescent="0.25">
      <c r="A215" s="65"/>
      <c r="B215" s="132"/>
      <c r="C215" s="67"/>
      <c r="D215" s="132"/>
      <c r="E215" s="69"/>
      <c r="F215" s="68"/>
      <c r="G215" s="68"/>
      <c r="H215" s="68"/>
      <c r="I215" s="65"/>
    </row>
    <row r="216" spans="1:9" x14ac:dyDescent="0.25">
      <c r="A216" s="65"/>
      <c r="B216" s="132"/>
      <c r="C216" s="67"/>
      <c r="D216" s="132"/>
      <c r="E216" s="69"/>
      <c r="F216" s="68"/>
      <c r="G216" s="68"/>
      <c r="H216" s="68"/>
      <c r="I216" s="65"/>
    </row>
    <row r="217" spans="1:9" x14ac:dyDescent="0.25">
      <c r="A217" s="65"/>
      <c r="B217" s="132"/>
      <c r="C217" s="67"/>
      <c r="D217" s="132"/>
      <c r="E217" s="69"/>
      <c r="F217" s="68"/>
      <c r="G217" s="68"/>
      <c r="H217" s="68"/>
      <c r="I217" s="65"/>
    </row>
    <row r="218" spans="1:9" x14ac:dyDescent="0.25">
      <c r="A218" s="65"/>
      <c r="B218" s="132"/>
      <c r="C218" s="67"/>
      <c r="D218" s="132"/>
      <c r="E218" s="69"/>
      <c r="F218" s="68"/>
      <c r="G218" s="68"/>
      <c r="H218" s="68"/>
      <c r="I218" s="65"/>
    </row>
    <row r="219" spans="1:9" x14ac:dyDescent="0.25">
      <c r="A219" s="65"/>
      <c r="B219" s="132"/>
      <c r="C219" s="67"/>
      <c r="D219" s="132"/>
      <c r="E219" s="69"/>
      <c r="F219" s="68"/>
      <c r="G219" s="68"/>
      <c r="H219" s="68"/>
      <c r="I219" s="65"/>
    </row>
    <row r="220" spans="1:9" x14ac:dyDescent="0.25">
      <c r="A220" s="71"/>
      <c r="B220" s="76"/>
      <c r="C220" s="73"/>
      <c r="D220" s="76"/>
      <c r="E220" s="74"/>
      <c r="F220" s="75"/>
      <c r="G220" s="75"/>
      <c r="H220" s="75"/>
      <c r="I220" s="71"/>
    </row>
    <row r="221" spans="1:9" x14ac:dyDescent="0.25">
      <c r="A221" s="52"/>
      <c r="B221" s="198"/>
      <c r="C221" s="60"/>
      <c r="D221" s="56"/>
      <c r="E221" s="53"/>
      <c r="F221" s="62"/>
      <c r="G221" s="62"/>
      <c r="H221" s="62"/>
      <c r="I221" s="52"/>
    </row>
    <row r="222" spans="1:9" x14ac:dyDescent="0.25">
      <c r="A222" s="52"/>
      <c r="B222" s="198"/>
      <c r="C222" s="60"/>
      <c r="D222" s="56"/>
      <c r="E222" s="53"/>
      <c r="F222" s="62"/>
      <c r="G222" s="62"/>
      <c r="H222" s="62"/>
      <c r="I222" s="52"/>
    </row>
    <row r="223" spans="1:9" x14ac:dyDescent="0.25">
      <c r="A223" s="52"/>
      <c r="B223" s="198"/>
      <c r="C223" s="60"/>
      <c r="D223" s="56"/>
      <c r="E223" s="53"/>
      <c r="F223" s="62"/>
      <c r="G223" s="62"/>
      <c r="H223" s="62"/>
      <c r="I223" s="52"/>
    </row>
    <row r="224" spans="1:9" x14ac:dyDescent="0.25">
      <c r="A224" s="52"/>
      <c r="B224" s="198"/>
      <c r="C224" s="60"/>
      <c r="D224" s="56"/>
      <c r="E224" s="53"/>
      <c r="F224" s="62"/>
      <c r="G224" s="62"/>
      <c r="H224" s="62"/>
      <c r="I224" s="52"/>
    </row>
    <row r="225" spans="1:9" x14ac:dyDescent="0.25">
      <c r="A225" s="52"/>
      <c r="B225" s="198"/>
      <c r="C225" s="60"/>
      <c r="D225" s="56"/>
      <c r="E225" s="53"/>
      <c r="F225" s="62"/>
      <c r="G225" s="62"/>
      <c r="H225" s="62"/>
      <c r="I225" s="52"/>
    </row>
    <row r="226" spans="1:9" x14ac:dyDescent="0.25">
      <c r="A226" s="52"/>
      <c r="B226" s="198"/>
      <c r="C226" s="60"/>
      <c r="D226" s="56"/>
      <c r="E226" s="53"/>
      <c r="F226" s="62"/>
      <c r="G226" s="62"/>
      <c r="H226" s="62"/>
      <c r="I226" s="52"/>
    </row>
    <row r="227" spans="1:9" x14ac:dyDescent="0.25">
      <c r="A227" s="52"/>
      <c r="B227" s="198"/>
      <c r="C227" s="60"/>
      <c r="D227" s="56"/>
      <c r="E227" s="53"/>
      <c r="F227" s="62"/>
      <c r="G227" s="62"/>
      <c r="H227" s="62"/>
      <c r="I227" s="52"/>
    </row>
    <row r="228" spans="1:9" x14ac:dyDescent="0.25">
      <c r="A228" s="52"/>
      <c r="B228" s="198"/>
      <c r="C228" s="60"/>
      <c r="D228" s="56"/>
      <c r="E228" s="53"/>
      <c r="F228" s="62"/>
      <c r="G228" s="62"/>
      <c r="H228" s="62"/>
      <c r="I228" s="52"/>
    </row>
    <row r="229" spans="1:9" x14ac:dyDescent="0.25">
      <c r="A229" s="52"/>
      <c r="B229" s="198"/>
      <c r="C229" s="60"/>
      <c r="D229" s="56"/>
      <c r="E229" s="53"/>
      <c r="F229" s="62"/>
      <c r="G229" s="62"/>
      <c r="H229" s="62"/>
      <c r="I229" s="52"/>
    </row>
    <row r="230" spans="1:9" x14ac:dyDescent="0.25">
      <c r="A230" s="52"/>
      <c r="B230" s="198"/>
      <c r="C230" s="60"/>
      <c r="D230" s="56"/>
      <c r="E230" s="53"/>
      <c r="F230" s="62"/>
      <c r="G230" s="62"/>
      <c r="H230" s="62"/>
      <c r="I230" s="52"/>
    </row>
    <row r="231" spans="1:9" x14ac:dyDescent="0.25">
      <c r="A231" s="52"/>
      <c r="B231" s="198"/>
      <c r="C231" s="60"/>
      <c r="D231" s="56"/>
      <c r="E231" s="53"/>
      <c r="F231" s="62"/>
      <c r="G231" s="62"/>
      <c r="H231" s="62"/>
      <c r="I231" s="52"/>
    </row>
    <row r="232" spans="1:9" x14ac:dyDescent="0.25">
      <c r="A232" s="52"/>
      <c r="B232" s="198"/>
      <c r="C232" s="60"/>
      <c r="D232" s="56"/>
      <c r="E232" s="53"/>
      <c r="F232" s="62"/>
      <c r="G232" s="62"/>
      <c r="H232" s="62"/>
      <c r="I232" s="52"/>
    </row>
    <row r="233" spans="1:9" x14ac:dyDescent="0.25">
      <c r="A233" s="52"/>
      <c r="B233" s="198"/>
      <c r="C233" s="60"/>
      <c r="D233" s="56"/>
      <c r="E233" s="53"/>
      <c r="F233" s="62"/>
      <c r="G233" s="62"/>
      <c r="H233" s="62"/>
      <c r="I233" s="52"/>
    </row>
    <row r="234" spans="1:9" x14ac:dyDescent="0.25">
      <c r="A234" s="52"/>
      <c r="B234" s="198"/>
      <c r="C234" s="60"/>
      <c r="D234" s="56"/>
      <c r="E234" s="53"/>
      <c r="F234" s="62"/>
      <c r="G234" s="62"/>
      <c r="H234" s="62"/>
      <c r="I234" s="52"/>
    </row>
    <row r="235" spans="1:9" x14ac:dyDescent="0.25">
      <c r="A235" s="52"/>
      <c r="B235" s="198"/>
      <c r="C235" s="60"/>
      <c r="D235" s="56"/>
      <c r="E235" s="53"/>
      <c r="F235" s="62"/>
      <c r="G235" s="62"/>
      <c r="H235" s="62"/>
      <c r="I235" s="52"/>
    </row>
    <row r="236" spans="1:9" x14ac:dyDescent="0.25">
      <c r="A236" s="52"/>
      <c r="B236" s="198"/>
      <c r="C236" s="60"/>
      <c r="D236" s="56"/>
      <c r="E236" s="53"/>
      <c r="F236" s="62"/>
      <c r="G236" s="62"/>
      <c r="H236" s="62"/>
      <c r="I236" s="52"/>
    </row>
    <row r="237" spans="1:9" x14ac:dyDescent="0.25">
      <c r="A237" s="52"/>
      <c r="B237" s="198"/>
      <c r="C237" s="60"/>
      <c r="D237" s="56"/>
      <c r="E237" s="53"/>
      <c r="F237" s="62"/>
      <c r="G237" s="62"/>
      <c r="H237" s="62"/>
      <c r="I237" s="52"/>
    </row>
    <row r="238" spans="1:9" x14ac:dyDescent="0.25">
      <c r="A238" s="52"/>
      <c r="B238" s="198"/>
      <c r="C238" s="60"/>
      <c r="D238" s="56"/>
      <c r="E238" s="53"/>
      <c r="F238" s="62"/>
      <c r="G238" s="62"/>
      <c r="H238" s="62"/>
      <c r="I238" s="52"/>
    </row>
    <row r="239" spans="1:9" x14ac:dyDescent="0.25">
      <c r="A239" s="52"/>
      <c r="B239" s="198"/>
      <c r="C239" s="60"/>
      <c r="D239" s="56"/>
      <c r="E239" s="53"/>
      <c r="F239" s="62"/>
      <c r="G239" s="62"/>
      <c r="H239" s="62"/>
      <c r="I239" s="52"/>
    </row>
    <row r="240" spans="1:9" x14ac:dyDescent="0.25">
      <c r="A240" s="52"/>
      <c r="B240" s="198"/>
      <c r="C240" s="60"/>
      <c r="D240" s="56"/>
      <c r="E240" s="53"/>
      <c r="F240" s="62"/>
      <c r="G240" s="62"/>
      <c r="H240" s="62"/>
      <c r="I240" s="52"/>
    </row>
    <row r="241" spans="1:9" x14ac:dyDescent="0.25">
      <c r="A241" s="52"/>
      <c r="B241" s="198"/>
      <c r="C241" s="60"/>
      <c r="D241" s="56"/>
      <c r="E241" s="53"/>
      <c r="F241" s="62"/>
      <c r="G241" s="62"/>
      <c r="H241" s="62"/>
      <c r="I241" s="52"/>
    </row>
    <row r="242" spans="1:9" x14ac:dyDescent="0.25">
      <c r="A242" s="52"/>
      <c r="B242" s="198"/>
      <c r="C242" s="60"/>
      <c r="D242" s="56"/>
      <c r="E242" s="53"/>
      <c r="F242" s="62"/>
      <c r="G242" s="62"/>
      <c r="H242" s="62"/>
      <c r="I242" s="52"/>
    </row>
    <row r="243" spans="1:9" x14ac:dyDescent="0.25">
      <c r="A243" s="52"/>
      <c r="B243" s="198"/>
      <c r="C243" s="60"/>
      <c r="D243" s="56"/>
      <c r="E243" s="53"/>
      <c r="F243" s="62"/>
      <c r="G243" s="62"/>
      <c r="H243" s="62"/>
      <c r="I243" s="52"/>
    </row>
    <row r="244" spans="1:9" x14ac:dyDescent="0.25">
      <c r="A244" s="52"/>
      <c r="B244" s="198"/>
      <c r="C244" s="60"/>
      <c r="D244" s="56"/>
      <c r="E244" s="53"/>
      <c r="F244" s="62"/>
      <c r="G244" s="62"/>
      <c r="H244" s="62"/>
      <c r="I244" s="52"/>
    </row>
    <row r="245" spans="1:9" x14ac:dyDescent="0.25">
      <c r="A245" s="52"/>
      <c r="B245" s="198"/>
      <c r="C245" s="60"/>
      <c r="D245" s="56"/>
      <c r="E245" s="53"/>
      <c r="F245" s="62"/>
      <c r="G245" s="62"/>
      <c r="H245" s="62"/>
      <c r="I245" s="52"/>
    </row>
    <row r="246" spans="1:9" x14ac:dyDescent="0.25">
      <c r="A246" s="52"/>
      <c r="B246" s="198"/>
      <c r="C246" s="60"/>
      <c r="D246" s="56"/>
      <c r="E246" s="53"/>
      <c r="F246" s="62"/>
      <c r="G246" s="62"/>
      <c r="H246" s="62"/>
      <c r="I246" s="52"/>
    </row>
    <row r="247" spans="1:9" x14ac:dyDescent="0.25">
      <c r="A247" s="52"/>
      <c r="B247" s="198"/>
      <c r="C247" s="60"/>
      <c r="D247" s="56"/>
      <c r="E247" s="53"/>
      <c r="F247" s="62"/>
      <c r="G247" s="62"/>
      <c r="H247" s="62"/>
      <c r="I247" s="52"/>
    </row>
    <row r="248" spans="1:9" x14ac:dyDescent="0.25">
      <c r="A248" s="52"/>
      <c r="B248" s="198"/>
      <c r="C248" s="60"/>
      <c r="D248" s="56"/>
      <c r="E248" s="53"/>
      <c r="F248" s="62"/>
      <c r="G248" s="62"/>
      <c r="H248" s="62"/>
      <c r="I248" s="52"/>
    </row>
    <row r="249" spans="1:9" x14ac:dyDescent="0.25">
      <c r="A249" s="52"/>
      <c r="B249" s="198"/>
      <c r="C249" s="60"/>
      <c r="D249" s="56"/>
      <c r="E249" s="53"/>
      <c r="F249" s="62"/>
      <c r="G249" s="62"/>
      <c r="H249" s="62"/>
      <c r="I249" s="52"/>
    </row>
    <row r="250" spans="1:9" x14ac:dyDescent="0.25">
      <c r="A250" s="52"/>
      <c r="B250" s="198"/>
      <c r="C250" s="60"/>
      <c r="D250" s="56"/>
      <c r="E250" s="53"/>
      <c r="F250" s="62"/>
      <c r="G250" s="62"/>
      <c r="H250" s="62"/>
      <c r="I250" s="52"/>
    </row>
    <row r="251" spans="1:9" x14ac:dyDescent="0.25">
      <c r="A251" s="52"/>
      <c r="B251" s="198"/>
      <c r="C251" s="60"/>
      <c r="D251" s="56"/>
      <c r="E251" s="53"/>
      <c r="F251" s="62"/>
      <c r="G251" s="62"/>
      <c r="H251" s="62"/>
      <c r="I251" s="52"/>
    </row>
    <row r="252" spans="1:9" x14ac:dyDescent="0.25">
      <c r="A252" s="52"/>
      <c r="B252" s="198"/>
      <c r="C252" s="60"/>
      <c r="D252" s="56"/>
      <c r="E252" s="53"/>
      <c r="F252" s="62"/>
      <c r="G252" s="62"/>
      <c r="H252" s="62"/>
      <c r="I252" s="52"/>
    </row>
    <row r="253" spans="1:9" x14ac:dyDescent="0.25">
      <c r="A253" s="52"/>
      <c r="B253" s="198"/>
      <c r="C253" s="60"/>
      <c r="D253" s="56"/>
      <c r="E253" s="53"/>
      <c r="F253" s="62"/>
      <c r="G253" s="62"/>
      <c r="H253" s="62"/>
      <c r="I253" s="52"/>
    </row>
    <row r="254" spans="1:9" x14ac:dyDescent="0.25">
      <c r="A254" s="52"/>
      <c r="B254" s="198"/>
      <c r="C254" s="60"/>
      <c r="D254" s="56"/>
      <c r="E254" s="53"/>
      <c r="F254" s="62"/>
      <c r="G254" s="62"/>
      <c r="H254" s="62"/>
      <c r="I254" s="52"/>
    </row>
    <row r="255" spans="1:9" x14ac:dyDescent="0.25">
      <c r="A255" s="52"/>
      <c r="B255" s="198"/>
      <c r="C255" s="60"/>
      <c r="D255" s="56"/>
      <c r="E255" s="53"/>
      <c r="F255" s="62"/>
      <c r="G255" s="62"/>
      <c r="H255" s="62"/>
      <c r="I255" s="52"/>
    </row>
    <row r="256" spans="1:9" x14ac:dyDescent="0.25">
      <c r="A256" s="52"/>
      <c r="B256" s="198"/>
      <c r="C256" s="60"/>
      <c r="D256" s="56"/>
      <c r="E256" s="53"/>
      <c r="F256" s="62"/>
      <c r="G256" s="62"/>
      <c r="H256" s="62"/>
      <c r="I256" s="52"/>
    </row>
    <row r="257" spans="1:9" x14ac:dyDescent="0.25">
      <c r="A257" s="52"/>
      <c r="B257" s="198"/>
      <c r="C257" s="60"/>
      <c r="D257" s="56"/>
      <c r="E257" s="53"/>
      <c r="F257" s="62"/>
      <c r="G257" s="62"/>
      <c r="H257" s="62"/>
      <c r="I257" s="52"/>
    </row>
    <row r="258" spans="1:9" x14ac:dyDescent="0.25">
      <c r="A258" s="52"/>
      <c r="B258" s="198"/>
      <c r="C258" s="60"/>
      <c r="D258" s="56"/>
      <c r="E258" s="53"/>
      <c r="F258" s="62"/>
      <c r="G258" s="62"/>
      <c r="H258" s="62"/>
      <c r="I258" s="52"/>
    </row>
    <row r="259" spans="1:9" x14ac:dyDescent="0.25">
      <c r="A259" s="52"/>
      <c r="B259" s="198"/>
      <c r="C259" s="60"/>
      <c r="D259" s="56"/>
      <c r="E259" s="53"/>
      <c r="F259" s="62"/>
      <c r="G259" s="62"/>
      <c r="H259" s="62"/>
      <c r="I259" s="52"/>
    </row>
    <row r="260" spans="1:9" x14ac:dyDescent="0.25">
      <c r="A260" s="52"/>
      <c r="B260" s="198"/>
      <c r="C260" s="60"/>
      <c r="D260" s="56"/>
      <c r="E260" s="53"/>
      <c r="F260" s="62"/>
      <c r="G260" s="62"/>
      <c r="H260" s="62"/>
      <c r="I260" s="52"/>
    </row>
    <row r="261" spans="1:9" x14ac:dyDescent="0.25">
      <c r="A261" s="52"/>
      <c r="B261" s="198"/>
      <c r="C261" s="60"/>
      <c r="D261" s="56"/>
      <c r="E261" s="53"/>
      <c r="F261" s="62"/>
      <c r="G261" s="62"/>
      <c r="H261" s="62"/>
      <c r="I261" s="52"/>
    </row>
    <row r="262" spans="1:9" x14ac:dyDescent="0.25">
      <c r="A262" s="52"/>
      <c r="B262" s="198"/>
      <c r="C262" s="60"/>
      <c r="D262" s="56"/>
      <c r="E262" s="53"/>
      <c r="F262" s="62"/>
      <c r="G262" s="62"/>
      <c r="H262" s="62"/>
      <c r="I262" s="52"/>
    </row>
    <row r="263" spans="1:9" x14ac:dyDescent="0.25">
      <c r="A263" s="52"/>
      <c r="B263" s="198"/>
      <c r="C263" s="60"/>
      <c r="D263" s="56"/>
      <c r="E263" s="53"/>
      <c r="F263" s="62"/>
      <c r="G263" s="62"/>
      <c r="H263" s="62"/>
      <c r="I263" s="52"/>
    </row>
    <row r="264" spans="1:9" x14ac:dyDescent="0.25">
      <c r="A264" s="52"/>
      <c r="B264" s="198"/>
      <c r="C264" s="60"/>
      <c r="D264" s="56"/>
      <c r="E264" s="53"/>
      <c r="F264" s="62"/>
      <c r="G264" s="62"/>
      <c r="H264" s="62"/>
      <c r="I264" s="52"/>
    </row>
    <row r="265" spans="1:9" x14ac:dyDescent="0.25">
      <c r="A265" s="52"/>
      <c r="B265" s="198"/>
      <c r="C265" s="60"/>
      <c r="D265" s="56"/>
      <c r="E265" s="53"/>
      <c r="F265" s="62"/>
      <c r="G265" s="62"/>
      <c r="H265" s="62"/>
      <c r="I265" s="52"/>
    </row>
    <row r="266" spans="1:9" x14ac:dyDescent="0.25">
      <c r="A266" s="52"/>
      <c r="B266" s="198"/>
      <c r="C266" s="60"/>
      <c r="D266" s="56"/>
      <c r="E266" s="53"/>
      <c r="F266" s="62"/>
      <c r="G266" s="62"/>
      <c r="H266" s="62"/>
      <c r="I266" s="52"/>
    </row>
    <row r="267" spans="1:9" x14ac:dyDescent="0.25">
      <c r="A267" s="52"/>
      <c r="B267" s="198"/>
      <c r="C267" s="60"/>
      <c r="D267" s="56"/>
      <c r="E267" s="53"/>
      <c r="F267" s="62"/>
      <c r="G267" s="62"/>
      <c r="H267" s="62"/>
      <c r="I267" s="52"/>
    </row>
    <row r="268" spans="1:9" x14ac:dyDescent="0.25">
      <c r="A268" s="52"/>
      <c r="B268" s="198"/>
      <c r="C268" s="60"/>
      <c r="D268" s="56"/>
      <c r="E268" s="53"/>
      <c r="F268" s="62"/>
      <c r="G268" s="62"/>
      <c r="H268" s="62"/>
      <c r="I268" s="52"/>
    </row>
    <row r="269" spans="1:9" x14ac:dyDescent="0.25">
      <c r="A269" s="52"/>
      <c r="B269" s="198"/>
      <c r="C269" s="60"/>
      <c r="D269" s="56"/>
      <c r="E269" s="53"/>
      <c r="F269" s="62"/>
      <c r="G269" s="62"/>
      <c r="H269" s="62"/>
      <c r="I269" s="52"/>
    </row>
    <row r="270" spans="1:9" x14ac:dyDescent="0.25">
      <c r="A270" s="52"/>
      <c r="B270" s="198"/>
      <c r="C270" s="60"/>
      <c r="D270" s="56"/>
      <c r="E270" s="53"/>
      <c r="F270" s="62"/>
      <c r="G270" s="62"/>
      <c r="H270" s="62"/>
      <c r="I270" s="52"/>
    </row>
    <row r="271" spans="1:9" x14ac:dyDescent="0.25">
      <c r="A271" s="52"/>
      <c r="B271" s="198"/>
      <c r="C271" s="60"/>
      <c r="D271" s="56"/>
      <c r="E271" s="53"/>
      <c r="F271" s="62"/>
      <c r="G271" s="62"/>
      <c r="H271" s="62"/>
      <c r="I271" s="52"/>
    </row>
    <row r="272" spans="1:9" x14ac:dyDescent="0.25">
      <c r="A272" s="52"/>
      <c r="B272" s="198"/>
      <c r="C272" s="60"/>
      <c r="D272" s="56"/>
      <c r="E272" s="53"/>
      <c r="F272" s="62"/>
      <c r="G272" s="62"/>
      <c r="H272" s="62"/>
      <c r="I272" s="52"/>
    </row>
    <row r="273" spans="1:9" x14ac:dyDescent="0.25">
      <c r="A273" s="52"/>
      <c r="B273" s="198"/>
      <c r="C273" s="60"/>
      <c r="D273" s="56"/>
      <c r="E273" s="53"/>
      <c r="F273" s="62"/>
      <c r="G273" s="62"/>
      <c r="H273" s="62"/>
      <c r="I273" s="52"/>
    </row>
    <row r="274" spans="1:9" x14ac:dyDescent="0.25">
      <c r="A274" s="52"/>
      <c r="B274" s="198"/>
      <c r="C274" s="60"/>
      <c r="D274" s="56"/>
      <c r="E274" s="53"/>
      <c r="F274" s="62"/>
      <c r="G274" s="62"/>
      <c r="H274" s="62"/>
      <c r="I274" s="52"/>
    </row>
    <row r="275" spans="1:9" x14ac:dyDescent="0.25">
      <c r="A275" s="52"/>
      <c r="B275" s="198"/>
      <c r="C275" s="60"/>
      <c r="D275" s="56"/>
      <c r="E275" s="53"/>
      <c r="F275" s="62"/>
      <c r="G275" s="62"/>
      <c r="H275" s="62"/>
      <c r="I275" s="52"/>
    </row>
    <row r="276" spans="1:9" x14ac:dyDescent="0.25">
      <c r="A276" s="52"/>
      <c r="B276" s="198"/>
      <c r="C276" s="60"/>
      <c r="D276" s="56"/>
      <c r="E276" s="53"/>
      <c r="F276" s="62"/>
      <c r="G276" s="62"/>
      <c r="H276" s="62"/>
      <c r="I276" s="52"/>
    </row>
    <row r="277" spans="1:9" x14ac:dyDescent="0.25">
      <c r="A277" s="52"/>
      <c r="B277" s="198"/>
      <c r="C277" s="60"/>
      <c r="D277" s="56"/>
      <c r="E277" s="53"/>
      <c r="F277" s="62"/>
      <c r="G277" s="62"/>
      <c r="H277" s="62"/>
      <c r="I277" s="52"/>
    </row>
    <row r="278" spans="1:9" x14ac:dyDescent="0.25">
      <c r="A278" s="52"/>
      <c r="B278" s="198"/>
      <c r="C278" s="60"/>
      <c r="D278" s="56"/>
      <c r="E278" s="53"/>
      <c r="F278" s="62"/>
      <c r="G278" s="62"/>
      <c r="H278" s="62"/>
      <c r="I278" s="52"/>
    </row>
    <row r="279" spans="1:9" x14ac:dyDescent="0.25">
      <c r="A279" s="52"/>
      <c r="B279" s="198"/>
      <c r="C279" s="60"/>
      <c r="D279" s="56"/>
      <c r="E279" s="53"/>
      <c r="F279" s="62"/>
      <c r="G279" s="62"/>
      <c r="H279" s="62"/>
      <c r="I279" s="52"/>
    </row>
    <row r="280" spans="1:9" x14ac:dyDescent="0.25">
      <c r="A280" s="52"/>
      <c r="B280" s="198"/>
      <c r="C280" s="60"/>
      <c r="D280" s="56"/>
      <c r="E280" s="53"/>
      <c r="F280" s="62"/>
      <c r="G280" s="62"/>
      <c r="H280" s="62"/>
      <c r="I280" s="52"/>
    </row>
    <row r="281" spans="1:9" x14ac:dyDescent="0.25">
      <c r="A281" s="52"/>
      <c r="B281" s="198"/>
      <c r="C281" s="60"/>
      <c r="D281" s="56"/>
      <c r="E281" s="53"/>
      <c r="F281" s="62"/>
      <c r="G281" s="62"/>
      <c r="H281" s="62"/>
      <c r="I281" s="52"/>
    </row>
    <row r="282" spans="1:9" x14ac:dyDescent="0.25">
      <c r="A282" s="52"/>
      <c r="B282" s="198"/>
      <c r="C282" s="60"/>
      <c r="D282" s="56"/>
      <c r="E282" s="53"/>
      <c r="F282" s="62"/>
      <c r="G282" s="62"/>
      <c r="H282" s="62"/>
      <c r="I282" s="52"/>
    </row>
    <row r="283" spans="1:9" x14ac:dyDescent="0.25">
      <c r="A283" s="52"/>
      <c r="B283" s="198"/>
      <c r="C283" s="60"/>
      <c r="D283" s="56"/>
      <c r="E283" s="53"/>
      <c r="F283" s="62"/>
      <c r="G283" s="62"/>
      <c r="H283" s="62"/>
      <c r="I283" s="52"/>
    </row>
    <row r="284" spans="1:9" x14ac:dyDescent="0.25">
      <c r="A284" s="52"/>
      <c r="B284" s="198"/>
      <c r="C284" s="60"/>
      <c r="D284" s="56"/>
      <c r="E284" s="53"/>
      <c r="F284" s="62"/>
      <c r="G284" s="62"/>
      <c r="H284" s="62"/>
      <c r="I284" s="52"/>
    </row>
    <row r="285" spans="1:9" x14ac:dyDescent="0.25">
      <c r="A285" s="52"/>
      <c r="B285" s="198"/>
      <c r="C285" s="60"/>
      <c r="D285" s="56"/>
      <c r="E285" s="53"/>
      <c r="F285" s="62"/>
      <c r="G285" s="62"/>
      <c r="H285" s="62"/>
      <c r="I285" s="52"/>
    </row>
    <row r="286" spans="1:9" x14ac:dyDescent="0.25">
      <c r="A286" s="52"/>
      <c r="B286" s="198"/>
      <c r="C286" s="60"/>
      <c r="D286" s="56"/>
      <c r="E286" s="53"/>
      <c r="F286" s="62"/>
      <c r="G286" s="62"/>
      <c r="H286" s="62"/>
      <c r="I286" s="52"/>
    </row>
    <row r="287" spans="1:9" x14ac:dyDescent="0.25">
      <c r="A287" s="52"/>
      <c r="B287" s="198"/>
      <c r="C287" s="60"/>
      <c r="D287" s="56"/>
      <c r="E287" s="53"/>
      <c r="F287" s="62"/>
      <c r="G287" s="62"/>
      <c r="H287" s="62"/>
      <c r="I287" s="52"/>
    </row>
    <row r="288" spans="1:9" x14ac:dyDescent="0.25">
      <c r="A288" s="52"/>
      <c r="B288" s="198"/>
      <c r="C288" s="60"/>
      <c r="D288" s="56"/>
      <c r="E288" s="53"/>
      <c r="F288" s="62"/>
      <c r="G288" s="62"/>
      <c r="H288" s="62"/>
      <c r="I288" s="52"/>
    </row>
    <row r="289" spans="1:9" x14ac:dyDescent="0.25">
      <c r="A289" s="52"/>
      <c r="B289" s="198"/>
      <c r="C289" s="60"/>
      <c r="D289" s="56"/>
      <c r="E289" s="53"/>
      <c r="F289" s="62"/>
      <c r="G289" s="62"/>
      <c r="H289" s="62"/>
      <c r="I289" s="52"/>
    </row>
    <row r="290" spans="1:9" x14ac:dyDescent="0.25">
      <c r="A290" s="52"/>
      <c r="B290" s="198"/>
      <c r="C290" s="60"/>
      <c r="D290" s="56"/>
      <c r="E290" s="53"/>
      <c r="F290" s="62"/>
      <c r="G290" s="62"/>
      <c r="H290" s="62"/>
      <c r="I290" s="52"/>
    </row>
    <row r="291" spans="1:9" x14ac:dyDescent="0.25">
      <c r="A291" s="52"/>
      <c r="B291" s="198"/>
      <c r="C291" s="60"/>
      <c r="D291" s="56"/>
      <c r="E291" s="53"/>
      <c r="F291" s="62"/>
      <c r="G291" s="62"/>
      <c r="H291" s="62"/>
      <c r="I291" s="52"/>
    </row>
    <row r="292" spans="1:9" x14ac:dyDescent="0.25">
      <c r="A292" s="52"/>
      <c r="B292" s="198"/>
      <c r="C292" s="60"/>
      <c r="D292" s="56"/>
      <c r="E292" s="53"/>
      <c r="F292" s="62"/>
      <c r="G292" s="62"/>
      <c r="H292" s="62"/>
      <c r="I292" s="52"/>
    </row>
    <row r="293" spans="1:9" x14ac:dyDescent="0.25">
      <c r="A293" s="52"/>
      <c r="B293" s="198"/>
      <c r="C293" s="60"/>
      <c r="D293" s="56"/>
      <c r="E293" s="53"/>
      <c r="F293" s="62"/>
      <c r="G293" s="62"/>
      <c r="H293" s="62"/>
      <c r="I293" s="52"/>
    </row>
    <row r="294" spans="1:9" x14ac:dyDescent="0.25">
      <c r="A294" s="52"/>
      <c r="B294" s="198"/>
      <c r="C294" s="60"/>
      <c r="D294" s="56"/>
      <c r="E294" s="53"/>
      <c r="F294" s="62"/>
      <c r="G294" s="62"/>
      <c r="H294" s="62"/>
      <c r="I294" s="52"/>
    </row>
    <row r="295" spans="1:9" x14ac:dyDescent="0.25">
      <c r="A295" s="52"/>
      <c r="B295" s="198"/>
      <c r="C295" s="60"/>
      <c r="D295" s="56"/>
      <c r="E295" s="53"/>
      <c r="F295" s="62"/>
      <c r="G295" s="62"/>
      <c r="H295" s="62"/>
      <c r="I295" s="52"/>
    </row>
    <row r="296" spans="1:9" x14ac:dyDescent="0.25">
      <c r="A296" s="52"/>
      <c r="B296" s="198"/>
      <c r="C296" s="60"/>
      <c r="D296" s="56"/>
      <c r="E296" s="53"/>
      <c r="F296" s="62"/>
      <c r="G296" s="62"/>
      <c r="H296" s="62"/>
      <c r="I296" s="52"/>
    </row>
    <row r="297" spans="1:9" x14ac:dyDescent="0.25">
      <c r="A297" s="52"/>
      <c r="B297" s="198"/>
      <c r="C297" s="60"/>
      <c r="D297" s="56"/>
      <c r="E297" s="53"/>
      <c r="F297" s="62"/>
      <c r="G297" s="62"/>
      <c r="H297" s="62"/>
      <c r="I297" s="52"/>
    </row>
    <row r="298" spans="1:9" x14ac:dyDescent="0.25">
      <c r="A298" s="52"/>
      <c r="B298" s="198"/>
      <c r="C298" s="60"/>
      <c r="D298" s="56"/>
      <c r="E298" s="53"/>
      <c r="F298" s="62"/>
      <c r="G298" s="62"/>
      <c r="H298" s="62"/>
      <c r="I298" s="52"/>
    </row>
    <row r="299" spans="1:9" x14ac:dyDescent="0.25">
      <c r="A299" s="52"/>
      <c r="B299" s="198"/>
      <c r="C299" s="60"/>
      <c r="D299" s="56"/>
      <c r="E299" s="53"/>
      <c r="F299" s="62"/>
      <c r="G299" s="62"/>
      <c r="H299" s="62"/>
      <c r="I299" s="52"/>
    </row>
    <row r="300" spans="1:9" x14ac:dyDescent="0.25">
      <c r="A300" s="52"/>
      <c r="B300" s="198"/>
      <c r="C300" s="60"/>
      <c r="D300" s="56"/>
      <c r="E300" s="53"/>
      <c r="F300" s="62"/>
      <c r="G300" s="62"/>
      <c r="H300" s="62"/>
      <c r="I300" s="52"/>
    </row>
    <row r="301" spans="1:9" x14ac:dyDescent="0.25">
      <c r="A301" s="52"/>
      <c r="B301" s="198"/>
      <c r="C301" s="60"/>
      <c r="D301" s="56"/>
      <c r="E301" s="53"/>
      <c r="F301" s="62"/>
      <c r="G301" s="62"/>
      <c r="H301" s="62"/>
      <c r="I301" s="52"/>
    </row>
    <row r="302" spans="1:9" x14ac:dyDescent="0.25">
      <c r="A302" s="52"/>
      <c r="B302" s="198"/>
      <c r="C302" s="60"/>
      <c r="D302" s="56"/>
      <c r="E302" s="53"/>
      <c r="F302" s="62"/>
      <c r="G302" s="62"/>
      <c r="H302" s="62"/>
      <c r="I302" s="52"/>
    </row>
    <row r="303" spans="1:9" x14ac:dyDescent="0.25">
      <c r="A303" s="52"/>
      <c r="B303" s="198"/>
      <c r="C303" s="60"/>
      <c r="D303" s="56"/>
      <c r="E303" s="53"/>
      <c r="F303" s="62"/>
      <c r="G303" s="62"/>
      <c r="H303" s="62"/>
      <c r="I303" s="52"/>
    </row>
    <row r="304" spans="1:9" x14ac:dyDescent="0.25">
      <c r="A304" s="52"/>
      <c r="B304" s="198"/>
      <c r="C304" s="60"/>
      <c r="D304" s="56"/>
      <c r="E304" s="53"/>
      <c r="F304" s="62"/>
      <c r="G304" s="62"/>
      <c r="H304" s="62"/>
      <c r="I304" s="52"/>
    </row>
    <row r="305" spans="1:9" x14ac:dyDescent="0.25">
      <c r="A305" s="52"/>
      <c r="B305" s="198"/>
      <c r="C305" s="60"/>
      <c r="D305" s="56"/>
      <c r="E305" s="53"/>
      <c r="F305" s="62"/>
      <c r="G305" s="62"/>
      <c r="H305" s="62"/>
      <c r="I305" s="52"/>
    </row>
    <row r="306" spans="1:9" x14ac:dyDescent="0.25">
      <c r="A306" s="52"/>
      <c r="B306" s="198"/>
      <c r="C306" s="60"/>
      <c r="D306" s="56"/>
      <c r="E306" s="53"/>
      <c r="F306" s="62"/>
      <c r="G306" s="62"/>
      <c r="H306" s="62"/>
      <c r="I306" s="52"/>
    </row>
    <row r="307" spans="1:9" x14ac:dyDescent="0.25">
      <c r="A307" s="52"/>
      <c r="B307" s="198"/>
      <c r="C307" s="60"/>
      <c r="D307" s="56"/>
      <c r="E307" s="53"/>
      <c r="F307" s="62"/>
      <c r="G307" s="62"/>
      <c r="H307" s="62"/>
      <c r="I307" s="52"/>
    </row>
    <row r="308" spans="1:9" x14ac:dyDescent="0.25">
      <c r="A308" s="52"/>
      <c r="B308" s="198"/>
      <c r="C308" s="60"/>
      <c r="D308" s="56"/>
      <c r="E308" s="53"/>
      <c r="F308" s="62"/>
      <c r="G308" s="62"/>
      <c r="H308" s="62"/>
      <c r="I308" s="52"/>
    </row>
    <row r="309" spans="1:9" x14ac:dyDescent="0.25">
      <c r="A309" s="52"/>
      <c r="B309" s="198"/>
      <c r="C309" s="60"/>
      <c r="D309" s="56"/>
      <c r="E309" s="53"/>
      <c r="F309" s="62"/>
      <c r="G309" s="62"/>
      <c r="H309" s="62"/>
      <c r="I309" s="52"/>
    </row>
    <row r="310" spans="1:9" x14ac:dyDescent="0.25">
      <c r="A310" s="52"/>
      <c r="B310" s="198"/>
      <c r="C310" s="60"/>
      <c r="D310" s="56"/>
      <c r="E310" s="53"/>
      <c r="F310" s="62"/>
      <c r="G310" s="62"/>
      <c r="H310" s="62"/>
      <c r="I310" s="52"/>
    </row>
    <row r="311" spans="1:9" x14ac:dyDescent="0.25">
      <c r="A311" s="52"/>
      <c r="B311" s="198"/>
      <c r="C311" s="60"/>
      <c r="D311" s="56"/>
      <c r="E311" s="53"/>
      <c r="F311" s="62"/>
      <c r="G311" s="62"/>
      <c r="H311" s="62"/>
      <c r="I311" s="52"/>
    </row>
    <row r="312" spans="1:9" x14ac:dyDescent="0.25">
      <c r="A312" s="52"/>
      <c r="B312" s="198"/>
      <c r="C312" s="60"/>
      <c r="D312" s="56"/>
      <c r="E312" s="53"/>
      <c r="F312" s="62"/>
      <c r="G312" s="62"/>
      <c r="H312" s="62"/>
      <c r="I312" s="52"/>
    </row>
    <row r="313" spans="1:9" x14ac:dyDescent="0.25">
      <c r="A313" s="52"/>
      <c r="B313" s="198"/>
      <c r="C313" s="60"/>
      <c r="D313" s="56"/>
      <c r="E313" s="53"/>
      <c r="F313" s="62"/>
      <c r="G313" s="62"/>
      <c r="H313" s="62"/>
      <c r="I313" s="52"/>
    </row>
    <row r="314" spans="1:9" x14ac:dyDescent="0.25">
      <c r="A314" s="52"/>
      <c r="B314" s="198"/>
      <c r="C314" s="60"/>
      <c r="D314" s="56"/>
      <c r="E314" s="53"/>
      <c r="F314" s="62"/>
      <c r="G314" s="62"/>
      <c r="H314" s="62"/>
      <c r="I314" s="52"/>
    </row>
    <row r="315" spans="1:9" x14ac:dyDescent="0.25">
      <c r="A315" s="52"/>
      <c r="B315" s="198"/>
      <c r="C315" s="60"/>
      <c r="D315" s="56"/>
      <c r="E315" s="53"/>
      <c r="F315" s="62"/>
      <c r="G315" s="62"/>
      <c r="H315" s="62"/>
      <c r="I315" s="52"/>
    </row>
    <row r="316" spans="1:9" x14ac:dyDescent="0.25">
      <c r="A316" s="52"/>
      <c r="B316" s="198"/>
      <c r="C316" s="60"/>
      <c r="D316" s="56"/>
      <c r="E316" s="53"/>
      <c r="F316" s="62"/>
      <c r="G316" s="62"/>
      <c r="H316" s="62"/>
      <c r="I316" s="52"/>
    </row>
    <row r="317" spans="1:9" x14ac:dyDescent="0.25">
      <c r="A317" s="52"/>
      <c r="B317" s="198"/>
      <c r="C317" s="60"/>
      <c r="D317" s="56"/>
      <c r="E317" s="53"/>
      <c r="F317" s="62"/>
      <c r="G317" s="62"/>
      <c r="H317" s="62"/>
      <c r="I317" s="52"/>
    </row>
    <row r="318" spans="1:9" x14ac:dyDescent="0.25">
      <c r="A318" s="52"/>
      <c r="B318" s="198"/>
      <c r="C318" s="60"/>
      <c r="D318" s="56"/>
      <c r="E318" s="53"/>
      <c r="F318" s="62"/>
      <c r="G318" s="62"/>
      <c r="H318" s="62"/>
      <c r="I318" s="52"/>
    </row>
    <row r="319" spans="1:9" x14ac:dyDescent="0.25">
      <c r="A319" s="52"/>
      <c r="B319" s="198"/>
      <c r="C319" s="60"/>
      <c r="D319" s="56"/>
      <c r="E319" s="53"/>
      <c r="F319" s="62"/>
      <c r="G319" s="62"/>
      <c r="H319" s="62"/>
      <c r="I319" s="52"/>
    </row>
    <row r="320" spans="1:9" x14ac:dyDescent="0.25">
      <c r="A320" s="52"/>
      <c r="B320" s="198"/>
      <c r="C320" s="60"/>
      <c r="D320" s="56"/>
      <c r="E320" s="53"/>
      <c r="F320" s="62"/>
      <c r="G320" s="62"/>
      <c r="H320" s="62"/>
      <c r="I320" s="52"/>
    </row>
    <row r="321" spans="1:9" x14ac:dyDescent="0.25">
      <c r="A321" s="52"/>
      <c r="B321" s="198"/>
      <c r="C321" s="60"/>
      <c r="D321" s="56"/>
      <c r="E321" s="53"/>
      <c r="F321" s="62"/>
      <c r="G321" s="62"/>
      <c r="H321" s="62"/>
      <c r="I321" s="52"/>
    </row>
    <row r="322" spans="1:9" x14ac:dyDescent="0.25">
      <c r="A322" s="52"/>
      <c r="B322" s="198"/>
      <c r="C322" s="60"/>
      <c r="D322" s="56"/>
      <c r="E322" s="53"/>
      <c r="F322" s="62"/>
      <c r="G322" s="62"/>
      <c r="H322" s="62"/>
      <c r="I322" s="52"/>
    </row>
    <row r="323" spans="1:9" x14ac:dyDescent="0.25">
      <c r="A323" s="52"/>
      <c r="B323" s="198"/>
      <c r="C323" s="60"/>
      <c r="D323" s="56"/>
      <c r="E323" s="53"/>
      <c r="F323" s="62"/>
      <c r="G323" s="62"/>
      <c r="H323" s="62"/>
      <c r="I323" s="52"/>
    </row>
    <row r="324" spans="1:9" x14ac:dyDescent="0.25">
      <c r="A324" s="52"/>
      <c r="B324" s="198"/>
      <c r="C324" s="60"/>
      <c r="D324" s="56"/>
      <c r="E324" s="53"/>
      <c r="F324" s="62"/>
      <c r="G324" s="62"/>
      <c r="H324" s="62"/>
      <c r="I324" s="52"/>
    </row>
    <row r="325" spans="1:9" x14ac:dyDescent="0.25">
      <c r="A325" s="52"/>
      <c r="B325" s="198"/>
      <c r="C325" s="60"/>
      <c r="D325" s="56"/>
      <c r="E325" s="53"/>
      <c r="F325" s="62"/>
      <c r="G325" s="62"/>
      <c r="H325" s="62"/>
      <c r="I325" s="52"/>
    </row>
    <row r="326" spans="1:9" x14ac:dyDescent="0.25">
      <c r="A326" s="52"/>
      <c r="B326" s="198"/>
      <c r="C326" s="60"/>
      <c r="D326" s="56"/>
      <c r="E326" s="53"/>
      <c r="F326" s="62"/>
      <c r="G326" s="62"/>
      <c r="H326" s="62"/>
      <c r="I326" s="52"/>
    </row>
    <row r="327" spans="1:9" x14ac:dyDescent="0.25">
      <c r="A327" s="52"/>
      <c r="B327" s="198"/>
      <c r="C327" s="60"/>
      <c r="D327" s="56"/>
      <c r="E327" s="53"/>
      <c r="F327" s="62"/>
      <c r="G327" s="62"/>
      <c r="H327" s="62"/>
      <c r="I327" s="52"/>
    </row>
    <row r="328" spans="1:9" x14ac:dyDescent="0.25">
      <c r="A328" s="52"/>
      <c r="B328" s="198"/>
      <c r="C328" s="60"/>
      <c r="D328" s="56"/>
      <c r="E328" s="53"/>
      <c r="F328" s="62"/>
      <c r="G328" s="62"/>
      <c r="H328" s="62"/>
      <c r="I328" s="52"/>
    </row>
    <row r="329" spans="1:9" x14ac:dyDescent="0.25">
      <c r="A329" s="52"/>
      <c r="B329" s="198"/>
      <c r="C329" s="60"/>
      <c r="D329" s="56"/>
      <c r="E329" s="53"/>
      <c r="F329" s="62"/>
      <c r="G329" s="62"/>
      <c r="H329" s="62"/>
      <c r="I329" s="52"/>
    </row>
    <row r="330" spans="1:9" x14ac:dyDescent="0.25">
      <c r="A330" s="52"/>
      <c r="B330" s="198"/>
      <c r="C330" s="60"/>
      <c r="D330" s="56"/>
      <c r="E330" s="53"/>
      <c r="F330" s="62"/>
      <c r="G330" s="62"/>
      <c r="H330" s="62"/>
      <c r="I330" s="52"/>
    </row>
    <row r="331" spans="1:9" x14ac:dyDescent="0.25">
      <c r="A331" s="52"/>
      <c r="B331" s="198"/>
      <c r="C331" s="60"/>
      <c r="D331" s="56"/>
      <c r="E331" s="53"/>
      <c r="F331" s="62"/>
      <c r="G331" s="62"/>
      <c r="H331" s="62"/>
      <c r="I331" s="52"/>
    </row>
    <row r="332" spans="1:9" x14ac:dyDescent="0.25">
      <c r="A332" s="52"/>
      <c r="B332" s="198"/>
      <c r="C332" s="60"/>
      <c r="D332" s="56"/>
      <c r="E332" s="53"/>
      <c r="F332" s="62"/>
      <c r="G332" s="62"/>
      <c r="H332" s="62"/>
      <c r="I332" s="52"/>
    </row>
    <row r="333" spans="1:9" x14ac:dyDescent="0.25">
      <c r="A333" s="52"/>
      <c r="B333" s="198"/>
      <c r="C333" s="60"/>
      <c r="D333" s="56"/>
      <c r="E333" s="53"/>
      <c r="F333" s="62"/>
      <c r="G333" s="62"/>
      <c r="H333" s="62"/>
      <c r="I333" s="52"/>
    </row>
    <row r="334" spans="1:9" x14ac:dyDescent="0.25">
      <c r="A334" s="52"/>
      <c r="B334" s="198"/>
      <c r="C334" s="60"/>
      <c r="D334" s="56"/>
      <c r="E334" s="53"/>
      <c r="F334" s="62"/>
      <c r="G334" s="62"/>
      <c r="H334" s="62"/>
      <c r="I334" s="52"/>
    </row>
    <row r="335" spans="1:9" x14ac:dyDescent="0.25">
      <c r="A335" s="52"/>
      <c r="B335" s="198"/>
      <c r="C335" s="60"/>
      <c r="D335" s="56"/>
      <c r="E335" s="53"/>
      <c r="F335" s="62"/>
      <c r="G335" s="62"/>
      <c r="H335" s="62"/>
      <c r="I335" s="52"/>
    </row>
    <row r="336" spans="1:9" x14ac:dyDescent="0.25">
      <c r="A336" s="52"/>
      <c r="B336" s="198"/>
      <c r="C336" s="60"/>
      <c r="D336" s="56"/>
      <c r="E336" s="53"/>
      <c r="F336" s="62"/>
      <c r="G336" s="62"/>
      <c r="H336" s="62"/>
      <c r="I336" s="52"/>
    </row>
    <row r="337" spans="1:9" x14ac:dyDescent="0.25">
      <c r="A337" s="52"/>
      <c r="B337" s="198"/>
      <c r="C337" s="60"/>
      <c r="D337" s="56"/>
      <c r="E337" s="53"/>
      <c r="F337" s="62"/>
      <c r="G337" s="62"/>
      <c r="H337" s="62"/>
      <c r="I337" s="52"/>
    </row>
    <row r="338" spans="1:9" x14ac:dyDescent="0.25">
      <c r="A338" s="52"/>
      <c r="B338" s="198"/>
      <c r="C338" s="60"/>
      <c r="D338" s="56"/>
      <c r="E338" s="53"/>
      <c r="F338" s="62"/>
      <c r="G338" s="62"/>
      <c r="H338" s="62"/>
      <c r="I338" s="52"/>
    </row>
    <row r="339" spans="1:9" x14ac:dyDescent="0.25">
      <c r="A339" s="52"/>
      <c r="B339" s="198"/>
      <c r="C339" s="60"/>
      <c r="D339" s="56"/>
      <c r="E339" s="53"/>
      <c r="F339" s="62"/>
      <c r="G339" s="62"/>
      <c r="H339" s="62"/>
      <c r="I339" s="52"/>
    </row>
    <row r="340" spans="1:9" x14ac:dyDescent="0.25">
      <c r="A340" s="52"/>
      <c r="B340" s="198"/>
      <c r="C340" s="60"/>
      <c r="D340" s="56"/>
      <c r="E340" s="53"/>
      <c r="F340" s="62"/>
      <c r="G340" s="62"/>
      <c r="H340" s="62"/>
      <c r="I340" s="52"/>
    </row>
    <row r="341" spans="1:9" x14ac:dyDescent="0.25">
      <c r="A341" s="52"/>
      <c r="B341" s="198"/>
      <c r="C341" s="60"/>
      <c r="D341" s="56"/>
      <c r="E341" s="53"/>
      <c r="F341" s="62"/>
      <c r="G341" s="62"/>
      <c r="H341" s="62"/>
      <c r="I341" s="52"/>
    </row>
    <row r="342" spans="1:9" x14ac:dyDescent="0.25">
      <c r="A342" s="52"/>
      <c r="B342" s="198"/>
      <c r="C342" s="60"/>
      <c r="D342" s="56"/>
      <c r="E342" s="53"/>
      <c r="F342" s="62"/>
      <c r="G342" s="62"/>
      <c r="H342" s="62"/>
      <c r="I342" s="52"/>
    </row>
    <row r="343" spans="1:9" x14ac:dyDescent="0.25">
      <c r="A343" s="52"/>
      <c r="B343" s="198"/>
      <c r="C343" s="60"/>
      <c r="D343" s="56"/>
      <c r="E343" s="53"/>
      <c r="F343" s="62"/>
      <c r="G343" s="62"/>
      <c r="H343" s="62"/>
      <c r="I343" s="52"/>
    </row>
    <row r="344" spans="1:9" x14ac:dyDescent="0.25">
      <c r="A344" s="52"/>
      <c r="B344" s="198"/>
      <c r="C344" s="60"/>
      <c r="D344" s="56"/>
      <c r="E344" s="53"/>
      <c r="F344" s="62"/>
      <c r="G344" s="62"/>
      <c r="H344" s="62"/>
      <c r="I344" s="52"/>
    </row>
    <row r="345" spans="1:9" x14ac:dyDescent="0.25">
      <c r="A345" s="52"/>
      <c r="B345" s="198"/>
      <c r="C345" s="60"/>
      <c r="D345" s="56"/>
      <c r="E345" s="53"/>
      <c r="F345" s="62"/>
      <c r="G345" s="62"/>
      <c r="H345" s="62"/>
      <c r="I345" s="52"/>
    </row>
    <row r="346" spans="1:9" x14ac:dyDescent="0.25">
      <c r="A346" s="52"/>
      <c r="B346" s="198"/>
      <c r="C346" s="60"/>
      <c r="D346" s="56"/>
      <c r="E346" s="53"/>
      <c r="F346" s="62"/>
      <c r="G346" s="62"/>
      <c r="H346" s="62"/>
      <c r="I346" s="52"/>
    </row>
    <row r="347" spans="1:9" x14ac:dyDescent="0.25">
      <c r="A347" s="52"/>
      <c r="B347" s="198"/>
      <c r="C347" s="60"/>
      <c r="D347" s="56"/>
      <c r="E347" s="53"/>
      <c r="F347" s="62"/>
      <c r="G347" s="62"/>
      <c r="H347" s="62"/>
      <c r="I347" s="52"/>
    </row>
    <row r="348" spans="1:9" x14ac:dyDescent="0.25">
      <c r="A348" s="52"/>
      <c r="B348" s="198"/>
      <c r="C348" s="60"/>
      <c r="D348" s="56"/>
      <c r="E348" s="53"/>
      <c r="F348" s="62"/>
      <c r="G348" s="62"/>
      <c r="H348" s="62"/>
      <c r="I348" s="52"/>
    </row>
    <row r="349" spans="1:9" x14ac:dyDescent="0.25">
      <c r="A349" s="52"/>
      <c r="B349" s="198"/>
      <c r="C349" s="60"/>
      <c r="D349" s="56"/>
      <c r="E349" s="53"/>
      <c r="F349" s="62"/>
      <c r="G349" s="62"/>
      <c r="H349" s="62"/>
      <c r="I349" s="52"/>
    </row>
  </sheetData>
  <mergeCells count="4">
    <mergeCell ref="J1:J3"/>
    <mergeCell ref="K1:K3"/>
    <mergeCell ref="E1:I1"/>
    <mergeCell ref="A1:D1"/>
  </mergeCells>
  <dataValidations count="1">
    <dataValidation type="list" allowBlank="1" showInputMessage="1" showErrorMessage="1" sqref="A3" xr:uid="{8E5F9D32-B3AC-4EB7-A5B7-2342EA4AA08B}">
      <formula1>INDIRECT("Вид[Наименование]")</formula1>
    </dataValidation>
  </dataValidations>
  <pageMargins left="0.25" right="0.25" top="0.75" bottom="0.75" header="0.3" footer="0.3"/>
  <pageSetup paperSize="9" scale="7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333-A727-42BF-B52E-088FED3B59A9}">
  <sheetPr codeName="Лист4">
    <pageSetUpPr fitToPage="1"/>
  </sheetPr>
  <dimension ref="A1:N94"/>
  <sheetViews>
    <sheetView zoomScaleNormal="100" workbookViewId="0">
      <pane ySplit="4" topLeftCell="A79" activePane="bottomLeft" state="frozen"/>
      <selection pane="bottomLeft" activeCell="D96" sqref="D96"/>
    </sheetView>
  </sheetViews>
  <sheetFormatPr defaultRowHeight="15" outlineLevelRow="1" x14ac:dyDescent="0.25"/>
  <cols>
    <col min="1" max="1" width="5" customWidth="1"/>
    <col min="2" max="2" width="21.285156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s="82" customFormat="1" ht="15.75" x14ac:dyDescent="0.25">
      <c r="J1" s="83" t="s">
        <v>97</v>
      </c>
    </row>
    <row r="2" spans="1:14" s="82" customFormat="1" ht="33.75" customHeight="1" x14ac:dyDescent="0.25">
      <c r="A2" s="256" t="s">
        <v>304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s="82" customFormat="1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99</v>
      </c>
      <c r="F3" s="257" t="s">
        <v>3</v>
      </c>
      <c r="G3" s="257"/>
      <c r="H3" s="261" t="s">
        <v>2</v>
      </c>
      <c r="I3" s="262"/>
      <c r="J3" s="260" t="s">
        <v>96</v>
      </c>
    </row>
    <row r="4" spans="1:14" s="82" customFormat="1" ht="32.25" customHeight="1" x14ac:dyDescent="0.25">
      <c r="A4" s="257"/>
      <c r="B4" s="259"/>
      <c r="C4" s="257"/>
      <c r="D4" s="257"/>
      <c r="E4" s="257"/>
      <c r="F4" s="84" t="s">
        <v>0</v>
      </c>
      <c r="G4" s="84" t="s">
        <v>4</v>
      </c>
      <c r="H4" s="84" t="s">
        <v>0</v>
      </c>
      <c r="I4" s="84" t="s">
        <v>4</v>
      </c>
      <c r="J4" s="257"/>
    </row>
    <row r="5" spans="1:14" s="82" customFormat="1" ht="14.25" customHeight="1" x14ac:dyDescent="0.25">
      <c r="A5" s="81">
        <v>1</v>
      </c>
      <c r="B5" s="81">
        <v>2</v>
      </c>
      <c r="C5" s="81">
        <v>3</v>
      </c>
      <c r="D5" s="81">
        <v>4</v>
      </c>
      <c r="E5" s="81">
        <v>5</v>
      </c>
      <c r="F5" s="81">
        <v>6</v>
      </c>
      <c r="G5" s="81">
        <v>7</v>
      </c>
      <c r="H5" s="81">
        <v>8</v>
      </c>
      <c r="I5" s="81">
        <v>9</v>
      </c>
      <c r="J5" s="81">
        <v>10</v>
      </c>
      <c r="M5" s="85"/>
    </row>
    <row r="6" spans="1:14" s="82" customFormat="1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s="82" customFormat="1" x14ac:dyDescent="0.25">
      <c r="A7" s="114">
        <v>1</v>
      </c>
      <c r="B7" s="78" t="s">
        <v>70</v>
      </c>
      <c r="C7" s="79">
        <v>11</v>
      </c>
      <c r="D7" s="80">
        <v>43480</v>
      </c>
      <c r="E7" s="79">
        <v>19500</v>
      </c>
      <c r="F7" s="81"/>
      <c r="G7" s="81"/>
      <c r="H7" s="81"/>
      <c r="I7" s="81"/>
      <c r="J7" s="81"/>
    </row>
    <row r="8" spans="1:14" s="93" customFormat="1" ht="19.5" customHeight="1" x14ac:dyDescent="0.25">
      <c r="A8" s="86" t="s">
        <v>17</v>
      </c>
      <c r="B8" s="87"/>
      <c r="C8" s="87" t="str">
        <f>"за "&amp;LOWER($A$6)</f>
        <v>за январь</v>
      </c>
      <c r="D8" s="88">
        <f>COUNTA(янв_пр)</f>
        <v>1</v>
      </c>
      <c r="E8" s="89">
        <f>SUM(янв_кол)</f>
        <v>19500</v>
      </c>
      <c r="F8" s="90">
        <f>COUNTA(акт_вх_янв)+COUNTA(акт_отб_янв)</f>
        <v>0</v>
      </c>
      <c r="G8" s="91"/>
      <c r="H8" s="91"/>
      <c r="I8" s="91"/>
      <c r="J8" s="92">
        <f>SUM(кол_отб_янв)</f>
        <v>0</v>
      </c>
    </row>
    <row r="9" spans="1:14" s="82" customFormat="1" x14ac:dyDescent="0.25">
      <c r="A9" s="250" t="s">
        <v>6</v>
      </c>
      <c r="B9" s="250"/>
      <c r="C9" s="250"/>
      <c r="D9" s="250"/>
      <c r="E9" s="250"/>
      <c r="F9" s="250"/>
      <c r="G9" s="250"/>
      <c r="H9" s="250"/>
      <c r="I9" s="250"/>
      <c r="J9" s="250"/>
      <c r="L9" s="93"/>
      <c r="M9" s="93"/>
      <c r="N9" s="93"/>
    </row>
    <row r="10" spans="1:14" s="82" customFormat="1" x14ac:dyDescent="0.25">
      <c r="A10" s="114">
        <v>2</v>
      </c>
      <c r="B10" s="78" t="s">
        <v>69</v>
      </c>
      <c r="C10" s="79">
        <v>11.12</v>
      </c>
      <c r="D10" s="80">
        <v>43503</v>
      </c>
      <c r="E10" s="79">
        <v>19500</v>
      </c>
      <c r="F10" s="94"/>
      <c r="G10" s="94"/>
      <c r="H10" s="94"/>
      <c r="I10" s="94"/>
      <c r="J10" s="94"/>
      <c r="L10" s="93"/>
      <c r="M10" s="93"/>
      <c r="N10" s="93"/>
    </row>
    <row r="11" spans="1:14" s="82" customFormat="1" outlineLevel="1" x14ac:dyDescent="0.25">
      <c r="A11" s="114">
        <v>3</v>
      </c>
      <c r="B11" s="78" t="s">
        <v>69</v>
      </c>
      <c r="C11" s="79">
        <v>12.13</v>
      </c>
      <c r="D11" s="80">
        <v>43522</v>
      </c>
      <c r="E11" s="79">
        <v>19491</v>
      </c>
      <c r="F11" s="94"/>
      <c r="G11" s="94"/>
      <c r="H11" s="94"/>
      <c r="I11" s="94"/>
      <c r="J11" s="94"/>
      <c r="L11" s="93"/>
      <c r="M11" s="93"/>
      <c r="N11" s="93"/>
    </row>
    <row r="12" spans="1:14" s="82" customFormat="1" ht="22.5" customHeight="1" x14ac:dyDescent="0.25">
      <c r="A12" s="86" t="s">
        <v>17</v>
      </c>
      <c r="B12" s="87"/>
      <c r="C12" s="87" t="str">
        <f>"за "&amp;LOWER($A$9)</f>
        <v>за февраль</v>
      </c>
      <c r="D12" s="88">
        <f>COUNTA(фев_пр)</f>
        <v>2</v>
      </c>
      <c r="E12" s="89">
        <f>SUM(фев_кол)</f>
        <v>38991</v>
      </c>
      <c r="F12" s="90">
        <f>COUNTA(акт_вх_фев)+COUNTA(акт_отб_фев)</f>
        <v>0</v>
      </c>
      <c r="G12" s="91"/>
      <c r="H12" s="91"/>
      <c r="I12" s="91"/>
      <c r="J12" s="92">
        <f>SUM(кол_отб_фев)</f>
        <v>0</v>
      </c>
      <c r="L12" s="93"/>
      <c r="M12" s="93"/>
      <c r="N12" s="93"/>
    </row>
    <row r="13" spans="1:14" s="82" customFormat="1" x14ac:dyDescent="0.25">
      <c r="A13" s="249" t="s">
        <v>7</v>
      </c>
      <c r="B13" s="249"/>
      <c r="C13" s="249"/>
      <c r="D13" s="249"/>
      <c r="E13" s="249"/>
      <c r="F13" s="249"/>
      <c r="G13" s="249"/>
      <c r="H13" s="249"/>
      <c r="I13" s="249"/>
      <c r="J13" s="249"/>
      <c r="L13" s="93"/>
      <c r="M13" s="93"/>
      <c r="N13" s="93"/>
    </row>
    <row r="14" spans="1:14" s="82" customFormat="1" x14ac:dyDescent="0.25">
      <c r="A14" s="114">
        <v>4</v>
      </c>
      <c r="B14" s="95" t="s">
        <v>69</v>
      </c>
      <c r="C14" s="96">
        <v>9</v>
      </c>
      <c r="D14" s="97">
        <v>43537</v>
      </c>
      <c r="E14" s="96">
        <v>18093</v>
      </c>
      <c r="F14" s="94"/>
      <c r="G14" s="94"/>
      <c r="H14" s="94"/>
      <c r="I14" s="94"/>
      <c r="J14" s="94"/>
      <c r="L14" s="93"/>
      <c r="M14" s="93"/>
      <c r="N14" s="93"/>
    </row>
    <row r="15" spans="1:14" s="82" customFormat="1" outlineLevel="1" x14ac:dyDescent="0.25">
      <c r="A15" s="114">
        <v>5</v>
      </c>
      <c r="B15" s="95" t="s">
        <v>69</v>
      </c>
      <c r="C15" s="96">
        <v>10</v>
      </c>
      <c r="D15" s="97">
        <v>43538</v>
      </c>
      <c r="E15" s="96">
        <v>18282</v>
      </c>
      <c r="F15" s="94"/>
      <c r="G15" s="94"/>
      <c r="H15" s="94"/>
      <c r="I15" s="94"/>
      <c r="J15" s="94"/>
      <c r="L15" s="93"/>
      <c r="M15" s="93"/>
      <c r="N15" s="93"/>
    </row>
    <row r="16" spans="1:14" s="82" customFormat="1" outlineLevel="1" x14ac:dyDescent="0.25">
      <c r="A16" s="114">
        <v>6</v>
      </c>
      <c r="B16" s="98" t="s">
        <v>69</v>
      </c>
      <c r="C16" s="99">
        <v>14</v>
      </c>
      <c r="D16" s="100">
        <v>43544</v>
      </c>
      <c r="E16" s="99">
        <v>18120</v>
      </c>
      <c r="F16" s="94"/>
      <c r="G16" s="94"/>
      <c r="H16" s="94"/>
      <c r="I16" s="94"/>
      <c r="J16" s="94"/>
      <c r="L16" s="93"/>
      <c r="M16" s="93"/>
      <c r="N16" s="93"/>
    </row>
    <row r="17" spans="1:14" s="82" customFormat="1" ht="21.75" customHeight="1" x14ac:dyDescent="0.25">
      <c r="A17" s="86" t="s">
        <v>17</v>
      </c>
      <c r="B17" s="87"/>
      <c r="C17" s="87" t="str">
        <f>"за "&amp;LOWER($A$13)</f>
        <v>за март</v>
      </c>
      <c r="D17" s="88">
        <f>COUNTA(мрт_пр)</f>
        <v>3</v>
      </c>
      <c r="E17" s="89">
        <f>SUM(мрт_кол)</f>
        <v>54495</v>
      </c>
      <c r="F17" s="90">
        <f>COUNTA(акт_вх_мрт)+COUNTA(акт_отб_мрт)</f>
        <v>0</v>
      </c>
      <c r="G17" s="101"/>
      <c r="H17" s="101"/>
      <c r="I17" s="101"/>
      <c r="J17" s="92">
        <f>SUM(кол_отб_мрт)</f>
        <v>0</v>
      </c>
      <c r="L17" s="93"/>
      <c r="M17" s="93"/>
      <c r="N17" s="93"/>
    </row>
    <row r="18" spans="1:14" s="82" customFormat="1" ht="31.5" customHeight="1" x14ac:dyDescent="0.25">
      <c r="A18" s="102" t="s">
        <v>17</v>
      </c>
      <c r="B18" s="103"/>
      <c r="C18" s="103" t="s">
        <v>18</v>
      </c>
      <c r="D18" s="104">
        <f>SUM(D8,D12,D17)</f>
        <v>6</v>
      </c>
      <c r="E18" s="105">
        <f>SUM(E8,E12,E17)</f>
        <v>112986</v>
      </c>
      <c r="F18" s="106">
        <f>SUM(F8,F12,F17)</f>
        <v>0</v>
      </c>
      <c r="G18" s="103"/>
      <c r="H18" s="103" t="str">
        <f>"Кп= "&amp;ROUNDDOWN((F18/D18)*100,1)&amp;"%"</f>
        <v>Кп= 0%</v>
      </c>
      <c r="I18" s="103" t="str">
        <f>"Км= "&amp;ROUNDDOWN((J18/E18)*100,1)&amp;"%"</f>
        <v>Км= 0%</v>
      </c>
      <c r="J18" s="107">
        <f>SUM(J8,J12,J17)</f>
        <v>0</v>
      </c>
      <c r="L18" s="93"/>
      <c r="M18" s="93"/>
      <c r="N18" s="93"/>
    </row>
    <row r="19" spans="1:14" ht="28.5" hidden="1" customHeight="1" outlineLevel="1" x14ac:dyDescent="0.25">
      <c r="A19" s="8" t="s">
        <v>20</v>
      </c>
      <c r="B19" s="8"/>
      <c r="C19" s="8"/>
      <c r="D19" s="9"/>
      <c r="E19" s="8"/>
      <c r="F19" s="8"/>
      <c r="G19" s="8" t="s">
        <v>21</v>
      </c>
      <c r="H19" s="8"/>
      <c r="I19" s="8"/>
      <c r="J19" s="8"/>
      <c r="L19" s="1"/>
      <c r="M19" s="1"/>
      <c r="N19" s="1"/>
    </row>
    <row r="20" spans="1:14" collapsed="1" x14ac:dyDescent="0.25">
      <c r="A20" s="251" t="s">
        <v>8</v>
      </c>
      <c r="B20" s="251"/>
      <c r="C20" s="251"/>
      <c r="D20" s="251"/>
      <c r="E20" s="251"/>
      <c r="F20" s="251"/>
      <c r="G20" s="251"/>
      <c r="H20" s="251"/>
      <c r="I20" s="251"/>
      <c r="J20" s="251"/>
      <c r="L20" s="1"/>
      <c r="M20" s="1"/>
      <c r="N20" s="1"/>
    </row>
    <row r="21" spans="1:14" x14ac:dyDescent="0.25">
      <c r="A21" s="173">
        <v>7</v>
      </c>
      <c r="B21" s="149" t="s">
        <v>69</v>
      </c>
      <c r="C21" s="145">
        <v>12</v>
      </c>
      <c r="D21" s="97">
        <v>43557</v>
      </c>
      <c r="E21" s="145">
        <v>11967</v>
      </c>
      <c r="F21" s="148"/>
      <c r="G21" s="148"/>
      <c r="H21" s="148"/>
      <c r="I21" s="148"/>
      <c r="J21" s="148"/>
      <c r="L21" s="1"/>
      <c r="M21" s="1"/>
      <c r="N21" s="1"/>
    </row>
    <row r="22" spans="1:14" ht="45" outlineLevel="1" x14ac:dyDescent="0.25">
      <c r="A22" s="173">
        <v>8</v>
      </c>
      <c r="B22" s="149" t="s">
        <v>67</v>
      </c>
      <c r="C22" s="145" t="s">
        <v>166</v>
      </c>
      <c r="D22" s="97">
        <v>43557</v>
      </c>
      <c r="E22" s="145">
        <v>18772</v>
      </c>
      <c r="F22" s="148"/>
      <c r="G22" s="148"/>
      <c r="H22" s="148"/>
      <c r="I22" s="148"/>
      <c r="J22" s="148"/>
      <c r="L22" s="1"/>
      <c r="M22" s="1"/>
      <c r="N22" s="1"/>
    </row>
    <row r="23" spans="1:14" outlineLevel="1" x14ac:dyDescent="0.25">
      <c r="A23" s="173">
        <v>9</v>
      </c>
      <c r="B23" s="149" t="s">
        <v>69</v>
      </c>
      <c r="C23" s="145">
        <v>14</v>
      </c>
      <c r="D23" s="97">
        <v>43558</v>
      </c>
      <c r="E23" s="145">
        <v>19500</v>
      </c>
      <c r="F23" s="148"/>
      <c r="G23" s="148"/>
      <c r="H23" s="148"/>
      <c r="I23" s="148"/>
      <c r="J23" s="148"/>
      <c r="L23" s="1"/>
      <c r="M23" s="1"/>
      <c r="N23" s="1"/>
    </row>
    <row r="24" spans="1:14" ht="30" outlineLevel="1" x14ac:dyDescent="0.25">
      <c r="A24" s="173">
        <v>10</v>
      </c>
      <c r="B24" s="189" t="s">
        <v>219</v>
      </c>
      <c r="C24" s="145">
        <v>1.2</v>
      </c>
      <c r="D24" s="97">
        <v>43573</v>
      </c>
      <c r="E24" s="145">
        <v>19500</v>
      </c>
      <c r="F24" s="148"/>
      <c r="G24" s="148"/>
      <c r="H24" s="148"/>
      <c r="I24" s="148"/>
      <c r="J24" s="148"/>
      <c r="L24" s="1"/>
      <c r="M24" s="1"/>
      <c r="N24" s="1"/>
    </row>
    <row r="25" spans="1:14" outlineLevel="1" x14ac:dyDescent="0.25">
      <c r="A25" s="173">
        <v>11</v>
      </c>
      <c r="B25" s="149" t="s">
        <v>69</v>
      </c>
      <c r="C25" s="145">
        <v>24</v>
      </c>
      <c r="D25" s="97">
        <v>43574</v>
      </c>
      <c r="E25" s="145">
        <v>13137</v>
      </c>
      <c r="F25" s="148"/>
      <c r="G25" s="148"/>
      <c r="H25" s="148"/>
      <c r="I25" s="148"/>
      <c r="J25" s="148"/>
      <c r="L25" s="1"/>
      <c r="M25" s="1"/>
      <c r="N25" s="1"/>
    </row>
    <row r="26" spans="1:14" outlineLevel="1" x14ac:dyDescent="0.25">
      <c r="A26" s="173">
        <v>12</v>
      </c>
      <c r="B26" s="149" t="s">
        <v>69</v>
      </c>
      <c r="C26" s="145">
        <v>15.16</v>
      </c>
      <c r="D26" s="97">
        <v>43564</v>
      </c>
      <c r="E26" s="145">
        <v>17314</v>
      </c>
      <c r="F26" s="148"/>
      <c r="G26" s="148"/>
      <c r="H26" s="148"/>
      <c r="I26" s="148"/>
      <c r="J26" s="148"/>
      <c r="L26" s="1"/>
      <c r="M26" s="1"/>
      <c r="N26" s="1"/>
    </row>
    <row r="27" spans="1:14" ht="30" outlineLevel="1" x14ac:dyDescent="0.25">
      <c r="A27" s="114">
        <v>13</v>
      </c>
      <c r="B27" s="192" t="s">
        <v>219</v>
      </c>
      <c r="C27" s="172">
        <v>3.2</v>
      </c>
      <c r="D27" s="80">
        <v>43574</v>
      </c>
      <c r="E27" s="172">
        <v>19500</v>
      </c>
      <c r="F27" s="188"/>
      <c r="G27" s="188"/>
      <c r="H27" s="188"/>
      <c r="I27" s="188"/>
      <c r="J27" s="188"/>
      <c r="L27" s="1"/>
      <c r="M27" s="1"/>
      <c r="N27" s="1"/>
    </row>
    <row r="28" spans="1:14" ht="30" customHeight="1" outlineLevel="1" x14ac:dyDescent="0.25">
      <c r="A28" s="114">
        <v>14</v>
      </c>
      <c r="B28" s="192" t="s">
        <v>219</v>
      </c>
      <c r="C28" s="172">
        <v>4.5</v>
      </c>
      <c r="D28" s="80">
        <v>43581</v>
      </c>
      <c r="E28" s="172">
        <v>19266</v>
      </c>
      <c r="F28" s="188"/>
      <c r="G28" s="188"/>
      <c r="H28" s="188"/>
      <c r="I28" s="188"/>
      <c r="J28" s="188"/>
      <c r="L28" s="1"/>
      <c r="M28" s="1"/>
      <c r="N28" s="1"/>
    </row>
    <row r="29" spans="1:14" outlineLevel="1" x14ac:dyDescent="0.25">
      <c r="A29" s="173">
        <v>15</v>
      </c>
      <c r="B29" s="149" t="s">
        <v>69</v>
      </c>
      <c r="C29" s="145">
        <v>24.31</v>
      </c>
      <c r="D29" s="97">
        <v>43584</v>
      </c>
      <c r="E29" s="145">
        <v>17277</v>
      </c>
      <c r="F29" s="148"/>
      <c r="G29" s="148"/>
      <c r="H29" s="148"/>
      <c r="I29" s="148"/>
      <c r="J29" s="148"/>
      <c r="L29" s="1"/>
      <c r="M29" s="1"/>
      <c r="N29" s="1"/>
    </row>
    <row r="30" spans="1:14" ht="30" outlineLevel="1" x14ac:dyDescent="0.25">
      <c r="A30" s="114">
        <v>16</v>
      </c>
      <c r="B30" s="190" t="s">
        <v>219</v>
      </c>
      <c r="C30" s="112">
        <v>3.4</v>
      </c>
      <c r="D30" s="100">
        <v>43580</v>
      </c>
      <c r="E30" s="112">
        <v>19500</v>
      </c>
      <c r="F30" s="140"/>
      <c r="G30" s="140"/>
      <c r="H30" s="140"/>
      <c r="I30" s="140"/>
      <c r="J30" s="140"/>
      <c r="L30" s="1"/>
      <c r="M30" s="1"/>
      <c r="N30" s="1"/>
    </row>
    <row r="31" spans="1:14" ht="21" customHeight="1" x14ac:dyDescent="0.25">
      <c r="A31" s="86" t="s">
        <v>17</v>
      </c>
      <c r="B31" s="87"/>
      <c r="C31" s="87" t="str">
        <f>"за "&amp;LOWER($A$20)</f>
        <v>за апрель</v>
      </c>
      <c r="D31" s="88">
        <f>COUNTA(апр_пр)</f>
        <v>10</v>
      </c>
      <c r="E31" s="89">
        <f>SUM(апр_кол)</f>
        <v>175733</v>
      </c>
      <c r="F31" s="90">
        <f>COUNTA(акт_вх_апр)+COUNTA(акт_отб_апр)</f>
        <v>0</v>
      </c>
      <c r="G31" s="101"/>
      <c r="H31" s="101"/>
      <c r="I31" s="101"/>
      <c r="J31" s="92">
        <f>SUM(кол_отб_апр)</f>
        <v>0</v>
      </c>
      <c r="L31" s="1"/>
      <c r="M31" s="1"/>
      <c r="N31" s="1"/>
    </row>
    <row r="32" spans="1:14" x14ac:dyDescent="0.25">
      <c r="A32" s="252" t="s">
        <v>9</v>
      </c>
      <c r="B32" s="252"/>
      <c r="C32" s="252"/>
      <c r="D32" s="252"/>
      <c r="E32" s="252"/>
      <c r="F32" s="252"/>
      <c r="G32" s="252"/>
      <c r="H32" s="252"/>
      <c r="I32" s="252"/>
      <c r="J32" s="252"/>
      <c r="L32" s="1"/>
      <c r="M32" s="1"/>
      <c r="N32" s="1"/>
    </row>
    <row r="33" spans="1:14" x14ac:dyDescent="0.25">
      <c r="A33" s="114">
        <v>17</v>
      </c>
      <c r="B33" s="149" t="s">
        <v>69</v>
      </c>
      <c r="C33" s="145" t="s">
        <v>189</v>
      </c>
      <c r="D33" s="97">
        <v>43592</v>
      </c>
      <c r="E33" s="145">
        <v>17121</v>
      </c>
      <c r="F33" s="147"/>
      <c r="G33" s="147"/>
      <c r="H33" s="147"/>
      <c r="I33" s="147"/>
      <c r="J33" s="147"/>
      <c r="L33" s="1"/>
      <c r="M33" s="1"/>
      <c r="N33" s="1"/>
    </row>
    <row r="34" spans="1:14" outlineLevel="1" x14ac:dyDescent="0.25">
      <c r="A34" s="191">
        <v>18</v>
      </c>
      <c r="B34" s="149" t="s">
        <v>69</v>
      </c>
      <c r="C34" s="145">
        <v>49</v>
      </c>
      <c r="D34" s="97">
        <v>43600</v>
      </c>
      <c r="E34" s="145">
        <v>17664</v>
      </c>
      <c r="F34" s="157"/>
      <c r="G34" s="157"/>
      <c r="H34" s="157"/>
      <c r="I34" s="157"/>
      <c r="J34" s="157"/>
      <c r="L34" s="1"/>
      <c r="M34" s="1"/>
      <c r="N34" s="1"/>
    </row>
    <row r="35" spans="1:14" ht="30" outlineLevel="1" x14ac:dyDescent="0.25">
      <c r="A35" s="191">
        <v>19</v>
      </c>
      <c r="B35" s="149" t="s">
        <v>67</v>
      </c>
      <c r="C35" s="145" t="s">
        <v>192</v>
      </c>
      <c r="D35" s="97">
        <v>43600</v>
      </c>
      <c r="E35" s="145">
        <v>20013</v>
      </c>
      <c r="F35" s="157"/>
      <c r="G35" s="157"/>
      <c r="H35" s="157"/>
      <c r="I35" s="157"/>
      <c r="J35" s="157"/>
      <c r="L35" s="1"/>
      <c r="M35" s="1"/>
      <c r="N35" s="1"/>
    </row>
    <row r="36" spans="1:14" outlineLevel="1" x14ac:dyDescent="0.25">
      <c r="A36" s="191">
        <v>20</v>
      </c>
      <c r="B36" s="98" t="s">
        <v>69</v>
      </c>
      <c r="C36" s="112">
        <v>50</v>
      </c>
      <c r="D36" s="100">
        <v>43614</v>
      </c>
      <c r="E36" s="112">
        <v>18009</v>
      </c>
      <c r="F36" s="157"/>
      <c r="G36" s="157"/>
      <c r="H36" s="157"/>
      <c r="I36" s="157"/>
      <c r="J36" s="157"/>
      <c r="L36" s="1"/>
      <c r="M36" s="1"/>
      <c r="N36" s="1"/>
    </row>
    <row r="37" spans="1:14" ht="23.25" customHeight="1" x14ac:dyDescent="0.25">
      <c r="A37" s="86" t="s">
        <v>17</v>
      </c>
      <c r="B37" s="87"/>
      <c r="C37" s="87" t="str">
        <f>"за "&amp;LOWER($A$32)</f>
        <v>за май</v>
      </c>
      <c r="D37" s="88">
        <f>COUNTA(май_пр)</f>
        <v>4</v>
      </c>
      <c r="E37" s="89">
        <f>SUM(май_кол)</f>
        <v>72807</v>
      </c>
      <c r="F37" s="90">
        <f>COUNTA(акт_вх_май)+COUNTA(акт_отб_май)</f>
        <v>0</v>
      </c>
      <c r="G37" s="101"/>
      <c r="H37" s="101"/>
      <c r="I37" s="101"/>
      <c r="J37" s="92">
        <f>SUM(кол_отб_май)</f>
        <v>0</v>
      </c>
    </row>
    <row r="38" spans="1:14" x14ac:dyDescent="0.25">
      <c r="A38" s="252" t="s">
        <v>10</v>
      </c>
      <c r="B38" s="252"/>
      <c r="C38" s="252"/>
      <c r="D38" s="252"/>
      <c r="E38" s="252"/>
      <c r="F38" s="252"/>
      <c r="G38" s="252"/>
      <c r="H38" s="252"/>
      <c r="I38" s="252"/>
      <c r="J38" s="252"/>
    </row>
    <row r="39" spans="1:14" x14ac:dyDescent="0.25">
      <c r="A39" s="114">
        <v>21</v>
      </c>
      <c r="B39" s="149" t="s">
        <v>69</v>
      </c>
      <c r="C39" s="145">
        <v>51</v>
      </c>
      <c r="D39" s="97">
        <v>43621</v>
      </c>
      <c r="E39" s="145">
        <v>18467</v>
      </c>
      <c r="F39" s="140"/>
      <c r="G39" s="140"/>
      <c r="H39" s="140"/>
      <c r="I39" s="140"/>
      <c r="J39" s="140"/>
    </row>
    <row r="40" spans="1:14" outlineLevel="1" x14ac:dyDescent="0.25">
      <c r="A40" s="114">
        <v>22</v>
      </c>
      <c r="B40" s="149" t="s">
        <v>69</v>
      </c>
      <c r="C40" s="145">
        <v>53</v>
      </c>
      <c r="D40" s="97">
        <v>43627</v>
      </c>
      <c r="E40" s="145">
        <v>18435</v>
      </c>
      <c r="F40" s="140"/>
      <c r="G40" s="140"/>
      <c r="H40" s="140"/>
      <c r="I40" s="140"/>
      <c r="J40" s="140"/>
    </row>
    <row r="41" spans="1:14" outlineLevel="1" x14ac:dyDescent="0.25">
      <c r="A41" s="114">
        <v>23</v>
      </c>
      <c r="B41" s="149" t="s">
        <v>69</v>
      </c>
      <c r="C41" s="145" t="s">
        <v>204</v>
      </c>
      <c r="D41" s="97">
        <v>43630</v>
      </c>
      <c r="E41" s="145">
        <v>18456</v>
      </c>
      <c r="F41" s="140"/>
      <c r="G41" s="140"/>
      <c r="H41" s="140"/>
      <c r="I41" s="140"/>
      <c r="J41" s="140"/>
    </row>
    <row r="42" spans="1:14" ht="30" outlineLevel="1" x14ac:dyDescent="0.25">
      <c r="A42" s="114">
        <v>24</v>
      </c>
      <c r="B42" s="98" t="s">
        <v>67</v>
      </c>
      <c r="C42" s="112" t="s">
        <v>205</v>
      </c>
      <c r="D42" s="100">
        <v>43636</v>
      </c>
      <c r="E42" s="112">
        <v>18868</v>
      </c>
      <c r="F42" s="140"/>
      <c r="G42" s="140"/>
      <c r="H42" s="140"/>
      <c r="I42" s="140"/>
      <c r="J42" s="140"/>
    </row>
    <row r="43" spans="1:14" ht="21.75" customHeight="1" x14ac:dyDescent="0.25">
      <c r="A43" s="86" t="s">
        <v>17</v>
      </c>
      <c r="B43" s="87"/>
      <c r="C43" s="87" t="str">
        <f>"за "&amp;LOWER($A$38)</f>
        <v>за июнь</v>
      </c>
      <c r="D43" s="88">
        <f>COUNTA(июн_пр)</f>
        <v>4</v>
      </c>
      <c r="E43" s="89">
        <f>SUM(июн_кол)</f>
        <v>74226</v>
      </c>
      <c r="F43" s="90">
        <f>COUNTA(акт_вх_июн)+COUNTA(акт_отб_июн)</f>
        <v>0</v>
      </c>
      <c r="G43" s="101"/>
      <c r="H43" s="101"/>
      <c r="I43" s="101"/>
      <c r="J43" s="92">
        <f>SUM(кол_отб_июн)</f>
        <v>0</v>
      </c>
    </row>
    <row r="44" spans="1:14" ht="31.5" customHeight="1" x14ac:dyDescent="0.25">
      <c r="A44" s="102" t="s">
        <v>17</v>
      </c>
      <c r="B44" s="103"/>
      <c r="C44" s="103" t="s">
        <v>140</v>
      </c>
      <c r="D44" s="104">
        <f>SUM(D31,D37,D43)</f>
        <v>18</v>
      </c>
      <c r="E44" s="105">
        <f>SUM(E31,E37,E43)</f>
        <v>322766</v>
      </c>
      <c r="F44" s="106">
        <f>SUM(F31,F37,F43)</f>
        <v>0</v>
      </c>
      <c r="G44" s="103"/>
      <c r="H44" s="103" t="str">
        <f>"Кп= "&amp;ROUNDDOWN((F44/D44)*100,1)&amp;"%"</f>
        <v>Кп= 0%</v>
      </c>
      <c r="I44" s="103" t="str">
        <f>"Км= "&amp;ROUNDDOWN((J44/E44)*100,1)&amp;"%"</f>
        <v>Км= 0%</v>
      </c>
      <c r="J44" s="107">
        <f>SUM(J31,J37,J43)</f>
        <v>0</v>
      </c>
    </row>
    <row r="45" spans="1:14" ht="31.5" customHeight="1" x14ac:dyDescent="0.25">
      <c r="A45" s="102" t="s">
        <v>17</v>
      </c>
      <c r="B45" s="103"/>
      <c r="C45" s="103" t="s">
        <v>141</v>
      </c>
      <c r="D45" s="104">
        <f>SUM(D18,D44)</f>
        <v>24</v>
      </c>
      <c r="E45" s="105">
        <f>SUM(E44,E18)</f>
        <v>435752</v>
      </c>
      <c r="F45" s="106">
        <f>SUM(F44,F18)</f>
        <v>0</v>
      </c>
      <c r="G45" s="103"/>
      <c r="H45" s="103" t="str">
        <f>"Кп= "&amp;ROUNDDOWN((F45/D45)*100,1)&amp;"%"</f>
        <v>Кп= 0%</v>
      </c>
      <c r="I45" s="103" t="str">
        <f>"Км= "&amp;ROUNDDOWN((J45/E45)*100,1)&amp;"%"</f>
        <v>Км= 0%</v>
      </c>
      <c r="J45" s="107">
        <f>SUM(J44,J18)</f>
        <v>0</v>
      </c>
    </row>
    <row r="46" spans="1:14" ht="26.25" hidden="1" customHeight="1" outlineLevel="1" x14ac:dyDescent="0.25">
      <c r="A46" s="175" t="s">
        <v>212</v>
      </c>
      <c r="B46" s="175"/>
      <c r="C46" s="179"/>
      <c r="D46" s="184" t="s">
        <v>20</v>
      </c>
      <c r="E46" s="177"/>
      <c r="F46" s="177"/>
      <c r="G46" s="186" t="s">
        <v>21</v>
      </c>
      <c r="H46" s="177"/>
      <c r="I46" s="177"/>
      <c r="J46" s="178"/>
    </row>
    <row r="47" spans="1:14" ht="26.25" hidden="1" customHeight="1" outlineLevel="1" x14ac:dyDescent="0.25">
      <c r="A47" s="176" t="s">
        <v>213</v>
      </c>
      <c r="B47" s="176"/>
      <c r="C47" s="179"/>
      <c r="D47" s="185" t="s">
        <v>215</v>
      </c>
      <c r="E47" s="127"/>
      <c r="F47" s="106"/>
      <c r="G47" s="187" t="s">
        <v>217</v>
      </c>
      <c r="H47" s="103"/>
      <c r="I47" s="103"/>
      <c r="J47" s="129"/>
    </row>
    <row r="48" spans="1:14" ht="26.25" hidden="1" customHeight="1" outlineLevel="1" x14ac:dyDescent="0.25">
      <c r="A48" s="176" t="s">
        <v>214</v>
      </c>
      <c r="B48" s="180"/>
      <c r="C48" s="181"/>
      <c r="D48" s="177" t="s">
        <v>216</v>
      </c>
      <c r="E48" s="182"/>
      <c r="F48" s="182"/>
      <c r="G48" s="186" t="s">
        <v>218</v>
      </c>
      <c r="H48" s="182"/>
      <c r="I48" s="182"/>
      <c r="J48" s="183"/>
    </row>
    <row r="49" spans="1:10" collapsed="1" x14ac:dyDescent="0.25">
      <c r="A49" s="253" t="s">
        <v>11</v>
      </c>
      <c r="B49" s="254"/>
      <c r="C49" s="254"/>
      <c r="D49" s="254"/>
      <c r="E49" s="254"/>
      <c r="F49" s="254"/>
      <c r="G49" s="254"/>
      <c r="H49" s="254"/>
      <c r="I49" s="254"/>
      <c r="J49" s="255"/>
    </row>
    <row r="50" spans="1:10" x14ac:dyDescent="0.25">
      <c r="A50" s="114">
        <v>25</v>
      </c>
      <c r="B50" s="218" t="s">
        <v>69</v>
      </c>
      <c r="C50" s="145">
        <v>54</v>
      </c>
      <c r="D50" s="97">
        <v>43656</v>
      </c>
      <c r="E50" s="145">
        <v>17638</v>
      </c>
      <c r="F50" s="216"/>
      <c r="G50" s="216"/>
      <c r="H50" s="216"/>
      <c r="I50" s="216"/>
      <c r="J50" s="217"/>
    </row>
    <row r="51" spans="1:10" s="82" customFormat="1" ht="30" x14ac:dyDescent="0.25">
      <c r="A51" s="114">
        <v>26</v>
      </c>
      <c r="B51" s="71" t="s">
        <v>67</v>
      </c>
      <c r="C51" s="76" t="s">
        <v>229</v>
      </c>
      <c r="D51" s="73">
        <v>43662</v>
      </c>
      <c r="E51" s="76">
        <v>18257</v>
      </c>
      <c r="F51" s="140"/>
      <c r="G51" s="140"/>
      <c r="H51" s="140"/>
      <c r="I51" s="140"/>
      <c r="J51" s="140"/>
    </row>
    <row r="52" spans="1:10" s="82" customFormat="1" x14ac:dyDescent="0.25">
      <c r="A52" s="114">
        <v>27</v>
      </c>
      <c r="B52" s="71" t="s">
        <v>69</v>
      </c>
      <c r="C52" s="76">
        <v>58.56</v>
      </c>
      <c r="D52" s="73">
        <v>43663</v>
      </c>
      <c r="E52" s="76">
        <v>17242</v>
      </c>
      <c r="F52" s="140"/>
      <c r="G52" s="140"/>
      <c r="H52" s="140"/>
      <c r="I52" s="140"/>
      <c r="J52" s="140"/>
    </row>
    <row r="53" spans="1:10" s="82" customFormat="1" x14ac:dyDescent="0.25">
      <c r="A53" s="114">
        <v>28</v>
      </c>
      <c r="B53" s="204" t="s">
        <v>69</v>
      </c>
      <c r="C53" s="145" t="s">
        <v>243</v>
      </c>
      <c r="D53" s="97">
        <v>43677</v>
      </c>
      <c r="E53" s="145">
        <v>17563</v>
      </c>
      <c r="F53" s="140"/>
      <c r="G53" s="140"/>
      <c r="H53" s="140"/>
      <c r="I53" s="140"/>
      <c r="J53" s="140"/>
    </row>
    <row r="54" spans="1:10" s="82" customFormat="1" ht="15" hidden="1" customHeight="1" outlineLevel="1" x14ac:dyDescent="0.25">
      <c r="F54" s="140"/>
      <c r="G54" s="140"/>
      <c r="H54" s="140"/>
      <c r="I54" s="140"/>
      <c r="J54" s="140"/>
    </row>
    <row r="55" spans="1:10" s="82" customFormat="1" collapsed="1" x14ac:dyDescent="0.25">
      <c r="A55" s="86" t="s">
        <v>17</v>
      </c>
      <c r="B55" s="87"/>
      <c r="C55" s="87" t="str">
        <f>"за "&amp;LOWER($A$49)</f>
        <v>за июль</v>
      </c>
      <c r="D55" s="88">
        <f>COUNTA(июлл_пр)</f>
        <v>4</v>
      </c>
      <c r="E55" s="89">
        <f>SUM(июлл_кол)</f>
        <v>70700</v>
      </c>
      <c r="F55" s="90">
        <f>COUNTA(акт_вх_июл)+COUNTA(акт_отб_июл)</f>
        <v>0</v>
      </c>
      <c r="G55" s="101"/>
      <c r="H55" s="101"/>
      <c r="I55" s="101"/>
      <c r="J55" s="92">
        <f>SUM(кол_отб_июл)</f>
        <v>0</v>
      </c>
    </row>
    <row r="56" spans="1:10" x14ac:dyDescent="0.25">
      <c r="A56" s="252" t="s">
        <v>13</v>
      </c>
      <c r="B56" s="252"/>
      <c r="C56" s="252"/>
      <c r="D56" s="252"/>
      <c r="E56" s="252"/>
      <c r="F56" s="252"/>
      <c r="G56" s="252"/>
      <c r="H56" s="252"/>
      <c r="I56" s="252"/>
      <c r="J56" s="252"/>
    </row>
    <row r="57" spans="1:10" s="82" customFormat="1" x14ac:dyDescent="0.25">
      <c r="A57" s="114">
        <v>29</v>
      </c>
      <c r="B57" s="204" t="s">
        <v>245</v>
      </c>
      <c r="C57" s="145" t="s">
        <v>246</v>
      </c>
      <c r="D57" s="97">
        <v>43683</v>
      </c>
      <c r="E57" s="145">
        <v>19500</v>
      </c>
      <c r="F57" s="140"/>
      <c r="G57" s="140"/>
      <c r="H57" s="140"/>
      <c r="I57" s="140"/>
      <c r="J57" s="140"/>
    </row>
    <row r="58" spans="1:10" s="82" customFormat="1" outlineLevel="1" x14ac:dyDescent="0.25">
      <c r="A58" s="114">
        <v>30</v>
      </c>
      <c r="B58" s="204" t="s">
        <v>69</v>
      </c>
      <c r="C58" s="145" t="s">
        <v>248</v>
      </c>
      <c r="D58" s="97">
        <v>43690</v>
      </c>
      <c r="E58" s="145">
        <v>17678</v>
      </c>
      <c r="F58" s="140"/>
      <c r="G58" s="140"/>
      <c r="H58" s="140"/>
      <c r="I58" s="140"/>
      <c r="J58" s="140"/>
    </row>
    <row r="59" spans="1:10" s="82" customFormat="1" outlineLevel="1" x14ac:dyDescent="0.25">
      <c r="A59" s="114">
        <v>31</v>
      </c>
      <c r="B59" s="204" t="s">
        <v>69</v>
      </c>
      <c r="C59" s="145" t="s">
        <v>251</v>
      </c>
      <c r="D59" s="97">
        <v>43693</v>
      </c>
      <c r="E59" s="145">
        <v>17958.5</v>
      </c>
      <c r="F59" s="140"/>
      <c r="G59" s="140"/>
      <c r="H59" s="140"/>
      <c r="I59" s="140"/>
      <c r="J59" s="140"/>
    </row>
    <row r="60" spans="1:10" s="82" customFormat="1" ht="30" outlineLevel="1" x14ac:dyDescent="0.25">
      <c r="A60" s="114">
        <v>32</v>
      </c>
      <c r="B60" s="204" t="s">
        <v>257</v>
      </c>
      <c r="C60" s="145" t="s">
        <v>258</v>
      </c>
      <c r="D60" s="97">
        <v>43704</v>
      </c>
      <c r="E60" s="145">
        <v>18724</v>
      </c>
      <c r="F60" s="140"/>
      <c r="G60" s="140"/>
      <c r="H60" s="140"/>
      <c r="I60" s="140"/>
      <c r="J60" s="140"/>
    </row>
    <row r="61" spans="1:10" s="82" customFormat="1" outlineLevel="1" x14ac:dyDescent="0.25">
      <c r="A61" s="114">
        <v>33</v>
      </c>
      <c r="B61" s="204" t="s">
        <v>69</v>
      </c>
      <c r="C61" s="145" t="s">
        <v>261</v>
      </c>
      <c r="D61" s="97">
        <v>43706</v>
      </c>
      <c r="E61" s="145">
        <v>18262.5</v>
      </c>
      <c r="F61" s="140"/>
      <c r="G61" s="140"/>
      <c r="H61" s="140"/>
      <c r="I61" s="140"/>
      <c r="J61" s="140"/>
    </row>
    <row r="62" spans="1:10" s="82" customFormat="1" x14ac:dyDescent="0.25">
      <c r="A62" s="86" t="s">
        <v>17</v>
      </c>
      <c r="B62" s="87"/>
      <c r="C62" s="87" t="str">
        <f>"за "&amp;LOWER($A$56)</f>
        <v>за август</v>
      </c>
      <c r="D62" s="88">
        <f>COUNTA(авг_пр)</f>
        <v>5</v>
      </c>
      <c r="E62" s="89">
        <f>SUM(авг_кол)</f>
        <v>92123</v>
      </c>
      <c r="F62" s="90">
        <f>COUNTA(акт_вх_авг)+COUNTA(акт_отб_авг)</f>
        <v>0</v>
      </c>
      <c r="G62" s="101"/>
      <c r="H62" s="101"/>
      <c r="I62" s="101"/>
      <c r="J62" s="92">
        <f>SUM(кол_отб_авг)</f>
        <v>0</v>
      </c>
    </row>
    <row r="63" spans="1:10" s="82" customFormat="1" x14ac:dyDescent="0.25">
      <c r="A63" s="249" t="s">
        <v>12</v>
      </c>
      <c r="B63" s="249"/>
      <c r="C63" s="249"/>
      <c r="D63" s="249"/>
      <c r="E63" s="249"/>
      <c r="F63" s="249"/>
      <c r="G63" s="249"/>
      <c r="H63" s="249"/>
      <c r="I63" s="249"/>
      <c r="J63" s="249"/>
    </row>
    <row r="64" spans="1:10" s="82" customFormat="1" x14ac:dyDescent="0.25">
      <c r="A64" s="114">
        <v>34</v>
      </c>
      <c r="B64" s="204" t="s">
        <v>69</v>
      </c>
      <c r="C64" s="145" t="s">
        <v>265</v>
      </c>
      <c r="D64" s="97">
        <v>43718</v>
      </c>
      <c r="E64" s="145">
        <v>18341</v>
      </c>
      <c r="F64" s="140"/>
      <c r="G64" s="140"/>
      <c r="H64" s="140"/>
      <c r="I64" s="140"/>
      <c r="J64" s="140"/>
    </row>
    <row r="65" spans="1:10" s="82" customFormat="1" ht="30" outlineLevel="1" x14ac:dyDescent="0.25">
      <c r="A65" s="114">
        <v>35</v>
      </c>
      <c r="B65" s="98" t="s">
        <v>257</v>
      </c>
      <c r="C65" s="112" t="s">
        <v>271</v>
      </c>
      <c r="D65" s="100">
        <v>43733</v>
      </c>
      <c r="E65" s="112">
        <v>18967</v>
      </c>
      <c r="F65" s="140"/>
      <c r="G65" s="140"/>
      <c r="H65" s="140"/>
      <c r="I65" s="140"/>
      <c r="J65" s="140"/>
    </row>
    <row r="66" spans="1:10" s="82" customFormat="1" x14ac:dyDescent="0.25">
      <c r="A66" s="86" t="s">
        <v>17</v>
      </c>
      <c r="B66" s="87"/>
      <c r="C66" s="87" t="str">
        <f>"за "&amp;LOWER($A$63)</f>
        <v>за сентябрь</v>
      </c>
      <c r="D66" s="88">
        <f>COUNTA(снт_пр)</f>
        <v>2</v>
      </c>
      <c r="E66" s="89">
        <f>SUM(снт_кол)</f>
        <v>37308</v>
      </c>
      <c r="F66" s="90">
        <f>COUNTA(акт_вх_снт)+COUNTA(акт_отб_снт)</f>
        <v>0</v>
      </c>
      <c r="G66" s="101"/>
      <c r="H66" s="101"/>
      <c r="I66" s="101"/>
      <c r="J66" s="92">
        <f>SUM(кол_отб_снт)</f>
        <v>0</v>
      </c>
    </row>
    <row r="67" spans="1:10" s="82" customFormat="1" ht="30" customHeight="1" x14ac:dyDescent="0.25">
      <c r="A67" s="102" t="s">
        <v>17</v>
      </c>
      <c r="B67" s="103"/>
      <c r="C67" s="103" t="s">
        <v>142</v>
      </c>
      <c r="D67" s="104">
        <f>SUM(D55,D62,D66)</f>
        <v>11</v>
      </c>
      <c r="E67" s="105">
        <f>SUM(E55,E62,E66)</f>
        <v>200131</v>
      </c>
      <c r="F67" s="106">
        <f>SUM(F55,F62,F66)</f>
        <v>0</v>
      </c>
      <c r="G67" s="103"/>
      <c r="H67" s="103" t="str">
        <f>"Кп= "&amp;ROUNDDOWN((F67/D67)*100,1)&amp;"%"</f>
        <v>Кп= 0%</v>
      </c>
      <c r="I67" s="103" t="str">
        <f>"Км= "&amp;ROUNDDOWN((J67/E67)*100,1)&amp;"%"</f>
        <v>Км= 0%</v>
      </c>
      <c r="J67" s="107">
        <f>SUM(J55,J62,J66)</f>
        <v>0</v>
      </c>
    </row>
    <row r="68" spans="1:10" s="82" customFormat="1" ht="30" customHeight="1" x14ac:dyDescent="0.25">
      <c r="A68" s="102" t="s">
        <v>17</v>
      </c>
      <c r="B68" s="103"/>
      <c r="C68" s="103" t="s">
        <v>144</v>
      </c>
      <c r="D68" s="104">
        <f>SUM(D45,D67)</f>
        <v>35</v>
      </c>
      <c r="E68" s="105">
        <f>SUM(E67,E45)</f>
        <v>635883</v>
      </c>
      <c r="F68" s="106">
        <f>SUM(F67,F45)</f>
        <v>0</v>
      </c>
      <c r="G68" s="103"/>
      <c r="H68" s="103" t="str">
        <f>"Кп= "&amp;ROUNDDOWN((F68/D68)*100,1)&amp;"%"</f>
        <v>Кп= 0%</v>
      </c>
      <c r="I68" s="103" t="str">
        <f>"Км= "&amp;ROUNDDOWN((J68/E68)*100,1)&amp;"%"</f>
        <v>Км= 0%</v>
      </c>
      <c r="J68" s="107">
        <f>SUM(J67,J45)</f>
        <v>0</v>
      </c>
    </row>
    <row r="69" spans="1:10" ht="24.75" hidden="1" customHeight="1" outlineLevel="1" x14ac:dyDescent="0.25">
      <c r="A69" s="8" t="s">
        <v>20</v>
      </c>
      <c r="B69" s="8"/>
      <c r="C69" s="8"/>
      <c r="D69" s="9"/>
      <c r="E69" s="8"/>
      <c r="F69" s="8"/>
      <c r="G69" s="8" t="s">
        <v>21</v>
      </c>
      <c r="H69" s="8"/>
      <c r="I69" s="8"/>
      <c r="J69" s="8"/>
    </row>
    <row r="70" spans="1:10" ht="15" customHeight="1" collapsed="1" x14ac:dyDescent="0.25">
      <c r="A70" s="252" t="s">
        <v>14</v>
      </c>
      <c r="B70" s="252"/>
      <c r="C70" s="252"/>
      <c r="D70" s="252"/>
      <c r="E70" s="252"/>
      <c r="F70" s="252"/>
      <c r="G70" s="252"/>
      <c r="H70" s="252"/>
      <c r="I70" s="252"/>
      <c r="J70" s="252"/>
    </row>
    <row r="71" spans="1:10" x14ac:dyDescent="0.25">
      <c r="A71" s="114">
        <v>36</v>
      </c>
      <c r="B71" s="189" t="s">
        <v>69</v>
      </c>
      <c r="C71" s="145" t="s">
        <v>272</v>
      </c>
      <c r="D71" s="97">
        <v>43739</v>
      </c>
      <c r="E71" s="96">
        <v>18139</v>
      </c>
      <c r="F71" s="227"/>
      <c r="G71" s="227"/>
      <c r="H71" s="140"/>
      <c r="I71" s="140"/>
      <c r="J71" s="140"/>
    </row>
    <row r="72" spans="1:10" outlineLevel="1" x14ac:dyDescent="0.25">
      <c r="A72" s="114">
        <v>37</v>
      </c>
      <c r="B72" s="189" t="s">
        <v>69</v>
      </c>
      <c r="C72" s="145" t="s">
        <v>275</v>
      </c>
      <c r="D72" s="97">
        <v>43746</v>
      </c>
      <c r="E72" s="96">
        <v>18039.5</v>
      </c>
      <c r="F72" s="227"/>
      <c r="G72" s="227"/>
      <c r="H72" s="140"/>
      <c r="I72" s="140"/>
      <c r="J72" s="140"/>
    </row>
    <row r="73" spans="1:10" ht="90" outlineLevel="1" x14ac:dyDescent="0.25">
      <c r="A73" s="114">
        <v>38</v>
      </c>
      <c r="B73" s="189" t="s">
        <v>69</v>
      </c>
      <c r="C73" s="145" t="s">
        <v>279</v>
      </c>
      <c r="D73" s="97">
        <v>43753</v>
      </c>
      <c r="E73" s="96">
        <v>18307</v>
      </c>
      <c r="F73" s="227" t="s">
        <v>302</v>
      </c>
      <c r="G73" s="227" t="s">
        <v>309</v>
      </c>
      <c r="H73" s="140"/>
      <c r="I73" s="140"/>
      <c r="J73" s="140"/>
    </row>
    <row r="74" spans="1:10" outlineLevel="1" x14ac:dyDescent="0.25">
      <c r="A74" s="114">
        <v>39</v>
      </c>
      <c r="B74" s="189" t="s">
        <v>69</v>
      </c>
      <c r="C74" s="145" t="s">
        <v>281</v>
      </c>
      <c r="D74" s="97">
        <v>43759</v>
      </c>
      <c r="E74" s="96">
        <v>18425</v>
      </c>
      <c r="F74" s="227"/>
      <c r="G74" s="227"/>
      <c r="H74" s="140"/>
      <c r="I74" s="140"/>
      <c r="J74" s="140"/>
    </row>
    <row r="75" spans="1:10" outlineLevel="1" x14ac:dyDescent="0.25">
      <c r="A75" s="114">
        <v>40</v>
      </c>
      <c r="B75" s="189" t="s">
        <v>245</v>
      </c>
      <c r="C75" s="145">
        <v>11</v>
      </c>
      <c r="D75" s="97">
        <v>43763</v>
      </c>
      <c r="E75" s="96">
        <v>19500</v>
      </c>
      <c r="F75" s="227"/>
      <c r="G75" s="227"/>
      <c r="H75" s="140"/>
      <c r="I75" s="140"/>
      <c r="J75" s="140"/>
    </row>
    <row r="76" spans="1:10" x14ac:dyDescent="0.25">
      <c r="A76" s="86" t="s">
        <v>17</v>
      </c>
      <c r="B76" s="87"/>
      <c r="C76" s="87" t="str">
        <f>"за "&amp;LOWER($A$70)</f>
        <v>за октябрь</v>
      </c>
      <c r="D76" s="88">
        <f>COUNTA(окт_пр)</f>
        <v>5</v>
      </c>
      <c r="E76" s="89">
        <f>SUM(окт_кол)</f>
        <v>92410.5</v>
      </c>
      <c r="F76" s="90">
        <f>COUNTA(акт_вх_окт)+COUNTA(акт_отб_окт)</f>
        <v>1</v>
      </c>
      <c r="G76" s="101"/>
      <c r="H76" s="101"/>
      <c r="I76" s="101"/>
      <c r="J76" s="92">
        <f>SUM(кол_отб_окт)</f>
        <v>0</v>
      </c>
    </row>
    <row r="77" spans="1:10" x14ac:dyDescent="0.25">
      <c r="A77" s="249" t="s">
        <v>15</v>
      </c>
      <c r="B77" s="249"/>
      <c r="C77" s="249"/>
      <c r="D77" s="249"/>
      <c r="E77" s="249"/>
      <c r="F77" s="249"/>
      <c r="G77" s="249"/>
      <c r="H77" s="249"/>
      <c r="I77" s="249"/>
      <c r="J77" s="249"/>
    </row>
    <row r="78" spans="1:10" ht="30" x14ac:dyDescent="0.25">
      <c r="A78" s="114">
        <v>41</v>
      </c>
      <c r="B78" s="189" t="s">
        <v>257</v>
      </c>
      <c r="C78" s="145" t="s">
        <v>283</v>
      </c>
      <c r="D78" s="97">
        <v>43775</v>
      </c>
      <c r="E78" s="96">
        <v>18649</v>
      </c>
      <c r="F78" s="227"/>
      <c r="G78" s="227"/>
      <c r="H78" s="140"/>
      <c r="I78" s="140"/>
      <c r="J78" s="140"/>
    </row>
    <row r="79" spans="1:10" outlineLevel="1" x14ac:dyDescent="0.25">
      <c r="A79" s="114">
        <v>42</v>
      </c>
      <c r="B79" s="189" t="s">
        <v>69</v>
      </c>
      <c r="C79" s="145">
        <v>270.27100000000002</v>
      </c>
      <c r="D79" s="97">
        <v>43776</v>
      </c>
      <c r="E79" s="96">
        <v>17905</v>
      </c>
      <c r="F79" s="227"/>
      <c r="G79" s="227"/>
      <c r="H79" s="140"/>
      <c r="I79" s="140"/>
      <c r="J79" s="140"/>
    </row>
    <row r="80" spans="1:10" outlineLevel="1" x14ac:dyDescent="0.25">
      <c r="A80" s="114">
        <v>43</v>
      </c>
      <c r="B80" s="189" t="s">
        <v>69</v>
      </c>
      <c r="C80" s="145" t="s">
        <v>286</v>
      </c>
      <c r="D80" s="97">
        <v>43788</v>
      </c>
      <c r="E80" s="96">
        <v>17766</v>
      </c>
      <c r="F80" s="227"/>
      <c r="G80" s="227"/>
      <c r="H80" s="140"/>
      <c r="I80" s="140"/>
      <c r="J80" s="140"/>
    </row>
    <row r="81" spans="1:10" outlineLevel="1" x14ac:dyDescent="0.25">
      <c r="A81" s="114">
        <v>44</v>
      </c>
      <c r="B81" s="189" t="s">
        <v>69</v>
      </c>
      <c r="C81" s="145" t="s">
        <v>287</v>
      </c>
      <c r="D81" s="97">
        <v>43791</v>
      </c>
      <c r="E81" s="96">
        <v>17829</v>
      </c>
      <c r="F81" s="227"/>
      <c r="G81" s="227"/>
      <c r="H81" s="140"/>
      <c r="I81" s="140"/>
      <c r="J81" s="140"/>
    </row>
    <row r="82" spans="1:10" outlineLevel="1" x14ac:dyDescent="0.25">
      <c r="A82" s="114">
        <v>45</v>
      </c>
      <c r="B82" s="189" t="s">
        <v>69</v>
      </c>
      <c r="C82" s="145">
        <v>352.35300000000001</v>
      </c>
      <c r="D82" s="97">
        <v>43797</v>
      </c>
      <c r="E82" s="96">
        <v>18443</v>
      </c>
      <c r="F82" s="227"/>
      <c r="G82" s="227"/>
      <c r="H82" s="140"/>
      <c r="I82" s="140"/>
      <c r="J82" s="140"/>
    </row>
    <row r="83" spans="1:10" x14ac:dyDescent="0.25">
      <c r="A83" s="86" t="s">
        <v>17</v>
      </c>
      <c r="B83" s="87"/>
      <c r="C83" s="87" t="str">
        <f>"за "&amp;LOWER($A$77)</f>
        <v>за ноябрь</v>
      </c>
      <c r="D83" s="88">
        <f>COUNTA(нбр_пр)</f>
        <v>5</v>
      </c>
      <c r="E83" s="89">
        <f>SUM(нбр_кол)</f>
        <v>90592</v>
      </c>
      <c r="F83" s="90">
        <f>COUNTA(акт_вх_нбр)+COUNTA(акт_отб_нбр)</f>
        <v>0</v>
      </c>
      <c r="G83" s="101"/>
      <c r="H83" s="101"/>
      <c r="I83" s="101"/>
      <c r="J83" s="92">
        <f>SUM(кол_отб_нбр)</f>
        <v>0</v>
      </c>
    </row>
    <row r="84" spans="1:10" x14ac:dyDescent="0.25">
      <c r="A84" s="249" t="s">
        <v>16</v>
      </c>
      <c r="B84" s="249"/>
      <c r="C84" s="249"/>
      <c r="D84" s="249"/>
      <c r="E84" s="249"/>
      <c r="F84" s="249"/>
      <c r="G84" s="249"/>
      <c r="H84" s="249"/>
      <c r="I84" s="249"/>
      <c r="J84" s="249"/>
    </row>
    <row r="85" spans="1:10" ht="90" x14ac:dyDescent="0.25">
      <c r="A85" s="114">
        <v>46</v>
      </c>
      <c r="B85" s="189" t="s">
        <v>257</v>
      </c>
      <c r="C85" s="145" t="s">
        <v>291</v>
      </c>
      <c r="D85" s="97">
        <v>43805</v>
      </c>
      <c r="E85" s="96">
        <v>18621</v>
      </c>
      <c r="F85" s="227" t="s">
        <v>305</v>
      </c>
      <c r="G85" s="227" t="s">
        <v>306</v>
      </c>
      <c r="H85" s="140"/>
      <c r="I85" s="140"/>
      <c r="J85" s="140"/>
    </row>
    <row r="86" spans="1:10" outlineLevel="1" x14ac:dyDescent="0.25">
      <c r="A86" s="114">
        <v>47</v>
      </c>
      <c r="B86" s="189" t="s">
        <v>69</v>
      </c>
      <c r="C86" s="145" t="s">
        <v>292</v>
      </c>
      <c r="D86" s="97">
        <v>43809</v>
      </c>
      <c r="E86" s="96">
        <v>18759</v>
      </c>
      <c r="F86" s="227"/>
      <c r="G86" s="227"/>
      <c r="H86" s="140"/>
      <c r="I86" s="140"/>
      <c r="J86" s="140"/>
    </row>
    <row r="87" spans="1:10" outlineLevel="1" x14ac:dyDescent="0.25">
      <c r="A87" s="114">
        <v>48</v>
      </c>
      <c r="B87" s="189" t="s">
        <v>69</v>
      </c>
      <c r="C87" s="145">
        <v>355.35599999999999</v>
      </c>
      <c r="D87" s="97">
        <v>43810</v>
      </c>
      <c r="E87" s="96">
        <v>18800</v>
      </c>
      <c r="F87" s="227"/>
      <c r="G87" s="227"/>
      <c r="H87" s="140"/>
      <c r="I87" s="140"/>
      <c r="J87" s="140"/>
    </row>
    <row r="88" spans="1:10" outlineLevel="1" x14ac:dyDescent="0.25">
      <c r="A88" s="114">
        <v>49</v>
      </c>
      <c r="B88" s="229" t="s">
        <v>69</v>
      </c>
      <c r="C88" s="172">
        <v>356.35700000000003</v>
      </c>
      <c r="D88" s="80">
        <v>43811</v>
      </c>
      <c r="E88" s="79">
        <v>18122</v>
      </c>
      <c r="F88" s="109"/>
      <c r="G88" s="109"/>
      <c r="H88" s="140"/>
      <c r="I88" s="140"/>
      <c r="J88" s="140"/>
    </row>
    <row r="89" spans="1:10" outlineLevel="1" x14ac:dyDescent="0.25">
      <c r="A89" s="114">
        <v>50</v>
      </c>
      <c r="B89" s="239" t="s">
        <v>69</v>
      </c>
      <c r="C89" s="172">
        <v>358</v>
      </c>
      <c r="D89" s="80">
        <v>43816</v>
      </c>
      <c r="E89" s="79">
        <v>17706</v>
      </c>
      <c r="F89" s="109"/>
      <c r="G89" s="109"/>
      <c r="H89" s="140"/>
      <c r="I89" s="140"/>
      <c r="J89" s="140"/>
    </row>
    <row r="90" spans="1:10" x14ac:dyDescent="0.25">
      <c r="A90" s="86" t="s">
        <v>17</v>
      </c>
      <c r="B90" s="87"/>
      <c r="C90" s="87" t="str">
        <f>"за "&amp;LOWER($A$84)</f>
        <v>за декабрь</v>
      </c>
      <c r="D90" s="88">
        <f>COUNTA(дкб_пр)</f>
        <v>5</v>
      </c>
      <c r="E90" s="89">
        <f>SUM(дкб_кол)</f>
        <v>92008</v>
      </c>
      <c r="F90" s="90">
        <f>COUNTA(акт_вх_дкб)+COUNTA(акт_отб_дкб)</f>
        <v>1</v>
      </c>
      <c r="G90" s="101"/>
      <c r="H90" s="101"/>
      <c r="I90" s="101"/>
      <c r="J90" s="92">
        <f>SUM(кол_отб_дкб)</f>
        <v>0</v>
      </c>
    </row>
    <row r="91" spans="1:10" ht="32.25" customHeight="1" x14ac:dyDescent="0.25">
      <c r="A91" s="102" t="s">
        <v>17</v>
      </c>
      <c r="B91" s="103"/>
      <c r="C91" s="103" t="s">
        <v>143</v>
      </c>
      <c r="D91" s="104">
        <f>SUM(D76,D83,D90)</f>
        <v>15</v>
      </c>
      <c r="E91" s="105">
        <f>SUM(E76,E83,E90)</f>
        <v>275010.5</v>
      </c>
      <c r="F91" s="106">
        <f>SUM(F76,F83,F90)</f>
        <v>2</v>
      </c>
      <c r="G91" s="103"/>
      <c r="H91" s="103" t="str">
        <f>"Кп= "&amp;ROUNDDOWN((F91/D91)*100,1)&amp;"%"</f>
        <v>Кп= 13,3%</v>
      </c>
      <c r="I91" s="103" t="str">
        <f>"Км= "&amp;ROUNDDOWN((J91/E91)*100,1)&amp;"%"</f>
        <v>Км= 0%</v>
      </c>
      <c r="J91" s="107">
        <f>SUM(J76,J83,J90)</f>
        <v>0</v>
      </c>
    </row>
    <row r="92" spans="1:10" ht="27" customHeight="1" x14ac:dyDescent="0.25">
      <c r="A92" s="102" t="s">
        <v>17</v>
      </c>
      <c r="B92" s="103"/>
      <c r="C92" s="103" t="s">
        <v>145</v>
      </c>
      <c r="D92" s="104">
        <f>SUM(D91,D68)</f>
        <v>50</v>
      </c>
      <c r="E92" s="105">
        <f>SUM(E91,E68)</f>
        <v>910893.5</v>
      </c>
      <c r="F92" s="106">
        <f>SUM(F91,F68)</f>
        <v>2</v>
      </c>
      <c r="G92" s="103"/>
      <c r="H92" s="103" t="str">
        <f>"Кп= "&amp;ROUNDDOWN((F92/D92)*100,1)&amp;"%"</f>
        <v>Кп= 4%</v>
      </c>
      <c r="I92" s="103" t="str">
        <f>"Км= "&amp;ROUNDDOWN((J92/E92)*100,1)&amp;"%"</f>
        <v>Км= 0%</v>
      </c>
      <c r="J92" s="107">
        <f>SUM(J91,J68)</f>
        <v>0</v>
      </c>
    </row>
    <row r="93" spans="1:10" ht="26.25" customHeight="1" x14ac:dyDescent="0.25">
      <c r="A93" s="8"/>
      <c r="B93" s="8"/>
      <c r="C93" s="8"/>
      <c r="D93" s="9"/>
      <c r="E93" s="8"/>
      <c r="F93" s="8"/>
      <c r="G93" s="8"/>
      <c r="H93" s="8"/>
      <c r="I93" s="8"/>
      <c r="J93" s="8"/>
    </row>
    <row r="94" spans="1:10" ht="26.25" customHeight="1" x14ac:dyDescent="0.25">
      <c r="A94" s="8" t="s">
        <v>20</v>
      </c>
      <c r="B94" s="8"/>
      <c r="C94" s="8"/>
      <c r="D94" s="9"/>
      <c r="E94" s="8"/>
      <c r="F94" s="8"/>
      <c r="G94" s="8" t="s">
        <v>21</v>
      </c>
      <c r="H94" s="8"/>
      <c r="I94" s="8"/>
      <c r="J94" s="8"/>
    </row>
  </sheetData>
  <sheetProtection algorithmName="SHA-512" hashValue="iClLqrxqUFpHguR214YgnoYXqzUS6k4gz2fY9/yzjkwgGD21PBUkVXKJ0HBEVGM9635SZ0rvuSYjLjgTjeK1YQ==" saltValue="JQ5+ocEb4DP5tzOIWJ2+3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4:J84"/>
    <mergeCell ref="A6:J6"/>
    <mergeCell ref="A9:J9"/>
    <mergeCell ref="A13:J13"/>
    <mergeCell ref="A20:J20"/>
    <mergeCell ref="A32:J32"/>
    <mergeCell ref="A38:J38"/>
    <mergeCell ref="A49:J49"/>
    <mergeCell ref="A56:J56"/>
    <mergeCell ref="A63:J63"/>
    <mergeCell ref="A70:J70"/>
    <mergeCell ref="A77:J77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Страница 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0D09-DA54-4DA9-A743-5C5F27CAF0F0}">
  <sheetPr codeName="Лист5">
    <pageSetUpPr fitToPage="1"/>
  </sheetPr>
  <dimension ref="A1:N82"/>
  <sheetViews>
    <sheetView zoomScaleNormal="100" workbookViewId="0">
      <pane ySplit="4" topLeftCell="A5" activePane="bottomLeft" state="frozen"/>
      <selection pane="bottomLeft" activeCell="D11" sqref="D11"/>
    </sheetView>
  </sheetViews>
  <sheetFormatPr defaultRowHeight="15" outlineLevelRow="1" x14ac:dyDescent="0.25"/>
  <cols>
    <col min="1" max="1" width="5" customWidth="1"/>
    <col min="2" max="2" width="36.285156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s="82" customFormat="1" ht="15.75" x14ac:dyDescent="0.25">
      <c r="J1" s="83" t="s">
        <v>97</v>
      </c>
    </row>
    <row r="2" spans="1:14" s="82" customFormat="1" ht="33.75" customHeight="1" x14ac:dyDescent="0.25">
      <c r="A2" s="256" t="s">
        <v>303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s="82" customFormat="1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99</v>
      </c>
      <c r="F3" s="257" t="s">
        <v>3</v>
      </c>
      <c r="G3" s="257"/>
      <c r="H3" s="261" t="s">
        <v>2</v>
      </c>
      <c r="I3" s="262"/>
      <c r="J3" s="260" t="s">
        <v>96</v>
      </c>
    </row>
    <row r="4" spans="1:14" s="82" customFormat="1" ht="32.25" customHeight="1" x14ac:dyDescent="0.25">
      <c r="A4" s="257"/>
      <c r="B4" s="259"/>
      <c r="C4" s="257"/>
      <c r="D4" s="257"/>
      <c r="E4" s="257"/>
      <c r="F4" s="224" t="s">
        <v>0</v>
      </c>
      <c r="G4" s="224" t="s">
        <v>4</v>
      </c>
      <c r="H4" s="224" t="s">
        <v>0</v>
      </c>
      <c r="I4" s="224" t="s">
        <v>4</v>
      </c>
      <c r="J4" s="257"/>
    </row>
    <row r="5" spans="1:14" s="82" customFormat="1" ht="14.25" customHeight="1" x14ac:dyDescent="0.25">
      <c r="A5" s="225">
        <v>1</v>
      </c>
      <c r="B5" s="225">
        <v>2</v>
      </c>
      <c r="C5" s="225">
        <v>3</v>
      </c>
      <c r="D5" s="225">
        <v>4</v>
      </c>
      <c r="E5" s="225">
        <v>5</v>
      </c>
      <c r="F5" s="225">
        <v>6</v>
      </c>
      <c r="G5" s="225">
        <v>7</v>
      </c>
      <c r="H5" s="225">
        <v>8</v>
      </c>
      <c r="I5" s="225">
        <v>9</v>
      </c>
      <c r="J5" s="225">
        <v>10</v>
      </c>
      <c r="M5" s="85"/>
    </row>
    <row r="6" spans="1:14" s="82" customFormat="1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s="82" customFormat="1" ht="75" x14ac:dyDescent="0.25">
      <c r="A7" s="114">
        <v>1</v>
      </c>
      <c r="B7" s="78" t="s">
        <v>37</v>
      </c>
      <c r="C7" s="79" t="s">
        <v>110</v>
      </c>
      <c r="D7" s="80">
        <v>43481</v>
      </c>
      <c r="E7" s="79">
        <v>9862</v>
      </c>
      <c r="F7" s="109" t="s">
        <v>116</v>
      </c>
      <c r="G7" s="109" t="s">
        <v>159</v>
      </c>
      <c r="H7" s="273" t="s">
        <v>118</v>
      </c>
      <c r="I7" s="273" t="s">
        <v>221</v>
      </c>
      <c r="J7" s="276">
        <v>440</v>
      </c>
    </row>
    <row r="8" spans="1:14" s="82" customFormat="1" ht="105" outlineLevel="1" x14ac:dyDescent="0.25">
      <c r="A8" s="114">
        <v>2</v>
      </c>
      <c r="B8" s="78" t="s">
        <v>37</v>
      </c>
      <c r="C8" s="79">
        <v>2</v>
      </c>
      <c r="D8" s="80">
        <v>43489</v>
      </c>
      <c r="E8" s="79">
        <v>9886</v>
      </c>
      <c r="F8" s="109" t="s">
        <v>125</v>
      </c>
      <c r="G8" s="109" t="s">
        <v>158</v>
      </c>
      <c r="H8" s="275"/>
      <c r="I8" s="275"/>
      <c r="J8" s="278"/>
    </row>
    <row r="9" spans="1:14" s="1" customFormat="1" ht="21.75" customHeight="1" x14ac:dyDescent="0.25">
      <c r="A9" s="86" t="s">
        <v>17</v>
      </c>
      <c r="B9" s="87"/>
      <c r="C9" s="87" t="str">
        <f>"за "&amp;LOWER($A$6)</f>
        <v>за январь</v>
      </c>
      <c r="D9" s="88">
        <f>COUNTA(янв_пр)</f>
        <v>2</v>
      </c>
      <c r="E9" s="89">
        <f>SUM(янв_кол)</f>
        <v>19748</v>
      </c>
      <c r="F9" s="90">
        <v>2</v>
      </c>
      <c r="G9" s="91"/>
      <c r="H9" s="91"/>
      <c r="I9" s="91"/>
      <c r="J9" s="92">
        <f>SUM(кол_отб_янв)</f>
        <v>440</v>
      </c>
    </row>
    <row r="10" spans="1:14" x14ac:dyDescent="0.25">
      <c r="A10" s="250" t="s">
        <v>6</v>
      </c>
      <c r="B10" s="250"/>
      <c r="C10" s="250"/>
      <c r="D10" s="250"/>
      <c r="E10" s="250"/>
      <c r="F10" s="250"/>
      <c r="G10" s="250"/>
      <c r="H10" s="250"/>
      <c r="I10" s="250"/>
      <c r="J10" s="250"/>
      <c r="L10" s="1"/>
      <c r="M10" s="1"/>
      <c r="N10" s="1"/>
    </row>
    <row r="11" spans="1:14" s="82" customFormat="1" ht="105" customHeight="1" x14ac:dyDescent="0.25">
      <c r="A11" s="114">
        <v>3</v>
      </c>
      <c r="B11" s="78" t="s">
        <v>37</v>
      </c>
      <c r="C11" s="79" t="s">
        <v>111</v>
      </c>
      <c r="D11" s="80">
        <v>43497</v>
      </c>
      <c r="E11" s="79">
        <v>9009</v>
      </c>
      <c r="F11" s="109" t="s">
        <v>127</v>
      </c>
      <c r="G11" s="109" t="s">
        <v>158</v>
      </c>
      <c r="H11" s="273" t="s">
        <v>139</v>
      </c>
      <c r="I11" s="273" t="s">
        <v>222</v>
      </c>
      <c r="J11" s="276">
        <v>385.3</v>
      </c>
      <c r="L11" s="93"/>
      <c r="M11" s="93"/>
      <c r="N11" s="93"/>
    </row>
    <row r="12" spans="1:14" s="82" customFormat="1" ht="135" customHeight="1" outlineLevel="1" x14ac:dyDescent="0.25">
      <c r="A12" s="114">
        <v>4</v>
      </c>
      <c r="B12" s="78" t="s">
        <v>37</v>
      </c>
      <c r="C12" s="79" t="s">
        <v>112</v>
      </c>
      <c r="D12" s="80">
        <v>43507</v>
      </c>
      <c r="E12" s="79">
        <v>9890</v>
      </c>
      <c r="F12" s="110" t="s">
        <v>131</v>
      </c>
      <c r="G12" s="109" t="s">
        <v>156</v>
      </c>
      <c r="H12" s="275"/>
      <c r="I12" s="275"/>
      <c r="J12" s="278"/>
      <c r="L12" s="93"/>
      <c r="M12" s="93"/>
      <c r="N12" s="93"/>
    </row>
    <row r="13" spans="1:14" s="82" customFormat="1" ht="105" customHeight="1" outlineLevel="1" x14ac:dyDescent="0.25">
      <c r="A13" s="114">
        <v>5</v>
      </c>
      <c r="B13" s="78" t="s">
        <v>37</v>
      </c>
      <c r="C13" s="79" t="s">
        <v>113</v>
      </c>
      <c r="D13" s="80">
        <v>43516</v>
      </c>
      <c r="E13" s="79">
        <v>9388</v>
      </c>
      <c r="F13" s="109" t="s">
        <v>135</v>
      </c>
      <c r="G13" s="109" t="s">
        <v>155</v>
      </c>
      <c r="H13" s="227" t="s">
        <v>139</v>
      </c>
      <c r="I13" s="227" t="s">
        <v>223</v>
      </c>
      <c r="J13" s="228"/>
      <c r="L13" s="93"/>
      <c r="M13" s="93"/>
      <c r="N13" s="93"/>
    </row>
    <row r="14" spans="1:14" ht="25.5" customHeight="1" x14ac:dyDescent="0.25">
      <c r="A14" s="86" t="s">
        <v>17</v>
      </c>
      <c r="B14" s="87"/>
      <c r="C14" s="87" t="str">
        <f>"за "&amp;LOWER($A$10)</f>
        <v>за февраль</v>
      </c>
      <c r="D14" s="88">
        <f>COUNTA(фев_пр)</f>
        <v>3</v>
      </c>
      <c r="E14" s="89">
        <f>SUM(фев_кол)</f>
        <v>28287</v>
      </c>
      <c r="F14" s="90">
        <v>3</v>
      </c>
      <c r="G14" s="91"/>
      <c r="H14" s="91"/>
      <c r="I14" s="91"/>
      <c r="J14" s="92">
        <v>385.3</v>
      </c>
      <c r="L14" s="1"/>
      <c r="M14" s="1"/>
      <c r="N14" s="1"/>
    </row>
    <row r="15" spans="1:14" x14ac:dyDescent="0.25">
      <c r="A15" s="249" t="s">
        <v>7</v>
      </c>
      <c r="B15" s="249"/>
      <c r="C15" s="249"/>
      <c r="D15" s="249"/>
      <c r="E15" s="249"/>
      <c r="F15" s="249"/>
      <c r="G15" s="249"/>
      <c r="H15" s="249"/>
      <c r="I15" s="249"/>
      <c r="J15" s="249"/>
      <c r="L15" s="1"/>
      <c r="M15" s="1"/>
      <c r="N15" s="1"/>
    </row>
    <row r="16" spans="1:14" s="82" customFormat="1" ht="60" x14ac:dyDescent="0.25">
      <c r="A16" s="114">
        <v>6</v>
      </c>
      <c r="B16" s="78" t="s">
        <v>37</v>
      </c>
      <c r="C16" s="79" t="s">
        <v>114</v>
      </c>
      <c r="D16" s="80">
        <v>43530</v>
      </c>
      <c r="E16" s="79">
        <v>9890</v>
      </c>
      <c r="F16" s="110" t="s">
        <v>137</v>
      </c>
      <c r="G16" s="109" t="s">
        <v>157</v>
      </c>
      <c r="H16" s="273" t="s">
        <v>164</v>
      </c>
      <c r="I16" s="273" t="s">
        <v>224</v>
      </c>
      <c r="J16" s="276">
        <v>146</v>
      </c>
      <c r="L16" s="93"/>
      <c r="M16" s="93"/>
      <c r="N16" s="93"/>
    </row>
    <row r="17" spans="1:14" s="82" customFormat="1" ht="150" customHeight="1" outlineLevel="1" x14ac:dyDescent="0.25">
      <c r="A17" s="114">
        <v>7</v>
      </c>
      <c r="B17" s="228" t="s">
        <v>37</v>
      </c>
      <c r="C17" s="96" t="s">
        <v>147</v>
      </c>
      <c r="D17" s="97">
        <v>43542</v>
      </c>
      <c r="E17" s="96">
        <v>9898</v>
      </c>
      <c r="F17" s="111" t="s">
        <v>149</v>
      </c>
      <c r="G17" s="109" t="s">
        <v>155</v>
      </c>
      <c r="H17" s="274"/>
      <c r="I17" s="274"/>
      <c r="J17" s="277"/>
      <c r="L17" s="93"/>
      <c r="M17" s="93"/>
      <c r="N17" s="93"/>
    </row>
    <row r="18" spans="1:14" s="82" customFormat="1" ht="60" outlineLevel="1" x14ac:dyDescent="0.25">
      <c r="A18" s="114">
        <v>8</v>
      </c>
      <c r="B18" s="228" t="s">
        <v>37</v>
      </c>
      <c r="C18" s="96" t="s">
        <v>148</v>
      </c>
      <c r="D18" s="97">
        <v>43545</v>
      </c>
      <c r="E18" s="96">
        <v>9908</v>
      </c>
      <c r="F18" s="111" t="s">
        <v>150</v>
      </c>
      <c r="G18" s="109" t="s">
        <v>157</v>
      </c>
      <c r="H18" s="274"/>
      <c r="I18" s="274"/>
      <c r="J18" s="277"/>
      <c r="L18" s="93"/>
      <c r="M18" s="93"/>
      <c r="N18" s="93"/>
    </row>
    <row r="19" spans="1:14" s="82" customFormat="1" ht="60" outlineLevel="1" x14ac:dyDescent="0.25">
      <c r="A19" s="114">
        <v>9</v>
      </c>
      <c r="B19" s="98" t="s">
        <v>37</v>
      </c>
      <c r="C19" s="112" t="s">
        <v>151</v>
      </c>
      <c r="D19" s="100">
        <v>43551</v>
      </c>
      <c r="E19" s="112">
        <v>615</v>
      </c>
      <c r="F19" s="113" t="s">
        <v>152</v>
      </c>
      <c r="G19" s="109" t="s">
        <v>157</v>
      </c>
      <c r="H19" s="275"/>
      <c r="I19" s="275"/>
      <c r="J19" s="278"/>
      <c r="L19" s="93"/>
      <c r="M19" s="93"/>
      <c r="N19" s="93"/>
    </row>
    <row r="20" spans="1:14" ht="24" customHeight="1" x14ac:dyDescent="0.25">
      <c r="A20" s="86" t="s">
        <v>17</v>
      </c>
      <c r="B20" s="87"/>
      <c r="C20" s="87" t="str">
        <f>"за "&amp;LOWER($A$15)</f>
        <v>за март</v>
      </c>
      <c r="D20" s="88">
        <f>COUNTA(мрт_пр)</f>
        <v>4</v>
      </c>
      <c r="E20" s="89">
        <f>SUM(мрт_кол)</f>
        <v>30311</v>
      </c>
      <c r="F20" s="90">
        <v>4</v>
      </c>
      <c r="G20" s="101"/>
      <c r="H20" s="101"/>
      <c r="I20" s="101"/>
      <c r="J20" s="92">
        <f>SUM(кол_отб_мрт)</f>
        <v>146</v>
      </c>
      <c r="L20" s="1"/>
      <c r="M20" s="1"/>
      <c r="N20" s="1"/>
    </row>
    <row r="21" spans="1:14" ht="28.5" customHeight="1" x14ac:dyDescent="0.25">
      <c r="A21" s="102" t="s">
        <v>17</v>
      </c>
      <c r="B21" s="103"/>
      <c r="C21" s="103" t="s">
        <v>18</v>
      </c>
      <c r="D21" s="104">
        <f>SUM(D9,D14,D20)</f>
        <v>9</v>
      </c>
      <c r="E21" s="105">
        <f>SUM(E9,E14,E20)</f>
        <v>78346</v>
      </c>
      <c r="F21" s="106">
        <f>SUM(F9,F14,F20)</f>
        <v>9</v>
      </c>
      <c r="G21" s="103"/>
      <c r="H21" s="103" t="str">
        <f>"Кп= "&amp;ROUNDDOWN((F21/D21)*100,1)&amp;"%"</f>
        <v>Кп= 100%</v>
      </c>
      <c r="I21" s="103" t="str">
        <f>"Км= "&amp;ROUNDDOWN((J21/E21)*100,2)&amp;"%"</f>
        <v>Км= 1,23%</v>
      </c>
      <c r="J21" s="107">
        <f>SUM(J9,J14,J20)</f>
        <v>971.3</v>
      </c>
      <c r="L21" s="1"/>
      <c r="M21" s="1"/>
      <c r="N21" s="1"/>
    </row>
    <row r="22" spans="1:14" ht="31.5" hidden="1" customHeight="1" outlineLevel="1" x14ac:dyDescent="0.25">
      <c r="A22" s="115" t="s">
        <v>20</v>
      </c>
      <c r="B22" s="115"/>
      <c r="C22" s="115"/>
      <c r="D22" s="116"/>
      <c r="E22" s="115"/>
      <c r="F22" s="115"/>
      <c r="G22" s="115" t="s">
        <v>21</v>
      </c>
      <c r="H22" s="115"/>
      <c r="I22" s="115"/>
      <c r="J22" s="115"/>
      <c r="L22" s="1"/>
      <c r="M22" s="1"/>
      <c r="N22" s="1"/>
    </row>
    <row r="23" spans="1:14" collapsed="1" x14ac:dyDescent="0.25">
      <c r="A23" s="250" t="s">
        <v>8</v>
      </c>
      <c r="B23" s="250"/>
      <c r="C23" s="250"/>
      <c r="D23" s="250"/>
      <c r="E23" s="250"/>
      <c r="F23" s="250"/>
      <c r="G23" s="250"/>
      <c r="H23" s="250"/>
      <c r="I23" s="250"/>
      <c r="J23" s="250"/>
      <c r="L23" s="1"/>
      <c r="M23" s="1"/>
      <c r="N23" s="1"/>
    </row>
    <row r="24" spans="1:14" ht="60" x14ac:dyDescent="0.25">
      <c r="A24" s="114">
        <v>10</v>
      </c>
      <c r="B24" s="78" t="s">
        <v>37</v>
      </c>
      <c r="C24" s="172">
        <v>95.96</v>
      </c>
      <c r="D24" s="80">
        <v>43558</v>
      </c>
      <c r="E24" s="172">
        <v>9900</v>
      </c>
      <c r="F24" s="110" t="s">
        <v>169</v>
      </c>
      <c r="G24" s="109" t="s">
        <v>138</v>
      </c>
      <c r="H24" s="263" t="s">
        <v>225</v>
      </c>
      <c r="I24" s="263" t="s">
        <v>226</v>
      </c>
      <c r="J24" s="265">
        <v>242</v>
      </c>
      <c r="L24" s="1"/>
      <c r="M24" s="1"/>
      <c r="N24" s="1"/>
    </row>
    <row r="25" spans="1:14" ht="60" outlineLevel="1" x14ac:dyDescent="0.25">
      <c r="A25" s="173">
        <v>11</v>
      </c>
      <c r="B25" s="228" t="s">
        <v>37</v>
      </c>
      <c r="C25" s="145" t="s">
        <v>167</v>
      </c>
      <c r="D25" s="97">
        <v>43566</v>
      </c>
      <c r="E25" s="145">
        <v>9904</v>
      </c>
      <c r="F25" s="111" t="s">
        <v>170</v>
      </c>
      <c r="G25" s="109" t="s">
        <v>138</v>
      </c>
      <c r="H25" s="264"/>
      <c r="I25" s="264"/>
      <c r="J25" s="266"/>
      <c r="L25" s="1"/>
      <c r="M25" s="1"/>
      <c r="N25" s="1"/>
    </row>
    <row r="26" spans="1:14" ht="60" outlineLevel="1" x14ac:dyDescent="0.25">
      <c r="A26" s="173">
        <v>12</v>
      </c>
      <c r="B26" s="228" t="s">
        <v>37</v>
      </c>
      <c r="C26" s="145">
        <v>114.11499999999999</v>
      </c>
      <c r="D26" s="97">
        <v>43574</v>
      </c>
      <c r="E26" s="145">
        <v>9900</v>
      </c>
      <c r="F26" s="111" t="s">
        <v>171</v>
      </c>
      <c r="G26" s="109" t="s">
        <v>220</v>
      </c>
      <c r="H26" s="264"/>
      <c r="I26" s="264"/>
      <c r="J26" s="266"/>
      <c r="L26" s="1"/>
      <c r="M26" s="1"/>
      <c r="N26" s="1"/>
    </row>
    <row r="27" spans="1:14" outlineLevel="1" x14ac:dyDescent="0.25">
      <c r="A27" s="173">
        <v>13</v>
      </c>
      <c r="B27" s="228" t="s">
        <v>39</v>
      </c>
      <c r="C27" s="145">
        <v>17</v>
      </c>
      <c r="D27" s="97">
        <v>43578</v>
      </c>
      <c r="E27" s="145">
        <v>1046</v>
      </c>
      <c r="F27" s="111"/>
      <c r="G27" s="227"/>
      <c r="H27" s="195"/>
      <c r="I27" s="195"/>
      <c r="J27" s="196"/>
      <c r="L27" s="1"/>
      <c r="M27" s="1"/>
      <c r="N27" s="1"/>
    </row>
    <row r="28" spans="1:14" ht="45" outlineLevel="1" x14ac:dyDescent="0.25">
      <c r="A28" s="173">
        <v>14</v>
      </c>
      <c r="B28" s="228" t="s">
        <v>37</v>
      </c>
      <c r="C28" s="145" t="s">
        <v>173</v>
      </c>
      <c r="D28" s="97">
        <v>43578</v>
      </c>
      <c r="E28" s="145">
        <v>9910</v>
      </c>
      <c r="F28" s="111" t="s">
        <v>177</v>
      </c>
      <c r="G28" s="109" t="s">
        <v>178</v>
      </c>
      <c r="H28" s="263" t="s">
        <v>225</v>
      </c>
      <c r="I28" s="263" t="s">
        <v>226</v>
      </c>
      <c r="J28" s="265"/>
      <c r="L28" s="1"/>
      <c r="M28" s="1"/>
      <c r="N28" s="1"/>
    </row>
    <row r="29" spans="1:14" ht="60" outlineLevel="1" x14ac:dyDescent="0.25">
      <c r="A29" s="173">
        <v>15</v>
      </c>
      <c r="B29" s="228" t="s">
        <v>37</v>
      </c>
      <c r="C29" s="145">
        <v>128.12899999999999</v>
      </c>
      <c r="D29" s="97">
        <v>43580</v>
      </c>
      <c r="E29" s="145">
        <v>9900</v>
      </c>
      <c r="F29" s="111" t="s">
        <v>179</v>
      </c>
      <c r="G29" s="109" t="s">
        <v>220</v>
      </c>
      <c r="H29" s="264"/>
      <c r="I29" s="264"/>
      <c r="J29" s="266"/>
      <c r="L29" s="1"/>
      <c r="M29" s="1"/>
      <c r="N29" s="1"/>
    </row>
    <row r="30" spans="1:14" ht="60" outlineLevel="1" x14ac:dyDescent="0.25">
      <c r="A30" s="78">
        <v>16</v>
      </c>
      <c r="B30" s="98" t="s">
        <v>37</v>
      </c>
      <c r="C30" s="112" t="s">
        <v>176</v>
      </c>
      <c r="D30" s="100">
        <v>43584</v>
      </c>
      <c r="E30" s="112">
        <v>9896</v>
      </c>
      <c r="F30" s="113" t="s">
        <v>182</v>
      </c>
      <c r="G30" s="109" t="s">
        <v>220</v>
      </c>
      <c r="H30" s="264"/>
      <c r="I30" s="264"/>
      <c r="J30" s="266"/>
      <c r="L30" s="1"/>
      <c r="M30" s="1"/>
      <c r="N30" s="1"/>
    </row>
    <row r="31" spans="1:14" x14ac:dyDescent="0.25">
      <c r="A31" s="86" t="s">
        <v>17</v>
      </c>
      <c r="B31" s="87"/>
      <c r="C31" s="87" t="str">
        <f>"за "&amp;LOWER($A$23)</f>
        <v>за апрель</v>
      </c>
      <c r="D31" s="88">
        <f>COUNTA(апр_пр)</f>
        <v>7</v>
      </c>
      <c r="E31" s="89">
        <f>SUM(апр_кол)</f>
        <v>60456</v>
      </c>
      <c r="F31" s="90">
        <f>COUNTA(акт_вх_апр)</f>
        <v>6</v>
      </c>
      <c r="G31" s="101"/>
      <c r="H31" s="193"/>
      <c r="I31" s="193"/>
      <c r="J31" s="194"/>
      <c r="L31" s="1"/>
      <c r="M31" s="1"/>
      <c r="N31" s="1"/>
    </row>
    <row r="32" spans="1:14" x14ac:dyDescent="0.25">
      <c r="A32" s="249" t="s">
        <v>9</v>
      </c>
      <c r="B32" s="249"/>
      <c r="C32" s="249"/>
      <c r="D32" s="249"/>
      <c r="E32" s="249"/>
      <c r="F32" s="249"/>
      <c r="G32" s="249"/>
      <c r="H32" s="249"/>
      <c r="I32" s="249"/>
      <c r="J32" s="249"/>
      <c r="L32" s="1"/>
      <c r="M32" s="1"/>
      <c r="N32" s="1"/>
    </row>
    <row r="33" spans="1:14" ht="45" x14ac:dyDescent="0.25">
      <c r="A33" s="230">
        <v>17</v>
      </c>
      <c r="B33" s="228" t="s">
        <v>37</v>
      </c>
      <c r="C33" s="145" t="s">
        <v>188</v>
      </c>
      <c r="D33" s="97">
        <v>43591</v>
      </c>
      <c r="E33" s="145">
        <v>9886</v>
      </c>
      <c r="F33" s="111" t="s">
        <v>199</v>
      </c>
      <c r="G33" s="109" t="s">
        <v>178</v>
      </c>
      <c r="H33" s="271" t="s">
        <v>225</v>
      </c>
      <c r="I33" s="271" t="s">
        <v>226</v>
      </c>
      <c r="J33" s="272"/>
      <c r="L33" s="1"/>
      <c r="M33" s="1"/>
      <c r="N33" s="1"/>
    </row>
    <row r="34" spans="1:14" ht="60" outlineLevel="1" x14ac:dyDescent="0.25">
      <c r="A34" s="231">
        <v>18</v>
      </c>
      <c r="B34" s="228" t="s">
        <v>37</v>
      </c>
      <c r="C34" s="145" t="s">
        <v>190</v>
      </c>
      <c r="D34" s="97">
        <v>43592</v>
      </c>
      <c r="E34" s="145">
        <v>10150</v>
      </c>
      <c r="F34" s="111" t="s">
        <v>198</v>
      </c>
      <c r="G34" s="109" t="s">
        <v>220</v>
      </c>
      <c r="H34" s="271"/>
      <c r="I34" s="271"/>
      <c r="J34" s="272"/>
      <c r="L34" s="1"/>
      <c r="M34" s="1"/>
      <c r="N34" s="1"/>
    </row>
    <row r="35" spans="1:14" ht="45" outlineLevel="1" x14ac:dyDescent="0.25">
      <c r="A35" s="230">
        <v>19</v>
      </c>
      <c r="B35" s="78" t="s">
        <v>37</v>
      </c>
      <c r="C35" s="172" t="s">
        <v>193</v>
      </c>
      <c r="D35" s="80">
        <v>43601</v>
      </c>
      <c r="E35" s="172">
        <v>10050</v>
      </c>
      <c r="F35" s="110" t="s">
        <v>197</v>
      </c>
      <c r="G35" s="109" t="s">
        <v>178</v>
      </c>
      <c r="H35" s="271"/>
      <c r="I35" s="271"/>
      <c r="J35" s="272"/>
      <c r="L35" s="1"/>
      <c r="M35" s="1"/>
      <c r="N35" s="1"/>
    </row>
    <row r="36" spans="1:14" ht="60" outlineLevel="1" x14ac:dyDescent="0.25">
      <c r="A36" s="231">
        <v>20</v>
      </c>
      <c r="B36" s="98" t="s">
        <v>37</v>
      </c>
      <c r="C36" s="112" t="s">
        <v>194</v>
      </c>
      <c r="D36" s="100">
        <v>43613</v>
      </c>
      <c r="E36" s="112">
        <v>9894</v>
      </c>
      <c r="F36" s="113" t="s">
        <v>195</v>
      </c>
      <c r="G36" s="109" t="s">
        <v>220</v>
      </c>
      <c r="H36" s="271"/>
      <c r="I36" s="271"/>
      <c r="J36" s="272"/>
      <c r="L36" s="1"/>
      <c r="M36" s="1"/>
      <c r="N36" s="1"/>
    </row>
    <row r="37" spans="1:14" x14ac:dyDescent="0.25">
      <c r="A37" s="86" t="s">
        <v>17</v>
      </c>
      <c r="B37" s="87"/>
      <c r="C37" s="87" t="str">
        <f>"за "&amp;LOWER($A$32)</f>
        <v>за май</v>
      </c>
      <c r="D37" s="88">
        <f>COUNTA(май_пр)</f>
        <v>4</v>
      </c>
      <c r="E37" s="89">
        <f>SUM(май_кол)</f>
        <v>39980</v>
      </c>
      <c r="F37" s="90">
        <f>COUNTA(акт_вх_май)</f>
        <v>4</v>
      </c>
      <c r="G37" s="101"/>
      <c r="H37" s="101"/>
      <c r="I37" s="101"/>
      <c r="J37" s="92"/>
    </row>
    <row r="38" spans="1:14" x14ac:dyDescent="0.25">
      <c r="A38" s="249" t="s">
        <v>10</v>
      </c>
      <c r="B38" s="249"/>
      <c r="C38" s="249"/>
      <c r="D38" s="249"/>
      <c r="E38" s="249"/>
      <c r="F38" s="249"/>
      <c r="G38" s="249"/>
      <c r="H38" s="249"/>
      <c r="I38" s="249"/>
      <c r="J38" s="249"/>
    </row>
    <row r="39" spans="1:14" ht="45" x14ac:dyDescent="0.25">
      <c r="A39" s="174">
        <v>21</v>
      </c>
      <c r="B39" s="228" t="s">
        <v>37</v>
      </c>
      <c r="C39" s="145" t="s">
        <v>203</v>
      </c>
      <c r="D39" s="97">
        <v>43623</v>
      </c>
      <c r="E39" s="145">
        <v>10192</v>
      </c>
      <c r="F39" s="111" t="s">
        <v>209</v>
      </c>
      <c r="G39" s="109" t="s">
        <v>178</v>
      </c>
      <c r="H39" s="268" t="s">
        <v>225</v>
      </c>
      <c r="I39" s="263" t="s">
        <v>226</v>
      </c>
      <c r="J39" s="263"/>
    </row>
    <row r="40" spans="1:14" ht="45" outlineLevel="1" x14ac:dyDescent="0.25">
      <c r="A40" s="174">
        <v>22</v>
      </c>
      <c r="B40" s="228" t="s">
        <v>37</v>
      </c>
      <c r="C40" s="145">
        <v>200.19900000000001</v>
      </c>
      <c r="D40" s="97">
        <v>43634</v>
      </c>
      <c r="E40" s="145">
        <v>10248</v>
      </c>
      <c r="F40" s="111" t="s">
        <v>206</v>
      </c>
      <c r="G40" s="227" t="s">
        <v>207</v>
      </c>
      <c r="H40" s="269"/>
      <c r="I40" s="264"/>
      <c r="J40" s="264"/>
    </row>
    <row r="41" spans="1:14" ht="45" outlineLevel="1" x14ac:dyDescent="0.25">
      <c r="A41" s="174">
        <v>23</v>
      </c>
      <c r="B41" s="98" t="s">
        <v>37</v>
      </c>
      <c r="C41" s="112">
        <v>208.209</v>
      </c>
      <c r="D41" s="100">
        <v>43643</v>
      </c>
      <c r="E41" s="112">
        <v>9916</v>
      </c>
      <c r="F41" s="113" t="s">
        <v>208</v>
      </c>
      <c r="G41" s="109" t="s">
        <v>178</v>
      </c>
      <c r="H41" s="270"/>
      <c r="I41" s="267"/>
      <c r="J41" s="267"/>
    </row>
    <row r="42" spans="1:14" x14ac:dyDescent="0.25">
      <c r="A42" s="86" t="s">
        <v>17</v>
      </c>
      <c r="B42" s="87"/>
      <c r="C42" s="87" t="str">
        <f>"за "&amp;LOWER($A$38)</f>
        <v>за июнь</v>
      </c>
      <c r="D42" s="88">
        <f>COUNTA(июн_пр)</f>
        <v>3</v>
      </c>
      <c r="E42" s="89">
        <f>SUM(июн_кол)</f>
        <v>30356</v>
      </c>
      <c r="F42" s="90">
        <f>COUNTA(акт_вх_июн)</f>
        <v>3</v>
      </c>
      <c r="G42" s="101"/>
      <c r="H42" s="101"/>
      <c r="I42" s="101"/>
      <c r="J42" s="92">
        <v>242</v>
      </c>
    </row>
    <row r="43" spans="1:14" ht="31.5" customHeight="1" x14ac:dyDescent="0.25">
      <c r="A43" s="102" t="s">
        <v>17</v>
      </c>
      <c r="B43" s="103"/>
      <c r="C43" s="103" t="s">
        <v>140</v>
      </c>
      <c r="D43" s="104">
        <f>SUM(D31,D37,D42)</f>
        <v>14</v>
      </c>
      <c r="E43" s="105">
        <f>SUM(E31,E37,E42)</f>
        <v>130792</v>
      </c>
      <c r="F43" s="106">
        <f>SUM(F31,F37,F42)</f>
        <v>13</v>
      </c>
      <c r="G43" s="103"/>
      <c r="H43" s="103" t="str">
        <f>"Кп= "&amp;ROUNDDOWN((F43/D43)*100,1)&amp;"%"</f>
        <v>Кп= 92,8%</v>
      </c>
      <c r="I43" s="103" t="str">
        <f>"Км= "&amp;ROUNDDOWN((J43/E43)*100,2)&amp;"%"</f>
        <v>Км= 0,18%</v>
      </c>
      <c r="J43" s="107">
        <f>SUM(J31,J37,J42)</f>
        <v>242</v>
      </c>
    </row>
    <row r="44" spans="1:14" ht="31.5" customHeight="1" x14ac:dyDescent="0.25">
      <c r="A44" s="102" t="s">
        <v>17</v>
      </c>
      <c r="B44" s="103"/>
      <c r="C44" s="103" t="s">
        <v>141</v>
      </c>
      <c r="D44" s="104">
        <f>SUM(D21,D43)</f>
        <v>23</v>
      </c>
      <c r="E44" s="105">
        <f>SUM(E43,E21)</f>
        <v>209138</v>
      </c>
      <c r="F44" s="106">
        <f>SUM(F43,F21)</f>
        <v>22</v>
      </c>
      <c r="G44" s="103"/>
      <c r="H44" s="103" t="str">
        <f>"Кп= "&amp;ROUNDDOWN((F44/D44)*100,1)&amp;"%"</f>
        <v>Кп= 95,6%</v>
      </c>
      <c r="I44" s="103" t="str">
        <f>"Км= "&amp;ROUNDDOWN((J44/E44)*100,2)&amp;"%"</f>
        <v>Км= 0,58%</v>
      </c>
      <c r="J44" s="107">
        <f>SUM(J43,J21)</f>
        <v>1213.3</v>
      </c>
    </row>
    <row r="45" spans="1:14" ht="26.25" hidden="1" customHeight="1" outlineLevel="1" x14ac:dyDescent="0.25">
      <c r="A45" s="208" t="s">
        <v>212</v>
      </c>
      <c r="B45" s="208"/>
      <c r="C45" s="209"/>
      <c r="D45" s="210" t="s">
        <v>20</v>
      </c>
      <c r="E45" s="87"/>
      <c r="F45" s="87"/>
      <c r="G45" s="187" t="s">
        <v>21</v>
      </c>
      <c r="H45" s="87"/>
      <c r="I45" s="87"/>
      <c r="J45" s="211"/>
    </row>
    <row r="46" spans="1:14" ht="26.25" hidden="1" customHeight="1" outlineLevel="1" x14ac:dyDescent="0.25">
      <c r="A46" s="176" t="s">
        <v>213</v>
      </c>
      <c r="B46" s="176"/>
      <c r="C46" s="209"/>
      <c r="D46" s="185" t="s">
        <v>215</v>
      </c>
      <c r="E46" s="127"/>
      <c r="F46" s="106"/>
      <c r="G46" s="187" t="s">
        <v>217</v>
      </c>
      <c r="H46" s="103"/>
      <c r="I46" s="103"/>
      <c r="J46" s="129"/>
    </row>
    <row r="47" spans="1:14" ht="26.25" hidden="1" customHeight="1" outlineLevel="1" x14ac:dyDescent="0.25">
      <c r="A47" s="176" t="s">
        <v>214</v>
      </c>
      <c r="B47" s="94"/>
      <c r="C47" s="237"/>
      <c r="D47" s="87" t="s">
        <v>216</v>
      </c>
      <c r="E47" s="91"/>
      <c r="F47" s="91"/>
      <c r="G47" s="187" t="s">
        <v>218</v>
      </c>
      <c r="H47" s="91"/>
      <c r="I47" s="91"/>
      <c r="J47" s="238"/>
    </row>
    <row r="48" spans="1:14" collapsed="1" x14ac:dyDescent="0.25">
      <c r="A48" s="249" t="s">
        <v>11</v>
      </c>
      <c r="B48" s="249"/>
      <c r="C48" s="249"/>
      <c r="D48" s="249"/>
      <c r="E48" s="249"/>
      <c r="F48" s="249"/>
      <c r="G48" s="249"/>
      <c r="H48" s="249"/>
      <c r="I48" s="249"/>
      <c r="J48" s="249"/>
    </row>
    <row r="49" spans="1:10" s="82" customFormat="1" ht="150" x14ac:dyDescent="0.25">
      <c r="A49" s="174">
        <v>24</v>
      </c>
      <c r="B49" s="228" t="s">
        <v>37</v>
      </c>
      <c r="C49" s="145" t="s">
        <v>227</v>
      </c>
      <c r="D49" s="97">
        <v>43657</v>
      </c>
      <c r="E49" s="145">
        <v>9900</v>
      </c>
      <c r="F49" s="111" t="s">
        <v>237</v>
      </c>
      <c r="G49" s="109" t="s">
        <v>178</v>
      </c>
      <c r="H49" s="227" t="s">
        <v>238</v>
      </c>
      <c r="I49" s="227" t="s">
        <v>239</v>
      </c>
      <c r="J49" s="228"/>
    </row>
    <row r="50" spans="1:10" s="82" customFormat="1" ht="45" outlineLevel="1" x14ac:dyDescent="0.25">
      <c r="A50" s="174">
        <v>25</v>
      </c>
      <c r="B50" s="228" t="s">
        <v>37</v>
      </c>
      <c r="C50" s="145" t="s">
        <v>230</v>
      </c>
      <c r="D50" s="97">
        <v>43664</v>
      </c>
      <c r="E50" s="145">
        <v>10040</v>
      </c>
      <c r="F50" s="111" t="s">
        <v>234</v>
      </c>
      <c r="G50" s="109" t="s">
        <v>178</v>
      </c>
      <c r="H50" s="227"/>
      <c r="I50" s="227"/>
      <c r="J50" s="228"/>
    </row>
    <row r="51" spans="1:10" s="82" customFormat="1" ht="45" outlineLevel="1" x14ac:dyDescent="0.25">
      <c r="A51" s="174">
        <v>26</v>
      </c>
      <c r="B51" s="228" t="s">
        <v>37</v>
      </c>
      <c r="C51" s="145" t="s">
        <v>232</v>
      </c>
      <c r="D51" s="97">
        <v>43671</v>
      </c>
      <c r="E51" s="145">
        <v>9959</v>
      </c>
      <c r="F51" s="111" t="s">
        <v>233</v>
      </c>
      <c r="G51" s="109" t="s">
        <v>178</v>
      </c>
      <c r="H51" s="227"/>
      <c r="I51" s="227"/>
      <c r="J51" s="228"/>
    </row>
    <row r="52" spans="1:10" s="82" customFormat="1" x14ac:dyDescent="0.25">
      <c r="A52" s="86" t="s">
        <v>17</v>
      </c>
      <c r="B52" s="87"/>
      <c r="C52" s="87" t="str">
        <f>"за "&amp;LOWER($A$48)</f>
        <v>за июль</v>
      </c>
      <c r="D52" s="88">
        <f>COUNTA(июл_пр)</f>
        <v>3</v>
      </c>
      <c r="E52" s="89">
        <f>SUM(июл_кол)</f>
        <v>29899</v>
      </c>
      <c r="F52" s="90">
        <v>3</v>
      </c>
      <c r="G52" s="101"/>
      <c r="H52" s="101"/>
      <c r="I52" s="101"/>
      <c r="J52" s="92">
        <f>SUM(кол_отб_июл)</f>
        <v>0</v>
      </c>
    </row>
    <row r="53" spans="1:10" x14ac:dyDescent="0.25">
      <c r="A53" s="249" t="s">
        <v>13</v>
      </c>
      <c r="B53" s="249"/>
      <c r="C53" s="249"/>
      <c r="D53" s="249"/>
      <c r="E53" s="249"/>
      <c r="F53" s="249"/>
      <c r="G53" s="249"/>
      <c r="H53" s="249"/>
      <c r="I53" s="249"/>
      <c r="J53" s="249"/>
    </row>
    <row r="54" spans="1:10" s="82" customFormat="1" ht="45" x14ac:dyDescent="0.25">
      <c r="A54" s="174">
        <v>27</v>
      </c>
      <c r="B54" s="228" t="s">
        <v>37</v>
      </c>
      <c r="C54" s="145">
        <v>283</v>
      </c>
      <c r="D54" s="97">
        <v>43689</v>
      </c>
      <c r="E54" s="145">
        <v>9904</v>
      </c>
      <c r="F54" s="111" t="s">
        <v>247</v>
      </c>
      <c r="G54" s="109" t="s">
        <v>178</v>
      </c>
      <c r="H54" s="140"/>
      <c r="I54" s="140"/>
      <c r="J54" s="140"/>
    </row>
    <row r="55" spans="1:10" s="82" customFormat="1" ht="150" outlineLevel="1" x14ac:dyDescent="0.25">
      <c r="A55" s="174">
        <v>28</v>
      </c>
      <c r="B55" s="228" t="s">
        <v>37</v>
      </c>
      <c r="C55" s="145" t="s">
        <v>253</v>
      </c>
      <c r="D55" s="97">
        <v>43697</v>
      </c>
      <c r="E55" s="145">
        <v>9944</v>
      </c>
      <c r="F55" s="111" t="s">
        <v>254</v>
      </c>
      <c r="G55" s="227" t="s">
        <v>255</v>
      </c>
      <c r="H55" s="227" t="s">
        <v>307</v>
      </c>
      <c r="I55" s="227" t="s">
        <v>322</v>
      </c>
      <c r="J55" s="189"/>
    </row>
    <row r="56" spans="1:10" s="82" customFormat="1" x14ac:dyDescent="0.25">
      <c r="A56" s="86" t="s">
        <v>17</v>
      </c>
      <c r="B56" s="87"/>
      <c r="C56" s="87" t="str">
        <f>"за "&amp;LOWER($A$53)</f>
        <v>за август</v>
      </c>
      <c r="D56" s="88">
        <f>COUNTA(авг_пр)</f>
        <v>2</v>
      </c>
      <c r="E56" s="89">
        <f>SUM(авг_кол)</f>
        <v>19848</v>
      </c>
      <c r="F56" s="90">
        <v>2</v>
      </c>
      <c r="G56" s="101"/>
      <c r="H56" s="101"/>
      <c r="I56" s="101"/>
      <c r="J56" s="92">
        <f>SUM(кол_отб_авг)</f>
        <v>0</v>
      </c>
    </row>
    <row r="57" spans="1:10" x14ac:dyDescent="0.25">
      <c r="A57" s="249" t="s">
        <v>12</v>
      </c>
      <c r="B57" s="249"/>
      <c r="C57" s="249"/>
      <c r="D57" s="249"/>
      <c r="E57" s="249"/>
      <c r="F57" s="249"/>
      <c r="G57" s="249"/>
      <c r="H57" s="249"/>
      <c r="I57" s="249"/>
      <c r="J57" s="249"/>
    </row>
    <row r="58" spans="1:10" s="82" customFormat="1" ht="150" x14ac:dyDescent="0.25">
      <c r="A58" s="174">
        <v>29</v>
      </c>
      <c r="B58" s="228" t="s">
        <v>37</v>
      </c>
      <c r="C58" s="145" t="s">
        <v>262</v>
      </c>
      <c r="D58" s="97">
        <v>43712</v>
      </c>
      <c r="E58" s="145">
        <v>9900</v>
      </c>
      <c r="F58" s="111" t="s">
        <v>263</v>
      </c>
      <c r="G58" s="227" t="s">
        <v>255</v>
      </c>
      <c r="H58" s="125" t="s">
        <v>308</v>
      </c>
      <c r="I58" s="125" t="s">
        <v>323</v>
      </c>
      <c r="J58" s="190"/>
    </row>
    <row r="59" spans="1:10" s="82" customFormat="1" ht="60" outlineLevel="1" x14ac:dyDescent="0.25">
      <c r="A59" s="174">
        <v>30</v>
      </c>
      <c r="B59" s="228" t="s">
        <v>37</v>
      </c>
      <c r="C59" s="145" t="s">
        <v>266</v>
      </c>
      <c r="D59" s="97">
        <v>43718</v>
      </c>
      <c r="E59" s="145">
        <v>10045</v>
      </c>
      <c r="F59" s="111" t="s">
        <v>267</v>
      </c>
      <c r="G59" s="227" t="s">
        <v>255</v>
      </c>
      <c r="H59" s="140"/>
      <c r="I59" s="140"/>
      <c r="J59" s="140"/>
    </row>
    <row r="60" spans="1:10" s="82" customFormat="1" ht="45" outlineLevel="1" x14ac:dyDescent="0.25">
      <c r="A60" s="174">
        <v>31</v>
      </c>
      <c r="B60" s="98" t="s">
        <v>37</v>
      </c>
      <c r="C60" s="112" t="s">
        <v>269</v>
      </c>
      <c r="D60" s="100">
        <v>43725</v>
      </c>
      <c r="E60" s="112">
        <v>9997</v>
      </c>
      <c r="F60" s="113" t="s">
        <v>270</v>
      </c>
      <c r="G60" s="109" t="s">
        <v>178</v>
      </c>
      <c r="H60" s="140"/>
      <c r="I60" s="140"/>
      <c r="J60" s="140"/>
    </row>
    <row r="61" spans="1:10" s="82" customFormat="1" x14ac:dyDescent="0.25">
      <c r="A61" s="86" t="s">
        <v>17</v>
      </c>
      <c r="B61" s="87"/>
      <c r="C61" s="87" t="str">
        <f>"за "&amp;LOWER($A$57)</f>
        <v>за сентябрь</v>
      </c>
      <c r="D61" s="88">
        <f>COUNTA(снт_пр)</f>
        <v>3</v>
      </c>
      <c r="E61" s="89">
        <f>SUM(снт_кол)</f>
        <v>29942</v>
      </c>
      <c r="F61" s="90">
        <v>3</v>
      </c>
      <c r="G61" s="101"/>
      <c r="H61" s="101"/>
      <c r="I61" s="101"/>
      <c r="J61" s="92">
        <f>SUM(кол_отб_снт)</f>
        <v>0</v>
      </c>
    </row>
    <row r="62" spans="1:10" s="82" customFormat="1" ht="30" customHeight="1" x14ac:dyDescent="0.25">
      <c r="A62" s="102" t="s">
        <v>17</v>
      </c>
      <c r="B62" s="103"/>
      <c r="C62" s="103" t="s">
        <v>142</v>
      </c>
      <c r="D62" s="104">
        <f>SUM(D52,D56,D61)</f>
        <v>8</v>
      </c>
      <c r="E62" s="105">
        <f>SUM(E52,E56,E61)</f>
        <v>79689</v>
      </c>
      <c r="F62" s="106">
        <f>SUM(F52,F56,F61)</f>
        <v>8</v>
      </c>
      <c r="G62" s="103"/>
      <c r="H62" s="103" t="str">
        <f>"Кп= "&amp;ROUNDDOWN((F62/D62)*100,1)&amp;"%"</f>
        <v>Кп= 100%</v>
      </c>
      <c r="I62" s="103" t="str">
        <f>"Км= "&amp;ROUNDDOWN((J62/E62)*100,1)&amp;"%"</f>
        <v>Км= 0%</v>
      </c>
      <c r="J62" s="107">
        <f>SUM(J52,J56,J61)</f>
        <v>0</v>
      </c>
    </row>
    <row r="63" spans="1:10" s="82" customFormat="1" ht="30" customHeight="1" x14ac:dyDescent="0.25">
      <c r="A63" s="102" t="s">
        <v>17</v>
      </c>
      <c r="B63" s="103"/>
      <c r="C63" s="103" t="s">
        <v>144</v>
      </c>
      <c r="D63" s="104">
        <f>SUM(D44,D62)</f>
        <v>31</v>
      </c>
      <c r="E63" s="105">
        <f>SUM(E62,E44)</f>
        <v>288827</v>
      </c>
      <c r="F63" s="106">
        <f>SUM(F62,F44)</f>
        <v>30</v>
      </c>
      <c r="G63" s="103"/>
      <c r="H63" s="103" t="str">
        <f>"Кп= "&amp;ROUNDDOWN((F63/D63)*100,1)&amp;"%"</f>
        <v>Кп= 96,7%</v>
      </c>
      <c r="I63" s="103" t="str">
        <f>"Км= "&amp;ROUNDDOWN((J63/E63)*100,1)&amp;"%"</f>
        <v>Км= 0,4%</v>
      </c>
      <c r="J63" s="107">
        <f>SUM(J62,J44)</f>
        <v>1213.3</v>
      </c>
    </row>
    <row r="64" spans="1:10" ht="24.75" hidden="1" customHeight="1" outlineLevel="1" x14ac:dyDescent="0.25">
      <c r="A64" s="115" t="s">
        <v>20</v>
      </c>
      <c r="B64" s="115"/>
      <c r="C64" s="115"/>
      <c r="D64" s="116"/>
      <c r="E64" s="115"/>
      <c r="F64" s="115"/>
      <c r="G64" s="115" t="s">
        <v>21</v>
      </c>
      <c r="H64" s="115"/>
      <c r="I64" s="115"/>
      <c r="J64" s="115"/>
    </row>
    <row r="65" spans="1:10" ht="15" customHeight="1" collapsed="1" x14ac:dyDescent="0.25">
      <c r="A65" s="249" t="s">
        <v>14</v>
      </c>
      <c r="B65" s="249"/>
      <c r="C65" s="249"/>
      <c r="D65" s="249"/>
      <c r="E65" s="249"/>
      <c r="F65" s="249"/>
      <c r="G65" s="249"/>
      <c r="H65" s="249"/>
      <c r="I65" s="249"/>
      <c r="J65" s="249"/>
    </row>
    <row r="66" spans="1:10" ht="60" x14ac:dyDescent="0.25">
      <c r="A66" s="174">
        <v>32</v>
      </c>
      <c r="B66" s="228" t="s">
        <v>37</v>
      </c>
      <c r="C66" s="145" t="s">
        <v>273</v>
      </c>
      <c r="D66" s="97">
        <v>43742</v>
      </c>
      <c r="E66" s="96">
        <v>9902</v>
      </c>
      <c r="F66" s="111" t="s">
        <v>274</v>
      </c>
      <c r="G66" s="227" t="s">
        <v>255</v>
      </c>
      <c r="H66" s="140"/>
      <c r="I66" s="140"/>
      <c r="J66" s="140"/>
    </row>
    <row r="67" spans="1:10" ht="45" outlineLevel="1" x14ac:dyDescent="0.25">
      <c r="A67" s="174">
        <v>33</v>
      </c>
      <c r="B67" s="228" t="s">
        <v>37</v>
      </c>
      <c r="C67" s="145" t="s">
        <v>276</v>
      </c>
      <c r="D67" s="97">
        <v>43748</v>
      </c>
      <c r="E67" s="96">
        <v>9896</v>
      </c>
      <c r="F67" s="111" t="s">
        <v>277</v>
      </c>
      <c r="G67" s="109" t="s">
        <v>178</v>
      </c>
      <c r="H67" s="140"/>
      <c r="I67" s="140"/>
      <c r="J67" s="140"/>
    </row>
    <row r="68" spans="1:10" ht="45" outlineLevel="1" x14ac:dyDescent="0.25">
      <c r="A68" s="174">
        <v>34</v>
      </c>
      <c r="B68" s="228" t="s">
        <v>37</v>
      </c>
      <c r="C68" s="145" t="s">
        <v>282</v>
      </c>
      <c r="D68" s="97">
        <v>43762</v>
      </c>
      <c r="E68" s="96">
        <v>9992</v>
      </c>
      <c r="F68" s="111" t="s">
        <v>302</v>
      </c>
      <c r="G68" s="109" t="s">
        <v>178</v>
      </c>
      <c r="H68" s="140"/>
      <c r="I68" s="140"/>
      <c r="J68" s="140"/>
    </row>
    <row r="69" spans="1:10" x14ac:dyDescent="0.25">
      <c r="A69" s="86" t="s">
        <v>17</v>
      </c>
      <c r="B69" s="87"/>
      <c r="C69" s="87" t="str">
        <f>"за "&amp;LOWER($A$65)</f>
        <v>за октябрь</v>
      </c>
      <c r="D69" s="88">
        <f>COUNTA(окт_пр)</f>
        <v>3</v>
      </c>
      <c r="E69" s="89">
        <f>SUM(окт_кол)</f>
        <v>29790</v>
      </c>
      <c r="F69" s="90">
        <f>COUNTA(акт_вх_окт)+COUNTA(акт_отб_окт)</f>
        <v>3</v>
      </c>
      <c r="G69" s="101"/>
      <c r="H69" s="101"/>
      <c r="I69" s="101"/>
      <c r="J69" s="92">
        <f>SUM(кол_отб_окт)</f>
        <v>0</v>
      </c>
    </row>
    <row r="70" spans="1:10" x14ac:dyDescent="0.25">
      <c r="A70" s="249" t="s">
        <v>15</v>
      </c>
      <c r="B70" s="249"/>
      <c r="C70" s="249"/>
      <c r="D70" s="249"/>
      <c r="E70" s="249"/>
      <c r="F70" s="249"/>
      <c r="G70" s="249"/>
      <c r="H70" s="249"/>
      <c r="I70" s="249"/>
      <c r="J70" s="249"/>
    </row>
    <row r="71" spans="1:10" ht="60" x14ac:dyDescent="0.25">
      <c r="A71" s="174">
        <v>35</v>
      </c>
      <c r="B71" s="228" t="s">
        <v>37</v>
      </c>
      <c r="C71" s="145" t="s">
        <v>284</v>
      </c>
      <c r="D71" s="97">
        <v>43780</v>
      </c>
      <c r="E71" s="96">
        <v>10002</v>
      </c>
      <c r="F71" s="111" t="s">
        <v>285</v>
      </c>
      <c r="G71" s="227" t="s">
        <v>255</v>
      </c>
      <c r="H71" s="140"/>
      <c r="I71" s="140"/>
      <c r="J71" s="140"/>
    </row>
    <row r="72" spans="1:10" ht="45" outlineLevel="1" x14ac:dyDescent="0.25">
      <c r="A72" s="174">
        <v>36</v>
      </c>
      <c r="B72" s="228" t="s">
        <v>37</v>
      </c>
      <c r="C72" s="145">
        <v>450.45100000000002</v>
      </c>
      <c r="D72" s="97">
        <v>43791</v>
      </c>
      <c r="E72" s="96">
        <v>9900</v>
      </c>
      <c r="F72" s="111" t="s">
        <v>288</v>
      </c>
      <c r="G72" s="109" t="s">
        <v>178</v>
      </c>
      <c r="H72" s="140"/>
      <c r="I72" s="140"/>
      <c r="J72" s="140"/>
    </row>
    <row r="73" spans="1:10" ht="60" outlineLevel="1" x14ac:dyDescent="0.25">
      <c r="A73" s="174">
        <v>37</v>
      </c>
      <c r="B73" s="228" t="s">
        <v>37</v>
      </c>
      <c r="C73" s="145" t="s">
        <v>289</v>
      </c>
      <c r="D73" s="97">
        <v>43797</v>
      </c>
      <c r="E73" s="96">
        <v>10300</v>
      </c>
      <c r="F73" s="111" t="s">
        <v>290</v>
      </c>
      <c r="G73" s="227" t="s">
        <v>255</v>
      </c>
      <c r="H73" s="140"/>
      <c r="I73" s="140"/>
      <c r="J73" s="140"/>
    </row>
    <row r="74" spans="1:10" x14ac:dyDescent="0.25">
      <c r="A74" s="86" t="s">
        <v>17</v>
      </c>
      <c r="B74" s="87"/>
      <c r="C74" s="87" t="str">
        <f>"за "&amp;LOWER($A$70)</f>
        <v>за ноябрь</v>
      </c>
      <c r="D74" s="88">
        <f>COUNTA(нбр_пр)</f>
        <v>3</v>
      </c>
      <c r="E74" s="89">
        <f>SUM(нбр_кол)</f>
        <v>30202</v>
      </c>
      <c r="F74" s="90">
        <f>COUNTA(акт_вх_нбр)+COUNTA(акт_отб_нбр)</f>
        <v>3</v>
      </c>
      <c r="G74" s="101"/>
      <c r="H74" s="101"/>
      <c r="I74" s="101"/>
      <c r="J74" s="92">
        <f>SUM(кол_отб_нбр)</f>
        <v>0</v>
      </c>
    </row>
    <row r="75" spans="1:10" x14ac:dyDescent="0.25">
      <c r="A75" s="249" t="s">
        <v>16</v>
      </c>
      <c r="B75" s="249"/>
      <c r="C75" s="249"/>
      <c r="D75" s="249"/>
      <c r="E75" s="249"/>
      <c r="F75" s="249"/>
      <c r="G75" s="249"/>
      <c r="H75" s="249"/>
      <c r="I75" s="249"/>
      <c r="J75" s="249"/>
    </row>
    <row r="76" spans="1:10" ht="60" x14ac:dyDescent="0.25">
      <c r="A76" s="174">
        <v>38</v>
      </c>
      <c r="B76" s="223" t="s">
        <v>37</v>
      </c>
      <c r="C76" s="172" t="s">
        <v>293</v>
      </c>
      <c r="D76" s="80">
        <v>43815</v>
      </c>
      <c r="E76" s="79">
        <v>10143</v>
      </c>
      <c r="F76" s="110" t="s">
        <v>294</v>
      </c>
      <c r="G76" s="109" t="s">
        <v>255</v>
      </c>
      <c r="H76" s="140"/>
      <c r="I76" s="140"/>
      <c r="J76" s="140"/>
    </row>
    <row r="77" spans="1:10" ht="150" outlineLevel="1" x14ac:dyDescent="0.25">
      <c r="A77" s="174">
        <v>39</v>
      </c>
      <c r="B77" s="174" t="s">
        <v>37</v>
      </c>
      <c r="C77" s="172">
        <v>478.47899999999998</v>
      </c>
      <c r="D77" s="80">
        <v>43823</v>
      </c>
      <c r="E77" s="79">
        <v>10000</v>
      </c>
      <c r="F77" s="110" t="s">
        <v>295</v>
      </c>
      <c r="G77" s="109" t="s">
        <v>255</v>
      </c>
      <c r="H77" s="75" t="s">
        <v>316</v>
      </c>
      <c r="I77" s="75" t="s">
        <v>317</v>
      </c>
      <c r="J77" s="234">
        <v>243</v>
      </c>
    </row>
    <row r="78" spans="1:10" x14ac:dyDescent="0.25">
      <c r="A78" s="86" t="s">
        <v>17</v>
      </c>
      <c r="B78" s="87"/>
      <c r="C78" s="87" t="str">
        <f>"за "&amp;LOWER($A$75)</f>
        <v>за декабрь</v>
      </c>
      <c r="D78" s="88">
        <f>COUNTA(дкб_пр)</f>
        <v>2</v>
      </c>
      <c r="E78" s="89">
        <f>SUM(дкб_кол)</f>
        <v>20143</v>
      </c>
      <c r="F78" s="90">
        <v>2</v>
      </c>
      <c r="G78" s="101"/>
      <c r="H78" s="101"/>
      <c r="I78" s="101"/>
      <c r="J78" s="92">
        <f>SUM(кол_отб_дкб)</f>
        <v>243</v>
      </c>
    </row>
    <row r="79" spans="1:10" ht="32.25" customHeight="1" x14ac:dyDescent="0.25">
      <c r="A79" s="102" t="s">
        <v>17</v>
      </c>
      <c r="B79" s="103"/>
      <c r="C79" s="103" t="s">
        <v>143</v>
      </c>
      <c r="D79" s="104">
        <f>SUM(D69,D74,D78)</f>
        <v>8</v>
      </c>
      <c r="E79" s="105">
        <f>SUM(E69,E74,E78)</f>
        <v>80135</v>
      </c>
      <c r="F79" s="106">
        <f>SUM(F69,F74,F78)</f>
        <v>8</v>
      </c>
      <c r="G79" s="103"/>
      <c r="H79" s="103" t="str">
        <f>"Кп= "&amp;ROUNDDOWN((F79/D79)*100,1)&amp;"%"</f>
        <v>Кп= 100%</v>
      </c>
      <c r="I79" s="103" t="str">
        <f>"Км= "&amp;ROUNDDOWN((J79/E79)*100,1)&amp;"%"</f>
        <v>Км= 0,3%</v>
      </c>
      <c r="J79" s="107">
        <f>SUM(J69,J74,J78)</f>
        <v>243</v>
      </c>
    </row>
    <row r="80" spans="1:10" ht="27" customHeight="1" x14ac:dyDescent="0.25">
      <c r="A80" s="102" t="s">
        <v>17</v>
      </c>
      <c r="B80" s="103"/>
      <c r="C80" s="103" t="s">
        <v>145</v>
      </c>
      <c r="D80" s="104">
        <f>SUM(D79,D63)</f>
        <v>39</v>
      </c>
      <c r="E80" s="105">
        <f>SUM(E79,E63)</f>
        <v>368962</v>
      </c>
      <c r="F80" s="106">
        <f>SUM(F79,F63)</f>
        <v>38</v>
      </c>
      <c r="G80" s="103"/>
      <c r="H80" s="103" t="str">
        <f>"Кп= "&amp;ROUNDDOWN((F80/D80)*100,1)&amp;"%"</f>
        <v>Кп= 97,4%</v>
      </c>
      <c r="I80" s="103" t="str">
        <f>"Км= "&amp;ROUNDDOWN((J80/E80)*100,1)&amp;"%"</f>
        <v>Км= 0,3%</v>
      </c>
      <c r="J80" s="107">
        <f>SUM(J79,J63)</f>
        <v>1456.3</v>
      </c>
    </row>
    <row r="81" spans="1:10" ht="26.25" customHeight="1" x14ac:dyDescent="0.25">
      <c r="A81" s="115"/>
      <c r="B81" s="115"/>
      <c r="C81" s="115"/>
      <c r="D81" s="116"/>
      <c r="E81" s="115"/>
      <c r="F81" s="115"/>
      <c r="G81" s="115"/>
      <c r="H81" s="115"/>
      <c r="I81" s="115"/>
      <c r="J81" s="115"/>
    </row>
    <row r="82" spans="1:10" ht="26.25" customHeight="1" x14ac:dyDescent="0.25">
      <c r="A82" s="115" t="s">
        <v>20</v>
      </c>
      <c r="B82" s="115"/>
      <c r="C82" s="115"/>
      <c r="D82" s="116"/>
      <c r="E82" s="115"/>
      <c r="F82" s="115"/>
      <c r="G82" s="115" t="s">
        <v>21</v>
      </c>
      <c r="H82" s="115"/>
      <c r="I82" s="115"/>
      <c r="J82" s="115"/>
    </row>
  </sheetData>
  <sheetProtection algorithmName="SHA-512" hashValue="Lc3R2AG+6ykyJYrlfS/N181UDXKKrHzOb7+fa6mqCe0jAgwv+kYp/lfk02K5GXr3PnBGW2CauJQ0KX0zUULiAg==" saltValue="Yx63HWbsT4pDvZ+F6ykQkw==" spinCount="100000" sheet="1" formatCells="0" formatColumns="0" formatRows="0" insertColumns="0" insertRows="0" insertHyperlinks="0" deleteColumns="0" deleteRows="0" sort="0" autoFilter="0" pivotTables="0"/>
  <mergeCells count="42">
    <mergeCell ref="A75:J75"/>
    <mergeCell ref="A6:J6"/>
    <mergeCell ref="A10:J10"/>
    <mergeCell ref="A15:J15"/>
    <mergeCell ref="A23:J23"/>
    <mergeCell ref="A32:J32"/>
    <mergeCell ref="A38:J38"/>
    <mergeCell ref="A48:J48"/>
    <mergeCell ref="A53:J53"/>
    <mergeCell ref="A57:J57"/>
    <mergeCell ref="A65:J65"/>
    <mergeCell ref="A70:J70"/>
    <mergeCell ref="H7:H8"/>
    <mergeCell ref="I7:I8"/>
    <mergeCell ref="J7:J8"/>
    <mergeCell ref="H16:H19"/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I16:I19"/>
    <mergeCell ref="J16:J19"/>
    <mergeCell ref="H11:H12"/>
    <mergeCell ref="I11:I12"/>
    <mergeCell ref="J11:J12"/>
    <mergeCell ref="J39:J41"/>
    <mergeCell ref="H39:H41"/>
    <mergeCell ref="I39:I41"/>
    <mergeCell ref="H33:H36"/>
    <mergeCell ref="I33:I36"/>
    <mergeCell ref="J33:J36"/>
    <mergeCell ref="H24:H26"/>
    <mergeCell ref="H28:H30"/>
    <mergeCell ref="I24:I26"/>
    <mergeCell ref="J24:J26"/>
    <mergeCell ref="I28:I30"/>
    <mergeCell ref="J28:J30"/>
  </mergeCells>
  <printOptions horizontalCentered="1" verticalCentered="1"/>
  <pageMargins left="0.7" right="0.7" top="0.75" bottom="0.75" header="0.3" footer="0.3"/>
  <pageSetup paperSize="9" scale="79" fitToHeight="0" orientation="landscape" r:id="rId1"/>
  <headerFooter>
    <oddFooter>Страница  &amp;P из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B49E6-BF88-479C-9B75-55FC4D60720B}">
  <sheetPr codeName="Лист6">
    <pageSetUpPr fitToPage="1"/>
  </sheetPr>
  <dimension ref="A1:N91"/>
  <sheetViews>
    <sheetView zoomScale="85" zoomScaleNormal="85" workbookViewId="0">
      <pane ySplit="4" topLeftCell="A5" activePane="bottomLeft" state="frozen"/>
      <selection activeCell="J16" sqref="J16:J19"/>
      <selection pane="bottomLeft" activeCell="E55" sqref="E55"/>
    </sheetView>
  </sheetViews>
  <sheetFormatPr defaultRowHeight="15" outlineLevelRow="1" x14ac:dyDescent="0.25"/>
  <cols>
    <col min="1" max="1" width="5" customWidth="1"/>
    <col min="2" max="2" width="33.71093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82"/>
      <c r="B1" s="82"/>
      <c r="C1" s="82"/>
      <c r="D1" s="82"/>
      <c r="E1" s="82"/>
      <c r="F1" s="82"/>
      <c r="G1" s="82"/>
      <c r="H1" s="82"/>
      <c r="I1" s="82"/>
      <c r="J1" s="83" t="s">
        <v>97</v>
      </c>
    </row>
    <row r="2" spans="1:14" ht="33.75" customHeight="1" x14ac:dyDescent="0.25">
      <c r="A2" s="256" t="s">
        <v>301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99</v>
      </c>
      <c r="F3" s="257" t="s">
        <v>3</v>
      </c>
      <c r="G3" s="257"/>
      <c r="H3" s="261" t="s">
        <v>2</v>
      </c>
      <c r="I3" s="262"/>
      <c r="J3" s="260" t="s">
        <v>96</v>
      </c>
    </row>
    <row r="4" spans="1:14" ht="32.25" customHeight="1" x14ac:dyDescent="0.25">
      <c r="A4" s="257"/>
      <c r="B4" s="259"/>
      <c r="C4" s="257"/>
      <c r="D4" s="257"/>
      <c r="E4" s="257"/>
      <c r="F4" s="224" t="s">
        <v>0</v>
      </c>
      <c r="G4" s="224" t="s">
        <v>4</v>
      </c>
      <c r="H4" s="224" t="s">
        <v>0</v>
      </c>
      <c r="I4" s="224" t="s">
        <v>4</v>
      </c>
      <c r="J4" s="257"/>
    </row>
    <row r="5" spans="1:14" ht="14.25" customHeight="1" x14ac:dyDescent="0.25">
      <c r="A5" s="225">
        <v>1</v>
      </c>
      <c r="B5" s="225">
        <v>2</v>
      </c>
      <c r="C5" s="225">
        <v>3</v>
      </c>
      <c r="D5" s="225">
        <v>4</v>
      </c>
      <c r="E5" s="225">
        <v>5</v>
      </c>
      <c r="F5" s="225">
        <v>6</v>
      </c>
      <c r="G5" s="225">
        <v>7</v>
      </c>
      <c r="H5" s="225">
        <v>8</v>
      </c>
      <c r="I5" s="225">
        <v>9</v>
      </c>
      <c r="J5" s="225">
        <v>10</v>
      </c>
      <c r="M5" s="18"/>
    </row>
    <row r="6" spans="1:14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ht="120" x14ac:dyDescent="0.25">
      <c r="A7" s="114">
        <v>1</v>
      </c>
      <c r="B7" s="78" t="s">
        <v>31</v>
      </c>
      <c r="C7" s="79" t="s">
        <v>108</v>
      </c>
      <c r="D7" s="80">
        <v>43488</v>
      </c>
      <c r="E7" s="79">
        <v>19959</v>
      </c>
      <c r="F7" s="109" t="s">
        <v>123</v>
      </c>
      <c r="G7" s="109" t="s">
        <v>160</v>
      </c>
      <c r="H7" s="109"/>
      <c r="I7" s="109"/>
      <c r="J7" s="78"/>
    </row>
    <row r="8" spans="1:14" s="1" customFormat="1" x14ac:dyDescent="0.25">
      <c r="A8" s="86" t="s">
        <v>17</v>
      </c>
      <c r="B8" s="87"/>
      <c r="C8" s="87" t="str">
        <f>"за "&amp;LOWER($A$6)</f>
        <v>за январь</v>
      </c>
      <c r="D8" s="88">
        <f>COUNTA(янв_пр)</f>
        <v>1</v>
      </c>
      <c r="E8" s="89">
        <f>SUM(янв_кол)</f>
        <v>19959</v>
      </c>
      <c r="F8" s="90">
        <f>COUNTA(акт_вх_янв)+COUNTA(акт_отб_янв)</f>
        <v>1</v>
      </c>
      <c r="G8" s="91"/>
      <c r="H8" s="91"/>
      <c r="I8" s="91"/>
      <c r="J8" s="92">
        <f>SUM(кол_отб_янв)</f>
        <v>0</v>
      </c>
    </row>
    <row r="9" spans="1:14" x14ac:dyDescent="0.25">
      <c r="A9" s="250" t="s">
        <v>6</v>
      </c>
      <c r="B9" s="250"/>
      <c r="C9" s="250"/>
      <c r="D9" s="250"/>
      <c r="E9" s="250"/>
      <c r="F9" s="250"/>
      <c r="G9" s="250"/>
      <c r="H9" s="250"/>
      <c r="I9" s="250"/>
      <c r="J9" s="250"/>
      <c r="L9" s="1"/>
      <c r="M9" s="1"/>
      <c r="N9" s="1"/>
    </row>
    <row r="10" spans="1:14" ht="150" x14ac:dyDescent="0.25">
      <c r="A10" s="114">
        <v>2</v>
      </c>
      <c r="B10" s="78" t="s">
        <v>31</v>
      </c>
      <c r="C10" s="79" t="s">
        <v>109</v>
      </c>
      <c r="D10" s="80">
        <v>43507</v>
      </c>
      <c r="E10" s="79">
        <v>19978</v>
      </c>
      <c r="F10" s="110" t="s">
        <v>129</v>
      </c>
      <c r="G10" s="109" t="s">
        <v>161</v>
      </c>
      <c r="H10" s="109" t="s">
        <v>187</v>
      </c>
      <c r="I10" s="109" t="s">
        <v>315</v>
      </c>
      <c r="J10" s="78">
        <v>95</v>
      </c>
      <c r="L10" s="1"/>
      <c r="M10" s="1"/>
      <c r="N10" s="1"/>
    </row>
    <row r="11" spans="1:14" ht="195" outlineLevel="1" x14ac:dyDescent="0.25">
      <c r="A11" s="114">
        <v>3</v>
      </c>
      <c r="B11" s="78" t="s">
        <v>32</v>
      </c>
      <c r="C11" s="79">
        <v>4</v>
      </c>
      <c r="D11" s="80">
        <v>43514</v>
      </c>
      <c r="E11" s="79">
        <v>19978.3</v>
      </c>
      <c r="F11" s="110" t="s">
        <v>133</v>
      </c>
      <c r="G11" s="109" t="s">
        <v>162</v>
      </c>
      <c r="H11" s="109"/>
      <c r="I11" s="109"/>
      <c r="J11" s="78"/>
      <c r="L11" s="1"/>
      <c r="M11" s="1"/>
      <c r="N11" s="1"/>
    </row>
    <row r="12" spans="1:14" x14ac:dyDescent="0.25">
      <c r="A12" s="86" t="s">
        <v>17</v>
      </c>
      <c r="B12" s="87"/>
      <c r="C12" s="87" t="str">
        <f>"за "&amp;LOWER($A$9)</f>
        <v>за февраль</v>
      </c>
      <c r="D12" s="88">
        <f>COUNTA(фев_пр)</f>
        <v>2</v>
      </c>
      <c r="E12" s="89">
        <f>SUM(фев_кол)</f>
        <v>39956.300000000003</v>
      </c>
      <c r="F12" s="90">
        <v>2</v>
      </c>
      <c r="G12" s="91"/>
      <c r="H12" s="91"/>
      <c r="I12" s="91"/>
      <c r="J12" s="92">
        <f>SUM(кол_отб_фев)</f>
        <v>95</v>
      </c>
      <c r="L12" s="1"/>
      <c r="M12" s="1"/>
      <c r="N12" s="1"/>
    </row>
    <row r="13" spans="1:14" x14ac:dyDescent="0.25">
      <c r="A13" s="249" t="s">
        <v>7</v>
      </c>
      <c r="B13" s="249"/>
      <c r="C13" s="249"/>
      <c r="D13" s="249"/>
      <c r="E13" s="249"/>
      <c r="F13" s="249"/>
      <c r="G13" s="249"/>
      <c r="H13" s="249"/>
      <c r="I13" s="249"/>
      <c r="J13" s="249"/>
      <c r="L13" s="1"/>
      <c r="M13" s="1"/>
      <c r="N13" s="1"/>
    </row>
    <row r="14" spans="1:14" x14ac:dyDescent="0.25">
      <c r="A14" s="77"/>
      <c r="B14" s="77"/>
      <c r="C14" s="117"/>
      <c r="D14" s="118"/>
      <c r="E14" s="77"/>
      <c r="F14" s="94"/>
      <c r="G14" s="94"/>
      <c r="H14" s="94"/>
      <c r="I14" s="94"/>
      <c r="J14" s="94"/>
      <c r="L14" s="1"/>
      <c r="M14" s="1"/>
      <c r="N14" s="1"/>
    </row>
    <row r="15" spans="1:14" hidden="1" outlineLevel="1" x14ac:dyDescent="0.25">
      <c r="A15" s="94"/>
      <c r="B15" s="94"/>
      <c r="C15" s="119"/>
      <c r="D15" s="120"/>
      <c r="E15" s="94"/>
      <c r="F15" s="94"/>
      <c r="G15" s="94"/>
      <c r="H15" s="94"/>
      <c r="I15" s="94"/>
      <c r="J15" s="94"/>
      <c r="L15" s="1"/>
      <c r="M15" s="1"/>
      <c r="N15" s="1"/>
    </row>
    <row r="16" spans="1:14" hidden="1" outlineLevel="1" x14ac:dyDescent="0.25">
      <c r="A16" s="94"/>
      <c r="B16" s="94"/>
      <c r="C16" s="119"/>
      <c r="D16" s="120"/>
      <c r="E16" s="94"/>
      <c r="F16" s="94"/>
      <c r="G16" s="94"/>
      <c r="H16" s="94"/>
      <c r="I16" s="94"/>
      <c r="J16" s="94"/>
      <c r="L16" s="1"/>
      <c r="M16" s="1"/>
      <c r="N16" s="1"/>
    </row>
    <row r="17" spans="1:14" hidden="1" outlineLevel="1" x14ac:dyDescent="0.25">
      <c r="A17" s="94"/>
      <c r="B17" s="94"/>
      <c r="C17" s="119"/>
      <c r="D17" s="120"/>
      <c r="E17" s="94"/>
      <c r="F17" s="94"/>
      <c r="G17" s="94"/>
      <c r="H17" s="94"/>
      <c r="I17" s="94"/>
      <c r="J17" s="94"/>
      <c r="L17" s="1"/>
      <c r="M17" s="1"/>
      <c r="N17" s="1"/>
    </row>
    <row r="18" spans="1:14" hidden="1" outlineLevel="1" x14ac:dyDescent="0.25">
      <c r="A18" s="94"/>
      <c r="B18" s="94"/>
      <c r="C18" s="119"/>
      <c r="D18" s="120"/>
      <c r="E18" s="94"/>
      <c r="F18" s="94"/>
      <c r="G18" s="94"/>
      <c r="H18" s="94"/>
      <c r="I18" s="94"/>
      <c r="J18" s="94"/>
      <c r="L18" s="1"/>
      <c r="M18" s="1"/>
      <c r="N18" s="1"/>
    </row>
    <row r="19" spans="1:14" collapsed="1" x14ac:dyDescent="0.25">
      <c r="A19" s="86" t="s">
        <v>17</v>
      </c>
      <c r="B19" s="87"/>
      <c r="C19" s="87" t="str">
        <f>"за "&amp;LOWER($A$13)</f>
        <v>за март</v>
      </c>
      <c r="D19" s="88">
        <f>COUNTA(мрт_пр)</f>
        <v>0</v>
      </c>
      <c r="E19" s="89">
        <f>SUM(мрт_кол)</f>
        <v>0</v>
      </c>
      <c r="F19" s="90">
        <f>COUNTA(акт_вх_мрт)+COUNTA(акт_отб_мрт)</f>
        <v>0</v>
      </c>
      <c r="G19" s="101"/>
      <c r="H19" s="101"/>
      <c r="I19" s="101"/>
      <c r="J19" s="92">
        <f>SUM(кол_отб_мрт)</f>
        <v>0</v>
      </c>
      <c r="L19" s="1"/>
      <c r="M19" s="1"/>
      <c r="N19" s="1"/>
    </row>
    <row r="20" spans="1:14" ht="17.25" customHeight="1" x14ac:dyDescent="0.25">
      <c r="A20" s="102" t="s">
        <v>17</v>
      </c>
      <c r="B20" s="103"/>
      <c r="C20" s="103" t="s">
        <v>18</v>
      </c>
      <c r="D20" s="104">
        <f>SUM(D8,D12,D19)</f>
        <v>3</v>
      </c>
      <c r="E20" s="105">
        <f>SUM(E8,E12,E19)</f>
        <v>59915.3</v>
      </c>
      <c r="F20" s="106">
        <f>SUM(F8,F12,F19)</f>
        <v>3</v>
      </c>
      <c r="G20" s="103"/>
      <c r="H20" s="103" t="str">
        <f>"Кп= "&amp;ROUNDDOWN((F20/D20)*100,1)&amp;"%"</f>
        <v>Кп= 100%</v>
      </c>
      <c r="I20" s="103" t="str">
        <f>"Км= "&amp;ROUNDDOWN((J20/E20)*100,2)&amp;"%"</f>
        <v>Км= 0,15%</v>
      </c>
      <c r="J20" s="107">
        <f>SUM(J8,J12,J19)</f>
        <v>95</v>
      </c>
      <c r="L20" s="1"/>
      <c r="M20" s="1"/>
      <c r="N20" s="1"/>
    </row>
    <row r="21" spans="1:14" ht="31.5" hidden="1" customHeight="1" outlineLevel="1" x14ac:dyDescent="0.25">
      <c r="A21" s="115" t="s">
        <v>20</v>
      </c>
      <c r="B21" s="115"/>
      <c r="C21" s="115"/>
      <c r="D21" s="116"/>
      <c r="E21" s="115"/>
      <c r="F21" s="115"/>
      <c r="G21" s="115" t="s">
        <v>21</v>
      </c>
      <c r="H21" s="115"/>
      <c r="I21" s="115"/>
      <c r="J21" s="115"/>
      <c r="L21" s="1"/>
      <c r="M21" s="1"/>
      <c r="N21" s="1"/>
    </row>
    <row r="22" spans="1:14" collapsed="1" x14ac:dyDescent="0.25">
      <c r="A22" s="250" t="s">
        <v>8</v>
      </c>
      <c r="B22" s="250"/>
      <c r="C22" s="250"/>
      <c r="D22" s="250"/>
      <c r="E22" s="250"/>
      <c r="F22" s="250"/>
      <c r="G22" s="250"/>
      <c r="H22" s="250"/>
      <c r="I22" s="250"/>
      <c r="J22" s="250"/>
      <c r="L22" s="1"/>
      <c r="M22" s="1"/>
      <c r="N22" s="1"/>
    </row>
    <row r="23" spans="1:14" ht="45" x14ac:dyDescent="0.25">
      <c r="A23" s="155">
        <v>4</v>
      </c>
      <c r="B23" s="228" t="s">
        <v>31</v>
      </c>
      <c r="C23" s="145">
        <v>16.170000000000002</v>
      </c>
      <c r="D23" s="97">
        <v>43576</v>
      </c>
      <c r="E23" s="145">
        <v>8536</v>
      </c>
      <c r="F23" s="111" t="s">
        <v>183</v>
      </c>
      <c r="G23" s="227" t="s">
        <v>184</v>
      </c>
      <c r="H23" s="226"/>
      <c r="I23" s="226"/>
      <c r="J23" s="226"/>
      <c r="L23" s="1"/>
      <c r="M23" s="1"/>
      <c r="N23" s="1"/>
    </row>
    <row r="24" spans="1:14" ht="150" outlineLevel="1" x14ac:dyDescent="0.25">
      <c r="A24" s="108">
        <v>5</v>
      </c>
      <c r="B24" s="78" t="s">
        <v>31</v>
      </c>
      <c r="C24" s="172">
        <v>14.18</v>
      </c>
      <c r="D24" s="80">
        <v>43577</v>
      </c>
      <c r="E24" s="172">
        <v>9547</v>
      </c>
      <c r="F24" s="110" t="s">
        <v>185</v>
      </c>
      <c r="G24" s="109" t="s">
        <v>211</v>
      </c>
      <c r="H24" s="75" t="s">
        <v>311</v>
      </c>
      <c r="I24" s="75" t="s">
        <v>314</v>
      </c>
      <c r="J24" s="234">
        <v>145</v>
      </c>
      <c r="L24" s="1"/>
      <c r="M24" s="1"/>
      <c r="N24" s="1"/>
    </row>
    <row r="25" spans="1:14" ht="150" outlineLevel="1" x14ac:dyDescent="0.25">
      <c r="A25" s="108">
        <v>6</v>
      </c>
      <c r="B25" s="78" t="s">
        <v>32</v>
      </c>
      <c r="C25" s="172">
        <v>8</v>
      </c>
      <c r="D25" s="80">
        <v>43578</v>
      </c>
      <c r="E25" s="172">
        <v>8970</v>
      </c>
      <c r="F25" s="110" t="s">
        <v>180</v>
      </c>
      <c r="G25" s="109" t="s">
        <v>181</v>
      </c>
      <c r="H25" s="225"/>
      <c r="I25" s="225"/>
      <c r="J25" s="225"/>
      <c r="L25" s="1"/>
      <c r="M25" s="1"/>
      <c r="N25" s="1"/>
    </row>
    <row r="26" spans="1:14" ht="75" outlineLevel="1" x14ac:dyDescent="0.25">
      <c r="A26" s="155">
        <v>7</v>
      </c>
      <c r="B26" s="228" t="s">
        <v>31</v>
      </c>
      <c r="C26" s="145">
        <v>14.17</v>
      </c>
      <c r="D26" s="97">
        <v>43584</v>
      </c>
      <c r="E26" s="145">
        <v>1890</v>
      </c>
      <c r="F26" s="111" t="s">
        <v>200</v>
      </c>
      <c r="G26" s="227" t="s">
        <v>201</v>
      </c>
      <c r="H26" s="226"/>
      <c r="I26" s="226"/>
      <c r="J26" s="226"/>
      <c r="L26" s="1"/>
      <c r="M26" s="1"/>
      <c r="N26" s="1"/>
    </row>
    <row r="27" spans="1:14" x14ac:dyDescent="0.25">
      <c r="A27" s="86" t="s">
        <v>17</v>
      </c>
      <c r="B27" s="87"/>
      <c r="C27" s="87" t="str">
        <f>"за "&amp;LOWER($A$22)</f>
        <v>за апрель</v>
      </c>
      <c r="D27" s="88">
        <f>COUNTA(апр_пр)</f>
        <v>4</v>
      </c>
      <c r="E27" s="89">
        <f>SUM(апр_кол)</f>
        <v>28943</v>
      </c>
      <c r="F27" s="90">
        <v>4</v>
      </c>
      <c r="G27" s="101"/>
      <c r="H27" s="101"/>
      <c r="I27" s="101"/>
      <c r="J27" s="92">
        <f>SUM(кол_отб_апр)</f>
        <v>145</v>
      </c>
      <c r="L27" s="1"/>
      <c r="M27" s="1"/>
      <c r="N27" s="1"/>
    </row>
    <row r="28" spans="1:14" x14ac:dyDescent="0.25">
      <c r="A28" s="249" t="s">
        <v>9</v>
      </c>
      <c r="B28" s="249"/>
      <c r="C28" s="249"/>
      <c r="D28" s="249"/>
      <c r="E28" s="249"/>
      <c r="F28" s="249"/>
      <c r="G28" s="249"/>
      <c r="H28" s="249"/>
      <c r="I28" s="249"/>
      <c r="J28" s="249"/>
      <c r="L28" s="1"/>
      <c r="M28" s="1"/>
      <c r="N28" s="1"/>
    </row>
    <row r="29" spans="1:14" ht="150" x14ac:dyDescent="0.25">
      <c r="A29" s="108">
        <v>8</v>
      </c>
      <c r="B29" s="98" t="s">
        <v>32</v>
      </c>
      <c r="C29" s="112">
        <v>25.26</v>
      </c>
      <c r="D29" s="100">
        <v>43598</v>
      </c>
      <c r="E29" s="112">
        <v>9989.1</v>
      </c>
      <c r="F29" s="113" t="s">
        <v>196</v>
      </c>
      <c r="G29" s="125" t="s">
        <v>181</v>
      </c>
      <c r="H29" s="225"/>
      <c r="I29" s="225"/>
      <c r="J29" s="225"/>
      <c r="L29" s="1"/>
      <c r="M29" s="1"/>
      <c r="N29" s="1"/>
    </row>
    <row r="30" spans="1:14" hidden="1" outlineLevel="1" x14ac:dyDescent="0.25">
      <c r="A30" s="157"/>
      <c r="B30" s="157"/>
      <c r="C30" s="157"/>
      <c r="D30" s="157"/>
      <c r="E30" s="157"/>
      <c r="F30" s="157"/>
      <c r="G30" s="157"/>
      <c r="H30" s="157"/>
      <c r="I30" s="157"/>
      <c r="J30" s="157"/>
      <c r="L30" s="1"/>
      <c r="M30" s="1"/>
      <c r="N30" s="1"/>
    </row>
    <row r="31" spans="1:14" hidden="1" outlineLevel="1" x14ac:dyDescent="0.25">
      <c r="A31" s="157"/>
      <c r="B31" s="157"/>
      <c r="C31" s="157"/>
      <c r="D31" s="157"/>
      <c r="E31" s="157"/>
      <c r="F31" s="157"/>
      <c r="G31" s="157"/>
      <c r="H31" s="157"/>
      <c r="I31" s="157"/>
      <c r="J31" s="157"/>
      <c r="L31" s="1"/>
      <c r="M31" s="1"/>
      <c r="N31" s="1"/>
    </row>
    <row r="32" spans="1:14" hidden="1" outlineLevel="1" x14ac:dyDescent="0.25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L32" s="1"/>
      <c r="M32" s="1"/>
      <c r="N32" s="1"/>
    </row>
    <row r="33" spans="1:10" hidden="1" outlineLevel="1" x14ac:dyDescent="0.25">
      <c r="A33" s="158"/>
      <c r="B33" s="158"/>
      <c r="C33" s="158"/>
      <c r="D33" s="159"/>
      <c r="E33" s="158"/>
      <c r="F33" s="158"/>
      <c r="G33" s="158"/>
      <c r="H33" s="158"/>
      <c r="I33" s="158"/>
      <c r="J33" s="158"/>
    </row>
    <row r="34" spans="1:10" collapsed="1" x14ac:dyDescent="0.25">
      <c r="A34" s="86" t="s">
        <v>17</v>
      </c>
      <c r="B34" s="87"/>
      <c r="C34" s="87" t="str">
        <f>"за "&amp;LOWER($A$28)</f>
        <v>за май</v>
      </c>
      <c r="D34" s="88">
        <f>COUNTA(май_пр)</f>
        <v>1</v>
      </c>
      <c r="E34" s="89">
        <f>SUM(май_кол)</f>
        <v>9989.1</v>
      </c>
      <c r="F34" s="90">
        <f>COUNTA(акт_вх_май)+COUNTA(акт_отб_май)</f>
        <v>1</v>
      </c>
      <c r="G34" s="101"/>
      <c r="H34" s="101"/>
      <c r="I34" s="101"/>
      <c r="J34" s="92">
        <f>SUM(кол_отб_май)</f>
        <v>0</v>
      </c>
    </row>
    <row r="35" spans="1:10" x14ac:dyDescent="0.25">
      <c r="A35" s="249" t="s">
        <v>10</v>
      </c>
      <c r="B35" s="249"/>
      <c r="C35" s="249"/>
      <c r="D35" s="249"/>
      <c r="E35" s="249"/>
      <c r="F35" s="249"/>
      <c r="G35" s="249"/>
      <c r="H35" s="249"/>
      <c r="I35" s="249"/>
      <c r="J35" s="249"/>
    </row>
    <row r="36" spans="1:10" x14ac:dyDescent="0.25">
      <c r="A36" s="140"/>
      <c r="B36" s="140"/>
      <c r="C36" s="140"/>
      <c r="D36" s="156"/>
      <c r="E36" s="140"/>
      <c r="F36" s="140"/>
      <c r="G36" s="140"/>
      <c r="H36" s="140"/>
      <c r="I36" s="140"/>
      <c r="J36" s="140"/>
    </row>
    <row r="37" spans="1:10" hidden="1" outlineLevel="1" x14ac:dyDescent="0.25">
      <c r="A37" s="140"/>
      <c r="B37" s="140"/>
      <c r="C37" s="140"/>
      <c r="D37" s="156"/>
      <c r="E37" s="140"/>
      <c r="F37" s="140"/>
      <c r="G37" s="140"/>
      <c r="H37" s="140"/>
      <c r="I37" s="140"/>
      <c r="J37" s="140"/>
    </row>
    <row r="38" spans="1:10" hidden="1" outlineLevel="1" x14ac:dyDescent="0.25">
      <c r="A38" s="140"/>
      <c r="B38" s="140"/>
      <c r="C38" s="140"/>
      <c r="D38" s="156"/>
      <c r="E38" s="140"/>
      <c r="F38" s="140"/>
      <c r="G38" s="140"/>
      <c r="H38" s="140"/>
      <c r="I38" s="140"/>
      <c r="J38" s="140"/>
    </row>
    <row r="39" spans="1:10" hidden="1" outlineLevel="1" x14ac:dyDescent="0.25">
      <c r="A39" s="140"/>
      <c r="B39" s="140"/>
      <c r="C39" s="140"/>
      <c r="D39" s="156"/>
      <c r="E39" s="140"/>
      <c r="F39" s="140"/>
      <c r="G39" s="140"/>
      <c r="H39" s="140"/>
      <c r="I39" s="140"/>
      <c r="J39" s="140"/>
    </row>
    <row r="40" spans="1:10" hidden="1" outlineLevel="1" x14ac:dyDescent="0.25">
      <c r="A40" s="140"/>
      <c r="B40" s="140"/>
      <c r="C40" s="140"/>
      <c r="D40" s="156"/>
      <c r="E40" s="140"/>
      <c r="F40" s="140"/>
      <c r="G40" s="140"/>
      <c r="H40" s="140"/>
      <c r="I40" s="140"/>
      <c r="J40" s="140"/>
    </row>
    <row r="41" spans="1:10" collapsed="1" x14ac:dyDescent="0.25">
      <c r="A41" s="86" t="s">
        <v>17</v>
      </c>
      <c r="B41" s="87"/>
      <c r="C41" s="87" t="str">
        <f>"за "&amp;LOWER($A$35)</f>
        <v>за июнь</v>
      </c>
      <c r="D41" s="88">
        <f>COUNTA(июн_пр)</f>
        <v>0</v>
      </c>
      <c r="E41" s="89">
        <f>SUM(июн_кол)</f>
        <v>0</v>
      </c>
      <c r="F41" s="90">
        <f>COUNTA(акт_вх_июн)+COUNTA(акт_отб_июн)</f>
        <v>0</v>
      </c>
      <c r="G41" s="101"/>
      <c r="H41" s="101"/>
      <c r="I41" s="101"/>
      <c r="J41" s="92">
        <f>SUM(кол_отб_июн)</f>
        <v>0</v>
      </c>
    </row>
    <row r="42" spans="1:10" ht="20.25" customHeight="1" x14ac:dyDescent="0.25">
      <c r="A42" s="102" t="s">
        <v>17</v>
      </c>
      <c r="B42" s="103"/>
      <c r="C42" s="103" t="s">
        <v>140</v>
      </c>
      <c r="D42" s="104">
        <f>SUM(D27,D34,D41)</f>
        <v>5</v>
      </c>
      <c r="E42" s="105">
        <f>SUM(E27,E34,E41)</f>
        <v>38932.1</v>
      </c>
      <c r="F42" s="106">
        <f>SUM(F27,F34,F41)</f>
        <v>5</v>
      </c>
      <c r="G42" s="103"/>
      <c r="H42" s="103" t="str">
        <f>"Кп= "&amp;ROUNDDOWN((F42/D42)*100,1)&amp;"%"</f>
        <v>Кп= 100%</v>
      </c>
      <c r="I42" s="103" t="str">
        <f>"Км= "&amp;ROUNDDOWN((J42/E42)*100,2)&amp;"%"</f>
        <v>Км= 0,37%</v>
      </c>
      <c r="J42" s="107">
        <f>SUM(J27,J34,J41)</f>
        <v>145</v>
      </c>
    </row>
    <row r="43" spans="1:10" ht="21" customHeight="1" x14ac:dyDescent="0.25">
      <c r="A43" s="102" t="s">
        <v>17</v>
      </c>
      <c r="B43" s="103"/>
      <c r="C43" s="103" t="s">
        <v>141</v>
      </c>
      <c r="D43" s="104">
        <f>SUM(D20,D42)</f>
        <v>8</v>
      </c>
      <c r="E43" s="105">
        <f>SUM(E42,E20)</f>
        <v>98847.4</v>
      </c>
      <c r="F43" s="106">
        <f>SUM(F42,F20)</f>
        <v>8</v>
      </c>
      <c r="G43" s="103"/>
      <c r="H43" s="103" t="str">
        <f>"Кп= "&amp;ROUNDDOWN((F43/D43)*100,1)&amp;"%"</f>
        <v>Кп= 100%</v>
      </c>
      <c r="I43" s="103" t="str">
        <f>"Км= "&amp;ROUNDDOWN((J43/E43)*100,2)&amp;"%"</f>
        <v>Км= 0,24%</v>
      </c>
      <c r="J43" s="107">
        <f>SUM(J42,J20)</f>
        <v>240</v>
      </c>
    </row>
    <row r="44" spans="1:10" ht="26.25" hidden="1" customHeight="1" outlineLevel="1" x14ac:dyDescent="0.25">
      <c r="A44" s="208" t="s">
        <v>212</v>
      </c>
      <c r="B44" s="208"/>
      <c r="C44" s="209"/>
      <c r="D44" s="210" t="s">
        <v>20</v>
      </c>
      <c r="E44" s="87"/>
      <c r="F44" s="87"/>
      <c r="G44" s="187" t="s">
        <v>21</v>
      </c>
      <c r="H44" s="87"/>
      <c r="I44" s="87"/>
      <c r="J44" s="211"/>
    </row>
    <row r="45" spans="1:10" ht="26.25" hidden="1" customHeight="1" outlineLevel="1" x14ac:dyDescent="0.25">
      <c r="A45" s="176" t="s">
        <v>213</v>
      </c>
      <c r="B45" s="176"/>
      <c r="C45" s="209"/>
      <c r="D45" s="185" t="s">
        <v>215</v>
      </c>
      <c r="E45" s="127"/>
      <c r="F45" s="106"/>
      <c r="G45" s="187" t="s">
        <v>217</v>
      </c>
      <c r="H45" s="103"/>
      <c r="I45" s="103"/>
      <c r="J45" s="129"/>
    </row>
    <row r="46" spans="1:10" ht="26.25" hidden="1" customHeight="1" outlineLevel="1" x14ac:dyDescent="0.25">
      <c r="A46" s="176" t="s">
        <v>214</v>
      </c>
      <c r="B46" s="94"/>
      <c r="C46" s="237"/>
      <c r="D46" s="87" t="s">
        <v>216</v>
      </c>
      <c r="E46" s="91"/>
      <c r="F46" s="91"/>
      <c r="G46" s="187" t="s">
        <v>218</v>
      </c>
      <c r="H46" s="91"/>
      <c r="I46" s="91"/>
      <c r="J46" s="238"/>
    </row>
    <row r="47" spans="1:10" collapsed="1" x14ac:dyDescent="0.25">
      <c r="A47" s="249" t="s">
        <v>11</v>
      </c>
      <c r="B47" s="249"/>
      <c r="C47" s="249"/>
      <c r="D47" s="249"/>
      <c r="E47" s="249"/>
      <c r="F47" s="249"/>
      <c r="G47" s="249"/>
      <c r="H47" s="249"/>
      <c r="I47" s="249"/>
      <c r="J47" s="249"/>
    </row>
    <row r="48" spans="1:10" s="82" customFormat="1" ht="105" x14ac:dyDescent="0.25">
      <c r="A48" s="215">
        <v>9</v>
      </c>
      <c r="B48" s="228" t="s">
        <v>32</v>
      </c>
      <c r="C48" s="212" t="s">
        <v>241</v>
      </c>
      <c r="D48" s="213">
        <v>43654</v>
      </c>
      <c r="E48" s="214">
        <v>20000.5</v>
      </c>
      <c r="F48" s="227" t="s">
        <v>235</v>
      </c>
      <c r="G48" s="227" t="s">
        <v>236</v>
      </c>
      <c r="H48" s="140"/>
      <c r="I48" s="140"/>
      <c r="J48" s="140"/>
    </row>
    <row r="49" spans="1:10" hidden="1" outlineLevel="1" x14ac:dyDescent="0.25">
      <c r="A49" s="140"/>
      <c r="B49" s="140"/>
      <c r="C49" s="140"/>
      <c r="D49" s="156"/>
      <c r="E49" s="140"/>
      <c r="F49" s="140"/>
      <c r="G49" s="140"/>
      <c r="H49" s="140"/>
      <c r="I49" s="140"/>
      <c r="J49" s="140"/>
    </row>
    <row r="50" spans="1:10" hidden="1" outlineLevel="1" x14ac:dyDescent="0.25">
      <c r="A50" s="140"/>
      <c r="B50" s="140"/>
      <c r="C50" s="140"/>
      <c r="D50" s="156"/>
      <c r="E50" s="140"/>
      <c r="F50" s="140"/>
      <c r="G50" s="140"/>
      <c r="H50" s="140"/>
      <c r="I50" s="140"/>
      <c r="J50" s="140"/>
    </row>
    <row r="51" spans="1:10" hidden="1" outlineLevel="1" x14ac:dyDescent="0.25">
      <c r="A51" s="140"/>
      <c r="B51" s="140"/>
      <c r="C51" s="140"/>
      <c r="D51" s="156"/>
      <c r="E51" s="140"/>
      <c r="F51" s="140"/>
      <c r="G51" s="140"/>
      <c r="H51" s="140"/>
      <c r="I51" s="140"/>
      <c r="J51" s="140"/>
    </row>
    <row r="52" spans="1:10" hidden="1" outlineLevel="1" x14ac:dyDescent="0.25">
      <c r="A52" s="140"/>
      <c r="B52" s="140"/>
      <c r="C52" s="140"/>
      <c r="D52" s="156"/>
      <c r="E52" s="140"/>
      <c r="F52" s="140"/>
      <c r="G52" s="140"/>
      <c r="H52" s="140"/>
      <c r="I52" s="140"/>
      <c r="J52" s="140"/>
    </row>
    <row r="53" spans="1:10" s="82" customFormat="1" collapsed="1" x14ac:dyDescent="0.25">
      <c r="A53" s="86" t="s">
        <v>17</v>
      </c>
      <c r="B53" s="87"/>
      <c r="C53" s="87" t="str">
        <f>"за "&amp;LOWER($A$47)</f>
        <v>за июль</v>
      </c>
      <c r="D53" s="88">
        <f>COUNTA(июл_пр)</f>
        <v>1</v>
      </c>
      <c r="E53" s="89">
        <f>SUM(июл_кол)</f>
        <v>20000.5</v>
      </c>
      <c r="F53" s="90">
        <f>COUNTA(акт_вх_июл)+COUNTA(акт_отб_июл)</f>
        <v>1</v>
      </c>
      <c r="G53" s="101"/>
      <c r="H53" s="101"/>
      <c r="I53" s="101"/>
      <c r="J53" s="92">
        <f>SUM(кол_отб_июл)</f>
        <v>0</v>
      </c>
    </row>
    <row r="54" spans="1:10" x14ac:dyDescent="0.25">
      <c r="A54" s="249" t="s">
        <v>13</v>
      </c>
      <c r="B54" s="249"/>
      <c r="C54" s="249"/>
      <c r="D54" s="249"/>
      <c r="E54" s="249"/>
      <c r="F54" s="249"/>
      <c r="G54" s="249"/>
      <c r="H54" s="249"/>
      <c r="I54" s="249"/>
      <c r="J54" s="249"/>
    </row>
    <row r="55" spans="1:10" s="82" customFormat="1" ht="105" x14ac:dyDescent="0.25">
      <c r="A55" s="215">
        <v>10</v>
      </c>
      <c r="B55" s="228" t="s">
        <v>32</v>
      </c>
      <c r="C55" s="145" t="s">
        <v>249</v>
      </c>
      <c r="D55" s="97">
        <v>43690</v>
      </c>
      <c r="E55" s="145">
        <v>20007.099999999999</v>
      </c>
      <c r="F55" s="111" t="s">
        <v>250</v>
      </c>
      <c r="G55" s="227" t="s">
        <v>236</v>
      </c>
      <c r="H55" s="140"/>
      <c r="I55" s="140"/>
      <c r="J55" s="140"/>
    </row>
    <row r="56" spans="1:10" hidden="1" outlineLevel="1" x14ac:dyDescent="0.25">
      <c r="A56" s="140"/>
      <c r="B56" s="140"/>
      <c r="C56" s="140"/>
      <c r="D56" s="156"/>
      <c r="E56" s="140"/>
      <c r="F56" s="140"/>
      <c r="G56" s="140"/>
      <c r="H56" s="140"/>
      <c r="I56" s="140"/>
      <c r="J56" s="140"/>
    </row>
    <row r="57" spans="1:10" hidden="1" outlineLevel="1" x14ac:dyDescent="0.25">
      <c r="A57" s="140"/>
      <c r="B57" s="140"/>
      <c r="C57" s="140"/>
      <c r="D57" s="156"/>
      <c r="E57" s="140"/>
      <c r="F57" s="140"/>
      <c r="G57" s="140"/>
      <c r="H57" s="140"/>
      <c r="I57" s="140"/>
      <c r="J57" s="140"/>
    </row>
    <row r="58" spans="1:10" hidden="1" outlineLevel="1" x14ac:dyDescent="0.25">
      <c r="A58" s="140"/>
      <c r="B58" s="140"/>
      <c r="C58" s="140"/>
      <c r="D58" s="156"/>
      <c r="E58" s="140"/>
      <c r="F58" s="140"/>
      <c r="G58" s="140"/>
      <c r="H58" s="140"/>
      <c r="I58" s="140"/>
      <c r="J58" s="140"/>
    </row>
    <row r="59" spans="1:10" hidden="1" outlineLevel="1" x14ac:dyDescent="0.25">
      <c r="A59" s="140"/>
      <c r="B59" s="140"/>
      <c r="C59" s="140"/>
      <c r="D59" s="156"/>
      <c r="E59" s="140"/>
      <c r="F59" s="140"/>
      <c r="G59" s="140"/>
      <c r="H59" s="140"/>
      <c r="I59" s="140"/>
      <c r="J59" s="140"/>
    </row>
    <row r="60" spans="1:10" s="82" customFormat="1" collapsed="1" x14ac:dyDescent="0.25">
      <c r="A60" s="86" t="s">
        <v>17</v>
      </c>
      <c r="B60" s="87"/>
      <c r="C60" s="87" t="str">
        <f>"за "&amp;LOWER($A$54)</f>
        <v>за август</v>
      </c>
      <c r="D60" s="88">
        <f>COUNTA(авг_пр)</f>
        <v>1</v>
      </c>
      <c r="E60" s="89">
        <f>SUM(авг_кол)</f>
        <v>20007.099999999999</v>
      </c>
      <c r="F60" s="90">
        <f>COUNTA(акт_вх_авг)+COUNTA(акт_отб_авг)</f>
        <v>1</v>
      </c>
      <c r="G60" s="101"/>
      <c r="H60" s="101"/>
      <c r="I60" s="101"/>
      <c r="J60" s="92">
        <f>SUM(кол_отб_авг)</f>
        <v>0</v>
      </c>
    </row>
    <row r="61" spans="1:10" x14ac:dyDescent="0.25">
      <c r="A61" s="249" t="s">
        <v>12</v>
      </c>
      <c r="B61" s="249"/>
      <c r="C61" s="249"/>
      <c r="D61" s="249"/>
      <c r="E61" s="249"/>
      <c r="F61" s="249"/>
      <c r="G61" s="249"/>
      <c r="H61" s="249"/>
      <c r="I61" s="249"/>
      <c r="J61" s="249"/>
    </row>
    <row r="62" spans="1:10" s="82" customFormat="1" ht="105" x14ac:dyDescent="0.25">
      <c r="A62" s="215">
        <v>11</v>
      </c>
      <c r="B62" s="228" t="s">
        <v>32</v>
      </c>
      <c r="C62" s="145">
        <v>28</v>
      </c>
      <c r="D62" s="97">
        <v>43719</v>
      </c>
      <c r="E62" s="145">
        <v>19987</v>
      </c>
      <c r="F62" s="111" t="s">
        <v>268</v>
      </c>
      <c r="G62" s="227" t="s">
        <v>236</v>
      </c>
      <c r="H62" s="140"/>
      <c r="I62" s="140"/>
      <c r="J62" s="140"/>
    </row>
    <row r="63" spans="1:10" s="82" customFormat="1" ht="105" outlineLevel="1" x14ac:dyDescent="0.25">
      <c r="A63" s="215">
        <v>12</v>
      </c>
      <c r="B63" s="98" t="s">
        <v>32</v>
      </c>
      <c r="C63" s="112">
        <v>15</v>
      </c>
      <c r="D63" s="100">
        <v>43738</v>
      </c>
      <c r="E63" s="112">
        <v>19996.8</v>
      </c>
      <c r="F63" s="227" t="s">
        <v>278</v>
      </c>
      <c r="G63" s="227" t="s">
        <v>236</v>
      </c>
      <c r="H63" s="140"/>
      <c r="I63" s="140"/>
      <c r="J63" s="140"/>
    </row>
    <row r="64" spans="1:10" s="82" customFormat="1" x14ac:dyDescent="0.25">
      <c r="A64" s="86" t="s">
        <v>17</v>
      </c>
      <c r="B64" s="87"/>
      <c r="C64" s="87" t="str">
        <f>"за "&amp;LOWER($A$61)</f>
        <v>за сентябрь</v>
      </c>
      <c r="D64" s="88">
        <f>COUNTA(снт_пр)</f>
        <v>2</v>
      </c>
      <c r="E64" s="89">
        <f>SUM(снт_кол)</f>
        <v>39983.800000000003</v>
      </c>
      <c r="F64" s="90">
        <f>COUNTA(акт_вх_снт)+COUNTA(акт_отб_снт)</f>
        <v>2</v>
      </c>
      <c r="G64" s="101"/>
      <c r="H64" s="101"/>
      <c r="I64" s="101"/>
      <c r="J64" s="92">
        <f>SUM(кол_отб_снт)</f>
        <v>0</v>
      </c>
    </row>
    <row r="65" spans="1:10" s="82" customFormat="1" ht="30" customHeight="1" x14ac:dyDescent="0.25">
      <c r="A65" s="102" t="s">
        <v>17</v>
      </c>
      <c r="B65" s="103"/>
      <c r="C65" s="103" t="s">
        <v>142</v>
      </c>
      <c r="D65" s="104">
        <f>SUM(D53,D60,D64)</f>
        <v>4</v>
      </c>
      <c r="E65" s="105">
        <f>SUM(E53,E60,E64)</f>
        <v>79991.399999999994</v>
      </c>
      <c r="F65" s="106">
        <f>SUM(F53,F60,F64)</f>
        <v>4</v>
      </c>
      <c r="G65" s="103"/>
      <c r="H65" s="103" t="str">
        <f>"Кп= "&amp;ROUNDDOWN((F65/D65)*100,1)&amp;"%"</f>
        <v>Кп= 100%</v>
      </c>
      <c r="I65" s="103" t="str">
        <f>"Км= "&amp;ROUNDDOWN((J65/E65)*100,2)&amp;"%"</f>
        <v>Км= 0%</v>
      </c>
      <c r="J65" s="107">
        <f>SUM(J53,J60,J64)</f>
        <v>0</v>
      </c>
    </row>
    <row r="66" spans="1:10" s="82" customFormat="1" ht="30" customHeight="1" x14ac:dyDescent="0.25">
      <c r="A66" s="102" t="s">
        <v>17</v>
      </c>
      <c r="B66" s="103"/>
      <c r="C66" s="103" t="s">
        <v>144</v>
      </c>
      <c r="D66" s="104">
        <f>SUM(D43,D65)</f>
        <v>12</v>
      </c>
      <c r="E66" s="105">
        <f>SUM(E65,E43)</f>
        <v>178838.8</v>
      </c>
      <c r="F66" s="106">
        <f>SUM(F65,F43)</f>
        <v>12</v>
      </c>
      <c r="G66" s="103"/>
      <c r="H66" s="103" t="str">
        <f>"Кп= "&amp;ROUNDDOWN((F66/D66)*100,1)&amp;"%"</f>
        <v>Кп= 100%</v>
      </c>
      <c r="I66" s="103" t="str">
        <f>"Км= "&amp;ROUNDDOWN((J66/E66)*100,2)&amp;"%"</f>
        <v>Км= 0,13%</v>
      </c>
      <c r="J66" s="107">
        <f>SUM(J65,J43)</f>
        <v>240</v>
      </c>
    </row>
    <row r="67" spans="1:10" ht="24.75" hidden="1" customHeight="1" outlineLevel="1" x14ac:dyDescent="0.25">
      <c r="A67" s="115" t="s">
        <v>20</v>
      </c>
      <c r="B67" s="115"/>
      <c r="C67" s="115"/>
      <c r="D67" s="116"/>
      <c r="E67" s="115"/>
      <c r="F67" s="115"/>
      <c r="G67" s="115" t="s">
        <v>21</v>
      </c>
      <c r="H67" s="115"/>
      <c r="I67" s="115"/>
      <c r="J67" s="115"/>
    </row>
    <row r="68" spans="1:10" ht="15" customHeight="1" collapsed="1" x14ac:dyDescent="0.25">
      <c r="A68" s="249" t="s">
        <v>14</v>
      </c>
      <c r="B68" s="249"/>
      <c r="C68" s="249"/>
      <c r="D68" s="249"/>
      <c r="E68" s="249"/>
      <c r="F68" s="249"/>
      <c r="G68" s="249"/>
      <c r="H68" s="249"/>
      <c r="I68" s="249"/>
      <c r="J68" s="249"/>
    </row>
    <row r="69" spans="1:10" x14ac:dyDescent="0.25">
      <c r="A69" s="140"/>
      <c r="B69" s="140"/>
      <c r="C69" s="140"/>
      <c r="D69" s="156"/>
      <c r="E69" s="140"/>
      <c r="F69" s="140"/>
      <c r="G69" s="140"/>
      <c r="H69" s="140"/>
      <c r="I69" s="140"/>
      <c r="J69" s="140"/>
    </row>
    <row r="70" spans="1:10" hidden="1" outlineLevel="1" x14ac:dyDescent="0.25">
      <c r="A70" s="140"/>
      <c r="B70" s="140"/>
      <c r="C70" s="140"/>
      <c r="D70" s="156"/>
      <c r="E70" s="140"/>
      <c r="F70" s="140"/>
      <c r="G70" s="140"/>
      <c r="H70" s="140"/>
      <c r="I70" s="140"/>
      <c r="J70" s="140"/>
    </row>
    <row r="71" spans="1:10" hidden="1" outlineLevel="1" x14ac:dyDescent="0.25">
      <c r="A71" s="140"/>
      <c r="B71" s="140"/>
      <c r="C71" s="140"/>
      <c r="D71" s="156"/>
      <c r="E71" s="140"/>
      <c r="F71" s="140"/>
      <c r="G71" s="140"/>
      <c r="H71" s="140"/>
      <c r="I71" s="140"/>
      <c r="J71" s="140"/>
    </row>
    <row r="72" spans="1:10" hidden="1" outlineLevel="1" x14ac:dyDescent="0.25">
      <c r="A72" s="140"/>
      <c r="B72" s="140"/>
      <c r="C72" s="140"/>
      <c r="D72" s="156"/>
      <c r="E72" s="140"/>
      <c r="F72" s="140"/>
      <c r="G72" s="140"/>
      <c r="H72" s="140"/>
      <c r="I72" s="140"/>
      <c r="J72" s="140"/>
    </row>
    <row r="73" spans="1:10" hidden="1" outlineLevel="1" x14ac:dyDescent="0.25">
      <c r="A73" s="140"/>
      <c r="B73" s="140"/>
      <c r="C73" s="140"/>
      <c r="D73" s="156"/>
      <c r="E73" s="140"/>
      <c r="F73" s="140"/>
      <c r="G73" s="140"/>
      <c r="H73" s="140"/>
      <c r="I73" s="140"/>
      <c r="J73" s="140"/>
    </row>
    <row r="74" spans="1:10" collapsed="1" x14ac:dyDescent="0.25">
      <c r="A74" s="86" t="s">
        <v>17</v>
      </c>
      <c r="B74" s="87"/>
      <c r="C74" s="87" t="str">
        <f>"за "&amp;LOWER($A$68)</f>
        <v>за октябрь</v>
      </c>
      <c r="D74" s="88">
        <f>COUNTA(окт_пр)</f>
        <v>0</v>
      </c>
      <c r="E74" s="89">
        <f>SUM(окт_кол)</f>
        <v>0</v>
      </c>
      <c r="F74" s="90">
        <f>COUNTA(акт_вх_окт)+COUNTA(акт_отб_окт)</f>
        <v>0</v>
      </c>
      <c r="G74" s="101"/>
      <c r="H74" s="101"/>
      <c r="I74" s="101"/>
      <c r="J74" s="92">
        <f>SUM(кол_отб_окт)</f>
        <v>0</v>
      </c>
    </row>
    <row r="75" spans="1:10" x14ac:dyDescent="0.25">
      <c r="A75" s="249" t="s">
        <v>15</v>
      </c>
      <c r="B75" s="249"/>
      <c r="C75" s="249"/>
      <c r="D75" s="249"/>
      <c r="E75" s="249"/>
      <c r="F75" s="249"/>
      <c r="G75" s="249"/>
      <c r="H75" s="249"/>
      <c r="I75" s="249"/>
      <c r="J75" s="249"/>
    </row>
    <row r="76" spans="1:10" ht="105" x14ac:dyDescent="0.25">
      <c r="A76" s="215">
        <v>13</v>
      </c>
      <c r="B76" s="98" t="s">
        <v>32</v>
      </c>
      <c r="C76" s="112">
        <v>6</v>
      </c>
      <c r="D76" s="100">
        <v>43794</v>
      </c>
      <c r="E76" s="99">
        <v>20000</v>
      </c>
      <c r="F76" s="125" t="s">
        <v>310</v>
      </c>
      <c r="G76" s="125" t="s">
        <v>236</v>
      </c>
      <c r="H76" s="140"/>
      <c r="I76" s="140"/>
      <c r="J76" s="140"/>
    </row>
    <row r="77" spans="1:10" hidden="1" outlineLevel="1" x14ac:dyDescent="0.25">
      <c r="A77" s="140"/>
      <c r="B77" s="140"/>
      <c r="C77" s="140"/>
      <c r="D77" s="156"/>
      <c r="E77" s="140"/>
      <c r="F77" s="140"/>
      <c r="G77" s="140"/>
      <c r="H77" s="140"/>
      <c r="I77" s="140"/>
      <c r="J77" s="140"/>
    </row>
    <row r="78" spans="1:10" hidden="1" outlineLevel="1" x14ac:dyDescent="0.25">
      <c r="A78" s="140"/>
      <c r="B78" s="140"/>
      <c r="C78" s="140"/>
      <c r="D78" s="156"/>
      <c r="E78" s="140"/>
      <c r="F78" s="140"/>
      <c r="G78" s="140"/>
      <c r="H78" s="140"/>
      <c r="I78" s="140"/>
      <c r="J78" s="140"/>
    </row>
    <row r="79" spans="1:10" hidden="1" outlineLevel="1" x14ac:dyDescent="0.25">
      <c r="A79" s="140"/>
      <c r="B79" s="140"/>
      <c r="C79" s="140"/>
      <c r="D79" s="156"/>
      <c r="E79" s="140"/>
      <c r="F79" s="140"/>
      <c r="G79" s="140"/>
      <c r="H79" s="140"/>
      <c r="I79" s="140"/>
      <c r="J79" s="140"/>
    </row>
    <row r="80" spans="1:10" hidden="1" outlineLevel="1" x14ac:dyDescent="0.25">
      <c r="A80" s="140"/>
      <c r="B80" s="140"/>
      <c r="C80" s="140"/>
      <c r="D80" s="156"/>
      <c r="E80" s="140"/>
      <c r="F80" s="140"/>
      <c r="G80" s="140"/>
      <c r="H80" s="140"/>
      <c r="I80" s="140"/>
      <c r="J80" s="140"/>
    </row>
    <row r="81" spans="1:10" collapsed="1" x14ac:dyDescent="0.25">
      <c r="A81" s="86" t="s">
        <v>17</v>
      </c>
      <c r="B81" s="87"/>
      <c r="C81" s="87" t="str">
        <f>"за "&amp;LOWER($A$75)</f>
        <v>за ноябрь</v>
      </c>
      <c r="D81" s="88">
        <f>COUNTA(нбр_пр)</f>
        <v>1</v>
      </c>
      <c r="E81" s="89">
        <f>SUM(нбр_кол)</f>
        <v>20000</v>
      </c>
      <c r="F81" s="90">
        <f>COUNTA(акт_вх_нбр)+COUNTA(акт_отб_нбр)</f>
        <v>1</v>
      </c>
      <c r="G81" s="101"/>
      <c r="H81" s="101"/>
      <c r="I81" s="101"/>
      <c r="J81" s="92">
        <f>SUM(кол_отб_нбр)</f>
        <v>0</v>
      </c>
    </row>
    <row r="82" spans="1:10" x14ac:dyDescent="0.25">
      <c r="A82" s="249" t="s">
        <v>16</v>
      </c>
      <c r="B82" s="249"/>
      <c r="C82" s="249"/>
      <c r="D82" s="249"/>
      <c r="E82" s="249"/>
      <c r="F82" s="249"/>
      <c r="G82" s="249"/>
      <c r="H82" s="249"/>
      <c r="I82" s="249"/>
      <c r="J82" s="249"/>
    </row>
    <row r="83" spans="1:10" x14ac:dyDescent="0.25">
      <c r="A83" s="140"/>
      <c r="B83" s="140"/>
      <c r="C83" s="140"/>
      <c r="D83" s="140"/>
      <c r="E83" s="140"/>
      <c r="F83" s="140"/>
      <c r="G83" s="140"/>
      <c r="H83" s="140"/>
      <c r="I83" s="140"/>
      <c r="J83" s="140"/>
    </row>
    <row r="84" spans="1:10" hidden="1" outlineLevel="1" x14ac:dyDescent="0.25">
      <c r="A84" s="140"/>
      <c r="B84" s="140"/>
      <c r="C84" s="140"/>
      <c r="D84" s="140"/>
      <c r="E84" s="140"/>
      <c r="F84" s="140"/>
      <c r="G84" s="140"/>
      <c r="H84" s="140"/>
      <c r="I84" s="140"/>
      <c r="J84" s="140"/>
    </row>
    <row r="85" spans="1:10" hidden="1" outlineLevel="1" x14ac:dyDescent="0.25">
      <c r="A85" s="140"/>
      <c r="B85" s="140"/>
      <c r="C85" s="140"/>
      <c r="D85" s="140"/>
      <c r="E85" s="140"/>
      <c r="F85" s="140"/>
      <c r="G85" s="140"/>
      <c r="H85" s="140"/>
      <c r="I85" s="140"/>
      <c r="J85" s="140"/>
    </row>
    <row r="86" spans="1:10" hidden="1" outlineLevel="1" x14ac:dyDescent="0.25">
      <c r="A86" s="140"/>
      <c r="B86" s="140"/>
      <c r="C86" s="140"/>
      <c r="D86" s="140"/>
      <c r="E86" s="140"/>
      <c r="F86" s="140"/>
      <c r="G86" s="140"/>
      <c r="H86" s="140"/>
      <c r="I86" s="140"/>
      <c r="J86" s="140"/>
    </row>
    <row r="87" spans="1:10" hidden="1" outlineLevel="1" x14ac:dyDescent="0.25">
      <c r="A87" s="140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collapsed="1" x14ac:dyDescent="0.25">
      <c r="A88" s="86" t="s">
        <v>17</v>
      </c>
      <c r="B88" s="87"/>
      <c r="C88" s="87" t="str">
        <f>"за "&amp;LOWER($A$82)</f>
        <v>за декабрь</v>
      </c>
      <c r="D88" s="88">
        <f>COUNTA(дкб_пр)</f>
        <v>0</v>
      </c>
      <c r="E88" s="89">
        <f>SUM(дкб_кол)</f>
        <v>0</v>
      </c>
      <c r="F88" s="90">
        <f>COUNTA(акт_вх_дкб)+COUNTA(акт_отб_дкб)</f>
        <v>0</v>
      </c>
      <c r="G88" s="101"/>
      <c r="H88" s="101"/>
      <c r="I88" s="101"/>
      <c r="J88" s="92">
        <f>SUM(кол_отб_дкб)</f>
        <v>0</v>
      </c>
    </row>
    <row r="89" spans="1:10" ht="32.25" customHeight="1" x14ac:dyDescent="0.25">
      <c r="A89" s="102" t="s">
        <v>17</v>
      </c>
      <c r="B89" s="103"/>
      <c r="C89" s="103" t="s">
        <v>143</v>
      </c>
      <c r="D89" s="104">
        <f>SUM(D74,D81,D88)</f>
        <v>1</v>
      </c>
      <c r="E89" s="105">
        <f>SUM(E74,E81,E88)</f>
        <v>20000</v>
      </c>
      <c r="F89" s="106">
        <f>SUM(F74,F81,F88)</f>
        <v>1</v>
      </c>
      <c r="G89" s="103"/>
      <c r="H89" s="103" t="str">
        <f>"Кп= "&amp;ROUNDDOWN((F89/D89)*100,1)&amp;"%"</f>
        <v>Кп= 100%</v>
      </c>
      <c r="I89" s="103" t="str">
        <f>"Км= "&amp;ROUNDDOWN((J89/E89)*100,2)&amp;"%"</f>
        <v>Км= 0%</v>
      </c>
      <c r="J89" s="107">
        <f>SUM(J74,J81,J88)</f>
        <v>0</v>
      </c>
    </row>
    <row r="90" spans="1:10" ht="27" customHeight="1" x14ac:dyDescent="0.25">
      <c r="A90" s="102" t="s">
        <v>17</v>
      </c>
      <c r="B90" s="103"/>
      <c r="C90" s="103" t="s">
        <v>145</v>
      </c>
      <c r="D90" s="104">
        <f>SUM(D89,D66)</f>
        <v>13</v>
      </c>
      <c r="E90" s="105">
        <f>SUM(E89,E66)</f>
        <v>198838.8</v>
      </c>
      <c r="F90" s="106">
        <f>SUM(F89,F66)</f>
        <v>13</v>
      </c>
      <c r="G90" s="103"/>
      <c r="H90" s="103" t="str">
        <f>"Кп= "&amp;ROUNDDOWN((F90/D90)*100,1)&amp;"%"</f>
        <v>Кп= 100%</v>
      </c>
      <c r="I90" s="103" t="str">
        <f>"Км= "&amp;ROUNDDOWN((J90/E90)*100,2)&amp;"%"</f>
        <v>Км= 0,12%</v>
      </c>
      <c r="J90" s="107">
        <f>SUM(J89,J66)</f>
        <v>240</v>
      </c>
    </row>
    <row r="91" spans="1:10" ht="26.25" customHeight="1" x14ac:dyDescent="0.25">
      <c r="A91" s="115" t="s">
        <v>20</v>
      </c>
      <c r="B91" s="115"/>
      <c r="C91" s="115"/>
      <c r="D91" s="116"/>
      <c r="E91" s="115"/>
      <c r="F91" s="115"/>
      <c r="G91" s="115" t="s">
        <v>21</v>
      </c>
      <c r="H91" s="115"/>
      <c r="I91" s="115"/>
      <c r="J91" s="115"/>
    </row>
  </sheetData>
  <sheetProtection algorithmName="SHA-512" hashValue="4ZmtyQ5h9xL4pkspFPO8EYd+GsfxpYkQptI3lgZLrVoXBUB/frjH1RtZfeY2PB8jZf5JCVH6VzRFxjOlupAJjw==" saltValue="uVp6y5TKjdVaTuSPnwcgkw==" spinCount="100000" sheet="1" formatCells="0" formatColumns="0" formatRows="0" insertColumns="0" insertRows="0" insertHyperlinks="0" deleteColumns="0" deleteRows="0" sort="0" autoFilter="0" pivotTables="0"/>
  <mergeCells count="21">
    <mergeCell ref="A82:J82"/>
    <mergeCell ref="A6:J6"/>
    <mergeCell ref="A9:J9"/>
    <mergeCell ref="A13:J13"/>
    <mergeCell ref="A22:J22"/>
    <mergeCell ref="A28:J28"/>
    <mergeCell ref="A35:J35"/>
    <mergeCell ref="A47:J47"/>
    <mergeCell ref="A54:J54"/>
    <mergeCell ref="A61:J61"/>
    <mergeCell ref="A68:J68"/>
    <mergeCell ref="A75:J75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/>
  <pageMargins left="0.25" right="0.25" top="0.75" bottom="0.75" header="0.3" footer="0.3"/>
  <pageSetup paperSize="9" scale="87" fitToHeight="0" orientation="landscape" r:id="rId1"/>
  <headerFooter>
    <oddFooter>Страница  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B47CF-3168-42C5-9600-59DB9BF2AF90}">
  <sheetPr codeName="Лист7">
    <pageSetUpPr fitToPage="1"/>
  </sheetPr>
  <dimension ref="A1:N99"/>
  <sheetViews>
    <sheetView zoomScale="85" zoomScaleNormal="85" workbookViewId="0">
      <pane ySplit="4" topLeftCell="A43" activePane="bottomLeft" state="frozen"/>
      <selection activeCell="J16" sqref="J16:J19"/>
      <selection pane="bottomLeft" activeCell="E43" sqref="E43"/>
    </sheetView>
  </sheetViews>
  <sheetFormatPr defaultRowHeight="15" outlineLevelRow="1" x14ac:dyDescent="0.25"/>
  <cols>
    <col min="1" max="1" width="5" customWidth="1"/>
    <col min="2" max="2" width="45.85546875" customWidth="1"/>
    <col min="3" max="3" width="16.140625" customWidth="1"/>
    <col min="4" max="4" width="14.42578125" customWidth="1"/>
    <col min="5" max="5" width="17.28515625" bestFit="1" customWidth="1"/>
    <col min="6" max="6" width="17" bestFit="1" customWidth="1"/>
    <col min="7" max="7" width="13.140625" customWidth="1"/>
    <col min="8" max="8" width="12.5703125" customWidth="1"/>
    <col min="9" max="9" width="11.85546875" customWidth="1"/>
    <col min="10" max="10" width="16.5703125" customWidth="1"/>
    <col min="11" max="11" width="11.140625" customWidth="1"/>
  </cols>
  <sheetData>
    <row r="1" spans="1:14" ht="15.75" x14ac:dyDescent="0.25">
      <c r="A1" s="82"/>
      <c r="B1" s="82"/>
      <c r="C1" s="82"/>
      <c r="D1" s="82"/>
      <c r="E1" s="82"/>
      <c r="F1" s="82"/>
      <c r="G1" s="82"/>
      <c r="H1" s="82"/>
      <c r="I1" s="82"/>
      <c r="J1" s="83" t="s">
        <v>97</v>
      </c>
    </row>
    <row r="2" spans="1:14" ht="33.75" customHeight="1" x14ac:dyDescent="0.25">
      <c r="A2" s="256" t="s">
        <v>300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99</v>
      </c>
      <c r="F3" s="257" t="s">
        <v>3</v>
      </c>
      <c r="G3" s="257"/>
      <c r="H3" s="261" t="s">
        <v>2</v>
      </c>
      <c r="I3" s="262"/>
      <c r="J3" s="260" t="s">
        <v>96</v>
      </c>
    </row>
    <row r="4" spans="1:14" ht="32.25" customHeight="1" x14ac:dyDescent="0.25">
      <c r="A4" s="257"/>
      <c r="B4" s="259"/>
      <c r="C4" s="257"/>
      <c r="D4" s="257"/>
      <c r="E4" s="257"/>
      <c r="F4" s="84" t="s">
        <v>0</v>
      </c>
      <c r="G4" s="84" t="s">
        <v>4</v>
      </c>
      <c r="H4" s="84" t="s">
        <v>0</v>
      </c>
      <c r="I4" s="84" t="s">
        <v>4</v>
      </c>
      <c r="J4" s="257"/>
    </row>
    <row r="5" spans="1:14" ht="14.25" customHeight="1" x14ac:dyDescent="0.25">
      <c r="A5" s="81">
        <v>1</v>
      </c>
      <c r="B5" s="81">
        <v>2</v>
      </c>
      <c r="C5" s="81">
        <v>3</v>
      </c>
      <c r="D5" s="81">
        <v>4</v>
      </c>
      <c r="E5" s="81">
        <v>5</v>
      </c>
      <c r="F5" s="81">
        <v>6</v>
      </c>
      <c r="G5" s="81">
        <v>7</v>
      </c>
      <c r="H5" s="81">
        <v>8</v>
      </c>
      <c r="I5" s="81">
        <v>9</v>
      </c>
      <c r="J5" s="81">
        <v>10</v>
      </c>
      <c r="M5" s="18"/>
    </row>
    <row r="6" spans="1:14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x14ac:dyDescent="0.25">
      <c r="A7" s="108">
        <v>1</v>
      </c>
      <c r="B7" s="169" t="s">
        <v>34</v>
      </c>
      <c r="C7" s="165">
        <v>322</v>
      </c>
      <c r="D7" s="166">
        <v>43490</v>
      </c>
      <c r="E7" s="165">
        <v>2106</v>
      </c>
      <c r="F7" s="109"/>
      <c r="G7" s="109"/>
      <c r="H7" s="109"/>
      <c r="I7" s="109"/>
      <c r="J7" s="78"/>
    </row>
    <row r="8" spans="1:14" hidden="1" outlineLevel="1" x14ac:dyDescent="0.25">
      <c r="A8" s="94"/>
      <c r="B8" s="94"/>
      <c r="C8" s="119"/>
      <c r="D8" s="120"/>
      <c r="E8" s="121"/>
      <c r="F8" s="81"/>
      <c r="G8" s="81"/>
      <c r="H8" s="81"/>
      <c r="I8" s="81"/>
      <c r="J8" s="81"/>
    </row>
    <row r="9" spans="1:14" hidden="1" outlineLevel="1" x14ac:dyDescent="0.25">
      <c r="A9" s="94"/>
      <c r="B9" s="94"/>
      <c r="C9" s="119"/>
      <c r="D9" s="120"/>
      <c r="E9" s="121"/>
      <c r="F9" s="81"/>
      <c r="G9" s="81"/>
      <c r="H9" s="81"/>
      <c r="I9" s="81"/>
      <c r="J9" s="81"/>
    </row>
    <row r="10" spans="1:14" hidden="1" outlineLevel="1" x14ac:dyDescent="0.25">
      <c r="A10" s="94"/>
      <c r="B10" s="94"/>
      <c r="C10" s="119"/>
      <c r="D10" s="120"/>
      <c r="E10" s="121"/>
      <c r="F10" s="81"/>
      <c r="G10" s="81"/>
      <c r="H10" s="81"/>
      <c r="I10" s="81"/>
      <c r="J10" s="81"/>
    </row>
    <row r="11" spans="1:14" hidden="1" outlineLevel="1" x14ac:dyDescent="0.25">
      <c r="A11" s="94"/>
      <c r="B11" s="94"/>
      <c r="C11" s="119"/>
      <c r="D11" s="120"/>
      <c r="E11" s="121"/>
      <c r="F11" s="81"/>
      <c r="G11" s="81"/>
      <c r="H11" s="81"/>
      <c r="I11" s="81"/>
      <c r="J11" s="81"/>
    </row>
    <row r="12" spans="1:14" s="1" customFormat="1" collapsed="1" x14ac:dyDescent="0.25">
      <c r="A12" s="86" t="s">
        <v>17</v>
      </c>
      <c r="B12" s="87"/>
      <c r="C12" s="87" t="str">
        <f>"за "&amp;LOWER($A$6)</f>
        <v>за январь</v>
      </c>
      <c r="D12" s="88">
        <f>COUNTA(янв_пр)</f>
        <v>1</v>
      </c>
      <c r="E12" s="89">
        <f>SUM(янв_кол)</f>
        <v>2106</v>
      </c>
      <c r="F12" s="90">
        <f>COUNTA(акт_вх_янв)+COUNTA(акт_отб_янв)</f>
        <v>0</v>
      </c>
      <c r="G12" s="91"/>
      <c r="H12" s="91"/>
      <c r="I12" s="91"/>
      <c r="J12" s="92">
        <f>SUM(кол_отб_янв)</f>
        <v>0</v>
      </c>
    </row>
    <row r="13" spans="1:14" x14ac:dyDescent="0.25">
      <c r="A13" s="250" t="s">
        <v>6</v>
      </c>
      <c r="B13" s="250"/>
      <c r="C13" s="250"/>
      <c r="D13" s="250"/>
      <c r="E13" s="250"/>
      <c r="F13" s="250"/>
      <c r="G13" s="250"/>
      <c r="H13" s="250"/>
      <c r="I13" s="250"/>
      <c r="J13" s="250"/>
      <c r="L13" s="1"/>
      <c r="M13" s="1"/>
      <c r="N13" s="1"/>
    </row>
    <row r="14" spans="1:14" x14ac:dyDescent="0.25">
      <c r="A14" s="77"/>
      <c r="B14" s="77"/>
      <c r="C14" s="122"/>
      <c r="D14" s="118"/>
      <c r="E14" s="123"/>
      <c r="F14" s="94"/>
      <c r="G14" s="94"/>
      <c r="H14" s="94"/>
      <c r="I14" s="94"/>
      <c r="J14" s="94"/>
      <c r="L14" s="1"/>
      <c r="M14" s="1"/>
      <c r="N14" s="1"/>
    </row>
    <row r="15" spans="1:14" hidden="1" outlineLevel="1" x14ac:dyDescent="0.25">
      <c r="A15" s="94"/>
      <c r="B15" s="94"/>
      <c r="C15" s="124"/>
      <c r="D15" s="120"/>
      <c r="E15" s="121"/>
      <c r="F15" s="94"/>
      <c r="G15" s="94"/>
      <c r="H15" s="94"/>
      <c r="I15" s="94"/>
      <c r="J15" s="94"/>
      <c r="L15" s="1"/>
      <c r="M15" s="1"/>
      <c r="N15" s="1"/>
    </row>
    <row r="16" spans="1:14" hidden="1" outlineLevel="1" x14ac:dyDescent="0.25">
      <c r="A16" s="94"/>
      <c r="B16" s="94"/>
      <c r="C16" s="124"/>
      <c r="D16" s="120"/>
      <c r="E16" s="121"/>
      <c r="F16" s="94"/>
      <c r="G16" s="94"/>
      <c r="H16" s="94"/>
      <c r="I16" s="94"/>
      <c r="J16" s="94"/>
      <c r="L16" s="1"/>
      <c r="M16" s="1"/>
      <c r="N16" s="1"/>
    </row>
    <row r="17" spans="1:14" hidden="1" outlineLevel="1" x14ac:dyDescent="0.25">
      <c r="A17" s="94"/>
      <c r="B17" s="94"/>
      <c r="C17" s="124"/>
      <c r="D17" s="120"/>
      <c r="E17" s="121"/>
      <c r="F17" s="94"/>
      <c r="G17" s="94"/>
      <c r="H17" s="94"/>
      <c r="I17" s="94"/>
      <c r="J17" s="94"/>
      <c r="L17" s="1"/>
      <c r="M17" s="70"/>
      <c r="N17" s="1"/>
    </row>
    <row r="18" spans="1:14" hidden="1" outlineLevel="1" x14ac:dyDescent="0.25">
      <c r="A18" s="94"/>
      <c r="B18" s="94"/>
      <c r="C18" s="124"/>
      <c r="D18" s="120"/>
      <c r="E18" s="121"/>
      <c r="F18" s="94"/>
      <c r="G18" s="94"/>
      <c r="H18" s="94"/>
      <c r="I18" s="94"/>
      <c r="J18" s="94"/>
      <c r="L18" s="1"/>
      <c r="M18" s="1"/>
      <c r="N18" s="1"/>
    </row>
    <row r="19" spans="1:14" collapsed="1" x14ac:dyDescent="0.25">
      <c r="A19" s="86" t="s">
        <v>17</v>
      </c>
      <c r="B19" s="87"/>
      <c r="C19" s="87" t="str">
        <f>"за "&amp;LOWER($A$13)</f>
        <v>за февраль</v>
      </c>
      <c r="D19" s="88">
        <f>COUNTA(фев_пр)</f>
        <v>0</v>
      </c>
      <c r="E19" s="89">
        <f>SUM(фев_кол)</f>
        <v>0</v>
      </c>
      <c r="F19" s="90">
        <f>COUNTA(акт_вх_фев)+COUNTA(акт_отб_фев)</f>
        <v>0</v>
      </c>
      <c r="G19" s="91"/>
      <c r="H19" s="91"/>
      <c r="I19" s="91"/>
      <c r="J19" s="92">
        <f>SUM(кол_отб_фев)</f>
        <v>0</v>
      </c>
      <c r="L19" s="1"/>
      <c r="M19" s="1"/>
      <c r="N19" s="1"/>
    </row>
    <row r="20" spans="1:14" x14ac:dyDescent="0.25">
      <c r="A20" s="249" t="s">
        <v>7</v>
      </c>
      <c r="B20" s="249"/>
      <c r="C20" s="249"/>
      <c r="D20" s="249"/>
      <c r="E20" s="249"/>
      <c r="F20" s="249"/>
      <c r="G20" s="249"/>
      <c r="H20" s="249"/>
      <c r="I20" s="249"/>
      <c r="J20" s="249"/>
      <c r="L20" s="1"/>
      <c r="M20" s="1"/>
      <c r="N20" s="1"/>
    </row>
    <row r="21" spans="1:14" x14ac:dyDescent="0.25">
      <c r="A21" s="108">
        <v>2</v>
      </c>
      <c r="B21" s="168" t="s">
        <v>34</v>
      </c>
      <c r="C21" s="164">
        <v>322</v>
      </c>
      <c r="D21" s="161">
        <v>43538</v>
      </c>
      <c r="E21" s="164">
        <v>1615</v>
      </c>
      <c r="F21" s="113"/>
      <c r="G21" s="125"/>
      <c r="H21" s="125"/>
      <c r="I21" s="125"/>
      <c r="J21" s="98"/>
      <c r="L21" s="1"/>
      <c r="M21" s="1"/>
      <c r="N21" s="1"/>
    </row>
    <row r="22" spans="1:14" hidden="1" outlineLevel="1" x14ac:dyDescent="0.25">
      <c r="A22" s="94"/>
      <c r="B22" s="94"/>
      <c r="C22" s="119"/>
      <c r="D22" s="120"/>
      <c r="E22" s="94"/>
      <c r="F22" s="94"/>
      <c r="G22" s="94"/>
      <c r="H22" s="94"/>
      <c r="I22" s="94"/>
      <c r="J22" s="94"/>
      <c r="L22" s="1"/>
      <c r="M22" s="1"/>
      <c r="N22" s="1"/>
    </row>
    <row r="23" spans="1:14" hidden="1" outlineLevel="1" x14ac:dyDescent="0.25">
      <c r="A23" s="94"/>
      <c r="B23" s="94"/>
      <c r="C23" s="119"/>
      <c r="D23" s="120"/>
      <c r="E23" s="94"/>
      <c r="F23" s="94"/>
      <c r="G23" s="94"/>
      <c r="H23" s="94"/>
      <c r="I23" s="94"/>
      <c r="J23" s="94"/>
      <c r="L23" s="1"/>
      <c r="M23" s="1"/>
      <c r="N23" s="1"/>
    </row>
    <row r="24" spans="1:14" hidden="1" outlineLevel="1" x14ac:dyDescent="0.25">
      <c r="A24" s="94"/>
      <c r="B24" s="94"/>
      <c r="C24" s="119"/>
      <c r="D24" s="120"/>
      <c r="E24" s="94"/>
      <c r="F24" s="94"/>
      <c r="G24" s="94"/>
      <c r="H24" s="94"/>
      <c r="I24" s="94"/>
      <c r="J24" s="94"/>
      <c r="L24" s="1"/>
      <c r="M24" s="1"/>
      <c r="N24" s="1"/>
    </row>
    <row r="25" spans="1:14" hidden="1" outlineLevel="1" x14ac:dyDescent="0.25">
      <c r="A25" s="94"/>
      <c r="B25" s="94"/>
      <c r="C25" s="119"/>
      <c r="D25" s="120"/>
      <c r="E25" s="94"/>
      <c r="F25" s="94"/>
      <c r="G25" s="94"/>
      <c r="H25" s="94"/>
      <c r="I25" s="94"/>
      <c r="J25" s="94"/>
      <c r="L25" s="1"/>
      <c r="M25" s="1"/>
      <c r="N25" s="1"/>
    </row>
    <row r="26" spans="1:14" collapsed="1" x14ac:dyDescent="0.25">
      <c r="A26" s="86" t="s">
        <v>17</v>
      </c>
      <c r="B26" s="87"/>
      <c r="C26" s="87" t="str">
        <f>"за "&amp;LOWER($A$20)</f>
        <v>за март</v>
      </c>
      <c r="D26" s="88">
        <f>COUNTA(мрт_пр)</f>
        <v>1</v>
      </c>
      <c r="E26" s="89">
        <f>SUM(мрт_кол)</f>
        <v>1615</v>
      </c>
      <c r="F26" s="90">
        <f>COUNTA(акт_вх_мрт)+COUNTA(акт_отб_мрт)</f>
        <v>0</v>
      </c>
      <c r="G26" s="101"/>
      <c r="H26" s="101"/>
      <c r="I26" s="101"/>
      <c r="J26" s="92">
        <f>SUM(кол_отб_мрт)</f>
        <v>0</v>
      </c>
      <c r="L26" s="1"/>
      <c r="M26" s="1"/>
      <c r="N26" s="1"/>
    </row>
    <row r="27" spans="1:14" ht="16.5" customHeight="1" x14ac:dyDescent="0.25">
      <c r="A27" s="102" t="s">
        <v>17</v>
      </c>
      <c r="B27" s="103"/>
      <c r="C27" s="103" t="s">
        <v>18</v>
      </c>
      <c r="D27" s="104">
        <f>SUM(D12,D19,D26)</f>
        <v>2</v>
      </c>
      <c r="E27" s="105">
        <f>SUM(E12,E19,E26)</f>
        <v>3721</v>
      </c>
      <c r="F27" s="106">
        <f>SUM(F12,F19,F26)</f>
        <v>0</v>
      </c>
      <c r="G27" s="103"/>
      <c r="H27" s="103" t="str">
        <f>"Кп= "&amp;ROUNDDOWN((F27/D27)*100,1)&amp;"%"</f>
        <v>Кп= 0%</v>
      </c>
      <c r="I27" s="103" t="str">
        <f>"Км= "&amp;ROUNDDOWN((J27/E27)*100,1)&amp;"%"</f>
        <v>Км= 0%</v>
      </c>
      <c r="J27" s="107">
        <f>SUM(J12,J19,J26)</f>
        <v>0</v>
      </c>
      <c r="L27" s="1"/>
      <c r="M27" s="1"/>
      <c r="N27" s="1"/>
    </row>
    <row r="28" spans="1:14" ht="31.5" hidden="1" customHeight="1" outlineLevel="1" x14ac:dyDescent="0.25">
      <c r="A28" s="115" t="s">
        <v>20</v>
      </c>
      <c r="B28" s="115"/>
      <c r="C28" s="115"/>
      <c r="D28" s="116"/>
      <c r="E28" s="115"/>
      <c r="F28" s="115"/>
      <c r="G28" s="115" t="s">
        <v>21</v>
      </c>
      <c r="H28" s="115"/>
      <c r="I28" s="115"/>
      <c r="J28" s="115"/>
      <c r="L28" s="1"/>
      <c r="M28" s="1"/>
      <c r="N28" s="1"/>
    </row>
    <row r="29" spans="1:14" collapsed="1" x14ac:dyDescent="0.25">
      <c r="A29" s="251" t="s">
        <v>8</v>
      </c>
      <c r="B29" s="251"/>
      <c r="C29" s="251"/>
      <c r="D29" s="251"/>
      <c r="E29" s="251"/>
      <c r="F29" s="251"/>
      <c r="G29" s="251"/>
      <c r="H29" s="251"/>
      <c r="I29" s="251"/>
      <c r="J29" s="251"/>
      <c r="L29" s="1"/>
      <c r="M29" s="1"/>
      <c r="N29" s="1"/>
    </row>
    <row r="30" spans="1:14" x14ac:dyDescent="0.25">
      <c r="A30" s="155">
        <v>3</v>
      </c>
      <c r="B30" s="167" t="s">
        <v>34</v>
      </c>
      <c r="C30" s="162">
        <v>10.8</v>
      </c>
      <c r="D30" s="163">
        <v>43564</v>
      </c>
      <c r="E30" s="162">
        <v>1510.6</v>
      </c>
      <c r="F30" s="137"/>
      <c r="G30" s="137"/>
      <c r="H30" s="137"/>
      <c r="I30" s="137"/>
      <c r="J30" s="137"/>
      <c r="L30" s="1"/>
      <c r="M30" s="1"/>
      <c r="N30" s="1"/>
    </row>
    <row r="31" spans="1:14" outlineLevel="1" x14ac:dyDescent="0.25">
      <c r="A31" s="155">
        <v>4</v>
      </c>
      <c r="B31" s="167" t="s">
        <v>35</v>
      </c>
      <c r="C31" s="162">
        <v>177</v>
      </c>
      <c r="D31" s="163">
        <v>43564</v>
      </c>
      <c r="E31" s="162">
        <v>418</v>
      </c>
      <c r="F31" s="137"/>
      <c r="G31" s="137"/>
      <c r="H31" s="137"/>
      <c r="I31" s="137"/>
      <c r="J31" s="137"/>
      <c r="L31" s="1"/>
      <c r="M31" s="1"/>
      <c r="N31" s="1"/>
    </row>
    <row r="32" spans="1:14" outlineLevel="1" x14ac:dyDescent="0.25">
      <c r="A32" s="155">
        <v>5</v>
      </c>
      <c r="B32" s="167" t="s">
        <v>34</v>
      </c>
      <c r="C32" s="162" t="s">
        <v>175</v>
      </c>
      <c r="D32" s="163">
        <v>43581</v>
      </c>
      <c r="E32" s="162">
        <v>1800</v>
      </c>
      <c r="F32" s="137"/>
      <c r="G32" s="137"/>
      <c r="H32" s="137"/>
      <c r="I32" s="137"/>
      <c r="J32" s="137"/>
      <c r="L32" s="1"/>
      <c r="M32" s="1"/>
      <c r="N32" s="1"/>
    </row>
    <row r="33" spans="1:14" outlineLevel="1" x14ac:dyDescent="0.25">
      <c r="A33" s="155">
        <v>6</v>
      </c>
      <c r="B33" s="167" t="s">
        <v>35</v>
      </c>
      <c r="C33" s="162">
        <v>177</v>
      </c>
      <c r="D33" s="163">
        <v>43581</v>
      </c>
      <c r="E33" s="162">
        <v>138</v>
      </c>
      <c r="F33" s="137"/>
      <c r="G33" s="137"/>
      <c r="H33" s="137"/>
      <c r="I33" s="137"/>
      <c r="J33" s="137"/>
      <c r="L33" s="1"/>
      <c r="M33" s="1"/>
      <c r="N33" s="1"/>
    </row>
    <row r="34" spans="1:14" x14ac:dyDescent="0.25">
      <c r="A34" s="86" t="s">
        <v>17</v>
      </c>
      <c r="B34" s="87"/>
      <c r="C34" s="87" t="str">
        <f>"за "&amp;LOWER($A$29)</f>
        <v>за апрель</v>
      </c>
      <c r="D34" s="88">
        <f>COUNTA(апр_пр)</f>
        <v>4</v>
      </c>
      <c r="E34" s="89">
        <f>SUM(апр_кол)</f>
        <v>3866.6</v>
      </c>
      <c r="F34" s="90">
        <f>COUNTA(акт_вх_апр)+COUNTA(акт_отб_апр)</f>
        <v>0</v>
      </c>
      <c r="G34" s="101"/>
      <c r="H34" s="101"/>
      <c r="I34" s="101"/>
      <c r="J34" s="92">
        <f>SUM(кол_отб_апр)</f>
        <v>0</v>
      </c>
      <c r="L34" s="1"/>
      <c r="M34" s="1"/>
      <c r="N34" s="1"/>
    </row>
    <row r="35" spans="1:14" x14ac:dyDescent="0.25">
      <c r="A35" s="249" t="s">
        <v>9</v>
      </c>
      <c r="B35" s="249"/>
      <c r="C35" s="249"/>
      <c r="D35" s="249"/>
      <c r="E35" s="249"/>
      <c r="F35" s="249"/>
      <c r="G35" s="249"/>
      <c r="H35" s="249"/>
      <c r="I35" s="249"/>
      <c r="J35" s="249"/>
      <c r="L35" s="1"/>
      <c r="M35" s="1"/>
      <c r="N35" s="1"/>
    </row>
    <row r="36" spans="1:14" x14ac:dyDescent="0.25">
      <c r="A36" s="108">
        <v>7</v>
      </c>
      <c r="B36" s="167" t="s">
        <v>34</v>
      </c>
      <c r="C36" s="162">
        <v>258</v>
      </c>
      <c r="D36" s="163">
        <v>43600</v>
      </c>
      <c r="E36" s="162">
        <v>1658.6</v>
      </c>
      <c r="F36" s="136"/>
      <c r="G36" s="136"/>
      <c r="H36" s="136"/>
      <c r="I36" s="136"/>
      <c r="J36" s="136"/>
      <c r="L36" s="1"/>
      <c r="M36" s="1"/>
      <c r="N36" s="1"/>
    </row>
    <row r="37" spans="1:14" hidden="1" outlineLevel="1" x14ac:dyDescent="0.2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L37" s="1"/>
      <c r="M37" s="1"/>
      <c r="N37" s="1"/>
    </row>
    <row r="38" spans="1:14" hidden="1" outlineLevel="1" x14ac:dyDescent="0.25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L38" s="1"/>
      <c r="M38" s="1"/>
      <c r="N38" s="1"/>
    </row>
    <row r="39" spans="1:14" hidden="1" outlineLevel="1" x14ac:dyDescent="0.25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L39" s="1"/>
      <c r="M39" s="1"/>
      <c r="N39" s="1"/>
    </row>
    <row r="40" spans="1:14" hidden="1" outlineLevel="1" x14ac:dyDescent="0.25">
      <c r="A40" s="158"/>
      <c r="B40" s="158"/>
      <c r="C40" s="158"/>
      <c r="D40" s="159"/>
      <c r="E40" s="158"/>
      <c r="F40" s="158"/>
      <c r="G40" s="158"/>
      <c r="H40" s="158"/>
      <c r="I40" s="158"/>
      <c r="J40" s="158"/>
    </row>
    <row r="41" spans="1:14" collapsed="1" x14ac:dyDescent="0.25">
      <c r="A41" s="86" t="s">
        <v>17</v>
      </c>
      <c r="B41" s="87"/>
      <c r="C41" s="87" t="str">
        <f>"за "&amp;LOWER($A$35)</f>
        <v>за май</v>
      </c>
      <c r="D41" s="88">
        <f>COUNTA(май_пр)</f>
        <v>1</v>
      </c>
      <c r="E41" s="89">
        <f>SUM(май_кол)</f>
        <v>1658.6</v>
      </c>
      <c r="F41" s="90">
        <f>COUNTA(акт_вх_май)+COUNTA(акт_отб_май)</f>
        <v>0</v>
      </c>
      <c r="G41" s="101"/>
      <c r="H41" s="101"/>
      <c r="I41" s="101"/>
      <c r="J41" s="92">
        <f>SUM(кол_отб_май)</f>
        <v>0</v>
      </c>
    </row>
    <row r="42" spans="1:14" x14ac:dyDescent="0.25">
      <c r="A42" s="249" t="s">
        <v>10</v>
      </c>
      <c r="B42" s="249"/>
      <c r="C42" s="249"/>
      <c r="D42" s="249"/>
      <c r="E42" s="249"/>
      <c r="F42" s="249"/>
      <c r="G42" s="249"/>
      <c r="H42" s="249"/>
      <c r="I42" s="249"/>
      <c r="J42" s="249"/>
    </row>
    <row r="43" spans="1:14" x14ac:dyDescent="0.25">
      <c r="A43" s="108">
        <v>8</v>
      </c>
      <c r="B43" s="168" t="s">
        <v>34</v>
      </c>
      <c r="C43" s="160">
        <v>258</v>
      </c>
      <c r="D43" s="161">
        <v>43627</v>
      </c>
      <c r="E43" s="160">
        <v>1472.2</v>
      </c>
      <c r="F43" s="140"/>
      <c r="G43" s="140"/>
      <c r="H43" s="140"/>
      <c r="I43" s="140"/>
      <c r="J43" s="140"/>
    </row>
    <row r="44" spans="1:14" hidden="1" outlineLevel="1" x14ac:dyDescent="0.25">
      <c r="A44" s="140"/>
      <c r="B44" s="140"/>
      <c r="C44" s="140"/>
      <c r="D44" s="156"/>
      <c r="E44" s="140"/>
      <c r="F44" s="140"/>
      <c r="G44" s="140"/>
      <c r="H44" s="140"/>
      <c r="I44" s="140"/>
      <c r="J44" s="140"/>
    </row>
    <row r="45" spans="1:14" hidden="1" outlineLevel="1" x14ac:dyDescent="0.25">
      <c r="A45" s="140"/>
      <c r="B45" s="140"/>
      <c r="C45" s="140"/>
      <c r="D45" s="156"/>
      <c r="E45" s="140"/>
      <c r="F45" s="140"/>
      <c r="G45" s="140"/>
      <c r="H45" s="140"/>
      <c r="I45" s="140"/>
      <c r="J45" s="140"/>
    </row>
    <row r="46" spans="1:14" hidden="1" outlineLevel="1" x14ac:dyDescent="0.25">
      <c r="A46" s="140"/>
      <c r="B46" s="140"/>
      <c r="C46" s="140"/>
      <c r="D46" s="156"/>
      <c r="E46" s="140"/>
      <c r="F46" s="140"/>
      <c r="G46" s="140"/>
      <c r="H46" s="140"/>
      <c r="I46" s="140"/>
      <c r="J46" s="140"/>
    </row>
    <row r="47" spans="1:14" hidden="1" outlineLevel="1" x14ac:dyDescent="0.25">
      <c r="A47" s="140"/>
      <c r="B47" s="140"/>
      <c r="C47" s="140"/>
      <c r="D47" s="156"/>
      <c r="E47" s="140"/>
      <c r="F47" s="140"/>
      <c r="G47" s="140"/>
      <c r="H47" s="140"/>
      <c r="I47" s="140"/>
      <c r="J47" s="140"/>
    </row>
    <row r="48" spans="1:14" collapsed="1" x14ac:dyDescent="0.25">
      <c r="A48" s="86" t="s">
        <v>17</v>
      </c>
      <c r="B48" s="87"/>
      <c r="C48" s="87" t="str">
        <f>"за "&amp;LOWER($A$42)</f>
        <v>за июнь</v>
      </c>
      <c r="D48" s="88">
        <f>COUNTA(июн_пр)</f>
        <v>1</v>
      </c>
      <c r="E48" s="89">
        <f>SUM(июн_кол)</f>
        <v>1472.2</v>
      </c>
      <c r="F48" s="90">
        <f>COUNTA(акт_вх_июн)+COUNTA(акт_отб_июн)</f>
        <v>0</v>
      </c>
      <c r="G48" s="101"/>
      <c r="H48" s="101"/>
      <c r="I48" s="101"/>
      <c r="J48" s="92">
        <f>SUM(кол_отб_июн)</f>
        <v>0</v>
      </c>
    </row>
    <row r="49" spans="1:10" ht="19.5" customHeight="1" x14ac:dyDescent="0.25">
      <c r="A49" s="102" t="s">
        <v>17</v>
      </c>
      <c r="B49" s="103"/>
      <c r="C49" s="103" t="s">
        <v>140</v>
      </c>
      <c r="D49" s="104">
        <f>SUM(D34,D41,D48)</f>
        <v>6</v>
      </c>
      <c r="E49" s="105">
        <f>SUM(E34,E41,E48)</f>
        <v>6997.4</v>
      </c>
      <c r="F49" s="106">
        <f>SUM(F34,F41,F48)</f>
        <v>0</v>
      </c>
      <c r="G49" s="103"/>
      <c r="H49" s="103" t="str">
        <f>"Кп= "&amp;ROUNDDOWN((F49/D49)*100,1)&amp;"%"</f>
        <v>Кп= 0%</v>
      </c>
      <c r="I49" s="103" t="str">
        <f>"Км= "&amp;ROUNDDOWN((J49/E49)*100,1)&amp;"%"</f>
        <v>Км= 0%</v>
      </c>
      <c r="J49" s="107">
        <f>SUM(J34,J41,J48)</f>
        <v>0</v>
      </c>
    </row>
    <row r="50" spans="1:10" ht="18" customHeight="1" x14ac:dyDescent="0.25">
      <c r="A50" s="102" t="s">
        <v>17</v>
      </c>
      <c r="B50" s="103"/>
      <c r="C50" s="103" t="s">
        <v>141</v>
      </c>
      <c r="D50" s="104">
        <f>SUM(D27,D49)</f>
        <v>8</v>
      </c>
      <c r="E50" s="105">
        <f>SUM(E49,E27)</f>
        <v>10718.4</v>
      </c>
      <c r="F50" s="106">
        <f>SUM(F49,F27)</f>
        <v>0</v>
      </c>
      <c r="G50" s="103"/>
      <c r="H50" s="103" t="str">
        <f>"Кп= "&amp;ROUNDDOWN((F50/D50)*100,1)&amp;"%"</f>
        <v>Кп= 0%</v>
      </c>
      <c r="I50" s="103" t="str">
        <f>"Км= "&amp;ROUNDDOWN((J50/E50)*100,1)&amp;"%"</f>
        <v>Км= 0%</v>
      </c>
      <c r="J50" s="107">
        <f>SUM(J49,J27)</f>
        <v>0</v>
      </c>
    </row>
    <row r="51" spans="1:10" ht="20.25" hidden="1" customHeight="1" outlineLevel="1" x14ac:dyDescent="0.25">
      <c r="A51" s="175" t="s">
        <v>212</v>
      </c>
      <c r="B51" s="175"/>
      <c r="C51" s="179"/>
      <c r="D51" s="184" t="s">
        <v>20</v>
      </c>
      <c r="E51" s="177"/>
      <c r="F51" s="177"/>
      <c r="G51" s="186" t="s">
        <v>21</v>
      </c>
      <c r="H51" s="177"/>
      <c r="I51" s="177"/>
      <c r="J51" s="178"/>
    </row>
    <row r="52" spans="1:10" ht="20.25" hidden="1" customHeight="1" outlineLevel="1" x14ac:dyDescent="0.25">
      <c r="A52" s="176" t="s">
        <v>213</v>
      </c>
      <c r="B52" s="176"/>
      <c r="C52" s="179"/>
      <c r="D52" s="185" t="s">
        <v>215</v>
      </c>
      <c r="E52" s="127"/>
      <c r="F52" s="106"/>
      <c r="G52" s="187" t="s">
        <v>217</v>
      </c>
      <c r="H52" s="103"/>
      <c r="I52" s="103"/>
      <c r="J52" s="129"/>
    </row>
    <row r="53" spans="1:10" ht="20.25" hidden="1" customHeight="1" outlineLevel="1" x14ac:dyDescent="0.25">
      <c r="A53" s="176" t="s">
        <v>214</v>
      </c>
      <c r="B53" s="180"/>
      <c r="C53" s="181"/>
      <c r="D53" s="177" t="s">
        <v>216</v>
      </c>
      <c r="E53" s="182"/>
      <c r="F53" s="182"/>
      <c r="G53" s="186" t="s">
        <v>218</v>
      </c>
      <c r="H53" s="182"/>
      <c r="I53" s="182"/>
      <c r="J53" s="183"/>
    </row>
    <row r="54" spans="1:10" collapsed="1" x14ac:dyDescent="0.25">
      <c r="A54" s="252" t="s">
        <v>11</v>
      </c>
      <c r="B54" s="252"/>
      <c r="C54" s="252"/>
      <c r="D54" s="252"/>
      <c r="E54" s="252"/>
      <c r="F54" s="252"/>
      <c r="G54" s="252"/>
      <c r="H54" s="252"/>
      <c r="I54" s="252"/>
      <c r="J54" s="252"/>
    </row>
    <row r="55" spans="1:10" s="82" customFormat="1" x14ac:dyDescent="0.25">
      <c r="A55" s="108">
        <v>9</v>
      </c>
      <c r="B55" s="204" t="s">
        <v>34</v>
      </c>
      <c r="C55" s="145" t="s">
        <v>231</v>
      </c>
      <c r="D55" s="97">
        <v>43669</v>
      </c>
      <c r="E55" s="145">
        <v>1605.4</v>
      </c>
      <c r="F55" s="140"/>
      <c r="G55" s="140"/>
      <c r="H55" s="140"/>
      <c r="I55" s="140"/>
      <c r="J55" s="140"/>
    </row>
    <row r="56" spans="1:10" s="82" customFormat="1" outlineLevel="1" x14ac:dyDescent="0.25">
      <c r="A56" s="108">
        <v>10</v>
      </c>
      <c r="B56" s="204" t="s">
        <v>35</v>
      </c>
      <c r="C56" s="145">
        <v>460</v>
      </c>
      <c r="D56" s="97">
        <v>43669</v>
      </c>
      <c r="E56" s="145">
        <v>532</v>
      </c>
      <c r="F56" s="140"/>
      <c r="G56" s="140"/>
      <c r="H56" s="140"/>
      <c r="I56" s="140"/>
      <c r="J56" s="140"/>
    </row>
    <row r="57" spans="1:10" s="82" customFormat="1" x14ac:dyDescent="0.25">
      <c r="A57" s="86" t="s">
        <v>17</v>
      </c>
      <c r="B57" s="87"/>
      <c r="C57" s="87" t="str">
        <f>"за "&amp;LOWER($A$54)</f>
        <v>за июль</v>
      </c>
      <c r="D57" s="88">
        <f>COUNTA(июл_пр)</f>
        <v>2</v>
      </c>
      <c r="E57" s="89">
        <f>SUM(июл_кол)</f>
        <v>2137.4</v>
      </c>
      <c r="F57" s="90">
        <f>COUNTA(акт_вх_июл)+COUNTA(акт_отб_июл)</f>
        <v>0</v>
      </c>
      <c r="G57" s="101"/>
      <c r="H57" s="101"/>
      <c r="I57" s="101"/>
      <c r="J57" s="92">
        <f>SUM(кол_отб_июл)</f>
        <v>0</v>
      </c>
    </row>
    <row r="58" spans="1:10" s="82" customFormat="1" x14ac:dyDescent="0.25">
      <c r="A58" s="249" t="s">
        <v>13</v>
      </c>
      <c r="B58" s="249"/>
      <c r="C58" s="249"/>
      <c r="D58" s="249"/>
      <c r="E58" s="249"/>
      <c r="F58" s="249"/>
      <c r="G58" s="249"/>
      <c r="H58" s="249"/>
      <c r="I58" s="249"/>
      <c r="J58" s="249"/>
    </row>
    <row r="59" spans="1:10" s="82" customFormat="1" x14ac:dyDescent="0.25">
      <c r="A59" s="108">
        <v>11</v>
      </c>
      <c r="B59" s="204" t="s">
        <v>34</v>
      </c>
      <c r="C59" s="145">
        <v>189</v>
      </c>
      <c r="D59" s="97">
        <v>43697</v>
      </c>
      <c r="E59" s="145">
        <v>1640</v>
      </c>
      <c r="F59" s="140"/>
      <c r="G59" s="140"/>
      <c r="H59" s="140"/>
      <c r="I59" s="140"/>
      <c r="J59" s="140"/>
    </row>
    <row r="60" spans="1:10" s="82" customFormat="1" hidden="1" outlineLevel="1" x14ac:dyDescent="0.25">
      <c r="A60" s="140"/>
      <c r="B60" s="140"/>
      <c r="C60" s="140"/>
      <c r="D60" s="156"/>
      <c r="E60" s="140"/>
      <c r="F60" s="140"/>
      <c r="G60" s="140"/>
      <c r="H60" s="140"/>
      <c r="I60" s="140"/>
      <c r="J60" s="140"/>
    </row>
    <row r="61" spans="1:10" s="82" customFormat="1" hidden="1" outlineLevel="1" x14ac:dyDescent="0.25">
      <c r="A61" s="140"/>
      <c r="B61" s="140"/>
      <c r="C61" s="140"/>
      <c r="D61" s="156"/>
      <c r="E61" s="140"/>
      <c r="F61" s="140"/>
      <c r="G61" s="140"/>
      <c r="H61" s="140"/>
      <c r="I61" s="140"/>
      <c r="J61" s="140"/>
    </row>
    <row r="62" spans="1:10" s="82" customFormat="1" hidden="1" outlineLevel="1" x14ac:dyDescent="0.25">
      <c r="A62" s="140"/>
      <c r="B62" s="140"/>
      <c r="C62" s="140"/>
      <c r="D62" s="156"/>
      <c r="E62" s="140"/>
      <c r="F62" s="140"/>
      <c r="G62" s="140"/>
      <c r="H62" s="140"/>
      <c r="I62" s="140"/>
      <c r="J62" s="140"/>
    </row>
    <row r="63" spans="1:10" s="82" customFormat="1" hidden="1" outlineLevel="1" x14ac:dyDescent="0.25">
      <c r="A63" s="140"/>
      <c r="B63" s="140"/>
      <c r="C63" s="140"/>
      <c r="D63" s="156"/>
      <c r="E63" s="140"/>
      <c r="F63" s="140"/>
      <c r="G63" s="140"/>
      <c r="H63" s="140"/>
      <c r="I63" s="140"/>
      <c r="J63" s="140"/>
    </row>
    <row r="64" spans="1:10" s="82" customFormat="1" collapsed="1" x14ac:dyDescent="0.25">
      <c r="A64" s="86" t="s">
        <v>17</v>
      </c>
      <c r="B64" s="87"/>
      <c r="C64" s="87" t="str">
        <f>"за "&amp;LOWER($A$58)</f>
        <v>за август</v>
      </c>
      <c r="D64" s="88">
        <f>COUNTA(авг_пр)</f>
        <v>1</v>
      </c>
      <c r="E64" s="89">
        <f>SUM(авг_кол)</f>
        <v>1640</v>
      </c>
      <c r="F64" s="90">
        <f>COUNTA(акт_вх_авг)+COUNTA(акт_отб_авг)</f>
        <v>0</v>
      </c>
      <c r="G64" s="101"/>
      <c r="H64" s="101"/>
      <c r="I64" s="101"/>
      <c r="J64" s="92">
        <f>SUM(кол_отб_авг)</f>
        <v>0</v>
      </c>
    </row>
    <row r="65" spans="1:10" s="82" customFormat="1" x14ac:dyDescent="0.25">
      <c r="A65" s="249" t="s">
        <v>12</v>
      </c>
      <c r="B65" s="249"/>
      <c r="C65" s="249"/>
      <c r="D65" s="249"/>
      <c r="E65" s="249"/>
      <c r="F65" s="249"/>
      <c r="G65" s="249"/>
      <c r="H65" s="249"/>
      <c r="I65" s="249"/>
      <c r="J65" s="249"/>
    </row>
    <row r="66" spans="1:10" s="82" customFormat="1" x14ac:dyDescent="0.25">
      <c r="A66" s="108">
        <v>12</v>
      </c>
      <c r="B66" s="98" t="s">
        <v>34</v>
      </c>
      <c r="C66" s="112">
        <v>157</v>
      </c>
      <c r="D66" s="100">
        <v>43733</v>
      </c>
      <c r="E66" s="112">
        <v>1680</v>
      </c>
      <c r="F66" s="140"/>
      <c r="G66" s="140"/>
      <c r="H66" s="140"/>
      <c r="I66" s="140"/>
      <c r="J66" s="140"/>
    </row>
    <row r="67" spans="1:10" s="82" customFormat="1" hidden="1" outlineLevel="1" x14ac:dyDescent="0.25">
      <c r="A67" s="140"/>
      <c r="B67" s="140"/>
      <c r="C67" s="140"/>
      <c r="D67" s="156"/>
      <c r="E67" s="140"/>
      <c r="F67" s="140"/>
      <c r="G67" s="140"/>
      <c r="H67" s="140"/>
      <c r="I67" s="140"/>
      <c r="J67" s="140"/>
    </row>
    <row r="68" spans="1:10" s="82" customFormat="1" hidden="1" outlineLevel="1" x14ac:dyDescent="0.25">
      <c r="A68" s="140"/>
      <c r="B68" s="140"/>
      <c r="C68" s="140"/>
      <c r="D68" s="156"/>
      <c r="E68" s="140"/>
      <c r="F68" s="140"/>
      <c r="G68" s="140"/>
      <c r="H68" s="140"/>
      <c r="I68" s="140"/>
      <c r="J68" s="140"/>
    </row>
    <row r="69" spans="1:10" s="82" customFormat="1" hidden="1" outlineLevel="1" x14ac:dyDescent="0.25">
      <c r="A69" s="140"/>
      <c r="B69" s="140"/>
      <c r="C69" s="140"/>
      <c r="D69" s="156"/>
      <c r="E69" s="140"/>
      <c r="F69" s="140"/>
      <c r="G69" s="140"/>
      <c r="H69" s="140"/>
      <c r="I69" s="140"/>
      <c r="J69" s="140"/>
    </row>
    <row r="70" spans="1:10" s="82" customFormat="1" hidden="1" outlineLevel="1" x14ac:dyDescent="0.25">
      <c r="A70" s="140"/>
      <c r="B70" s="140"/>
      <c r="C70" s="140"/>
      <c r="D70" s="156"/>
      <c r="E70" s="140"/>
      <c r="F70" s="140"/>
      <c r="G70" s="140"/>
      <c r="H70" s="140"/>
      <c r="I70" s="140"/>
      <c r="J70" s="140"/>
    </row>
    <row r="71" spans="1:10" s="82" customFormat="1" collapsed="1" x14ac:dyDescent="0.25">
      <c r="A71" s="86" t="s">
        <v>17</v>
      </c>
      <c r="B71" s="87"/>
      <c r="C71" s="87" t="str">
        <f>"за "&amp;LOWER($A$65)</f>
        <v>за сентябрь</v>
      </c>
      <c r="D71" s="88">
        <f>COUNTA(снт_пр)</f>
        <v>1</v>
      </c>
      <c r="E71" s="89">
        <f>SUM(снт_кол)</f>
        <v>1680</v>
      </c>
      <c r="F71" s="90">
        <f>COUNTA(акт_вх_снт)+COUNTA(акт_отб_снт)</f>
        <v>0</v>
      </c>
      <c r="G71" s="101"/>
      <c r="H71" s="101"/>
      <c r="I71" s="101"/>
      <c r="J71" s="92">
        <f>SUM(кол_отб_снт)</f>
        <v>0</v>
      </c>
    </row>
    <row r="72" spans="1:10" s="82" customFormat="1" ht="30" customHeight="1" x14ac:dyDescent="0.25">
      <c r="A72" s="102" t="s">
        <v>17</v>
      </c>
      <c r="B72" s="103"/>
      <c r="C72" s="103" t="s">
        <v>142</v>
      </c>
      <c r="D72" s="104">
        <f>SUM(D57,D64,D71)</f>
        <v>4</v>
      </c>
      <c r="E72" s="105">
        <f>SUM(E57,E64,E71)</f>
        <v>5457.4</v>
      </c>
      <c r="F72" s="106">
        <f>SUM(F57,F64,F71)</f>
        <v>0</v>
      </c>
      <c r="G72" s="103"/>
      <c r="H72" s="103" t="str">
        <f>"Кп= "&amp;ROUNDDOWN((F72/D72)*100,1)&amp;"%"</f>
        <v>Кп= 0%</v>
      </c>
      <c r="I72" s="103" t="str">
        <f>"Км= "&amp;ROUNDDOWN((J72/E72)*100,1)&amp;"%"</f>
        <v>Км= 0%</v>
      </c>
      <c r="J72" s="107">
        <f>SUM(J57,J64,J71)</f>
        <v>0</v>
      </c>
    </row>
    <row r="73" spans="1:10" s="82" customFormat="1" ht="30" customHeight="1" x14ac:dyDescent="0.25">
      <c r="A73" s="102" t="s">
        <v>17</v>
      </c>
      <c r="B73" s="103"/>
      <c r="C73" s="103" t="s">
        <v>144</v>
      </c>
      <c r="D73" s="104">
        <f>SUM(D50,D72)</f>
        <v>12</v>
      </c>
      <c r="E73" s="105">
        <f>SUM(E72,E50)</f>
        <v>16175.8</v>
      </c>
      <c r="F73" s="106">
        <f>SUM(F72,F50)</f>
        <v>0</v>
      </c>
      <c r="G73" s="103"/>
      <c r="H73" s="103" t="str">
        <f>"Кп= "&amp;ROUNDDOWN((F73/D73)*100,1)&amp;"%"</f>
        <v>Кп= 0%</v>
      </c>
      <c r="I73" s="103" t="str">
        <f>"Км= "&amp;ROUNDDOWN((J73/E73)*100,1)&amp;"%"</f>
        <v>Км= 0%</v>
      </c>
      <c r="J73" s="107">
        <f>SUM(J72,J50)</f>
        <v>0</v>
      </c>
    </row>
    <row r="74" spans="1:10" s="82" customFormat="1" ht="24.75" hidden="1" customHeight="1" outlineLevel="1" x14ac:dyDescent="0.25">
      <c r="A74" s="115" t="s">
        <v>20</v>
      </c>
      <c r="B74" s="115"/>
      <c r="C74" s="115"/>
      <c r="D74" s="116"/>
      <c r="E74" s="115"/>
      <c r="F74" s="115"/>
      <c r="G74" s="115" t="s">
        <v>21</v>
      </c>
      <c r="H74" s="115"/>
      <c r="I74" s="115"/>
      <c r="J74" s="115"/>
    </row>
    <row r="75" spans="1:10" ht="15" customHeight="1" collapsed="1" x14ac:dyDescent="0.25">
      <c r="A75" s="249" t="s">
        <v>14</v>
      </c>
      <c r="B75" s="249"/>
      <c r="C75" s="249"/>
      <c r="D75" s="249"/>
      <c r="E75" s="249"/>
      <c r="F75" s="249"/>
      <c r="G75" s="249"/>
      <c r="H75" s="249"/>
      <c r="I75" s="249"/>
      <c r="J75" s="249"/>
    </row>
    <row r="76" spans="1:10" x14ac:dyDescent="0.25">
      <c r="A76" s="77">
        <v>13</v>
      </c>
      <c r="B76" s="220" t="s">
        <v>34</v>
      </c>
      <c r="C76" s="145">
        <v>157.18899999999999</v>
      </c>
      <c r="D76" s="97">
        <v>43763</v>
      </c>
      <c r="E76" s="145">
        <v>1630</v>
      </c>
      <c r="F76" s="140"/>
      <c r="G76" s="140"/>
      <c r="H76" s="140"/>
      <c r="I76" s="140"/>
      <c r="J76" s="140"/>
    </row>
    <row r="77" spans="1:10" hidden="1" outlineLevel="1" x14ac:dyDescent="0.25">
      <c r="A77" s="140"/>
      <c r="B77" s="140"/>
      <c r="C77" s="140"/>
      <c r="D77" s="156"/>
      <c r="E77" s="140"/>
      <c r="F77" s="140"/>
      <c r="G77" s="140"/>
      <c r="H77" s="140"/>
      <c r="I77" s="140"/>
      <c r="J77" s="140"/>
    </row>
    <row r="78" spans="1:10" hidden="1" outlineLevel="1" x14ac:dyDescent="0.25">
      <c r="A78" s="140"/>
      <c r="B78" s="140"/>
      <c r="C78" s="140"/>
      <c r="D78" s="156"/>
      <c r="E78" s="140"/>
      <c r="F78" s="140"/>
      <c r="G78" s="140"/>
      <c r="H78" s="140"/>
      <c r="I78" s="140"/>
      <c r="J78" s="140"/>
    </row>
    <row r="79" spans="1:10" hidden="1" outlineLevel="1" x14ac:dyDescent="0.25">
      <c r="A79" s="140"/>
      <c r="B79" s="140"/>
      <c r="C79" s="140"/>
      <c r="D79" s="156"/>
      <c r="E79" s="140"/>
      <c r="F79" s="140"/>
      <c r="G79" s="140"/>
      <c r="H79" s="140"/>
      <c r="I79" s="140"/>
      <c r="J79" s="140"/>
    </row>
    <row r="80" spans="1:10" hidden="1" outlineLevel="1" x14ac:dyDescent="0.25">
      <c r="A80" s="140"/>
      <c r="B80" s="140"/>
      <c r="C80" s="140"/>
      <c r="D80" s="156"/>
      <c r="E80" s="140"/>
      <c r="F80" s="140"/>
      <c r="G80" s="140"/>
      <c r="H80" s="140"/>
      <c r="I80" s="140"/>
      <c r="J80" s="140"/>
    </row>
    <row r="81" spans="1:10" collapsed="1" x14ac:dyDescent="0.25">
      <c r="A81" s="86" t="s">
        <v>17</v>
      </c>
      <c r="B81" s="87"/>
      <c r="C81" s="87" t="str">
        <f>"за "&amp;LOWER($A$75)</f>
        <v>за октябрь</v>
      </c>
      <c r="D81" s="88">
        <f>COUNTA(окт_пр)</f>
        <v>1</v>
      </c>
      <c r="E81" s="89">
        <f>SUM(окт_кол)</f>
        <v>1630</v>
      </c>
      <c r="F81" s="90">
        <f>COUNTA(акт_вх_окт)+COUNTA(акт_отб_окт)</f>
        <v>0</v>
      </c>
      <c r="G81" s="101"/>
      <c r="H81" s="101"/>
      <c r="I81" s="101"/>
      <c r="J81" s="92">
        <f>SUM(кол_отб_окт)</f>
        <v>0</v>
      </c>
    </row>
    <row r="82" spans="1:10" x14ac:dyDescent="0.25">
      <c r="A82" s="249" t="s">
        <v>15</v>
      </c>
      <c r="B82" s="249"/>
      <c r="C82" s="249"/>
      <c r="D82" s="249"/>
      <c r="E82" s="249"/>
      <c r="F82" s="249"/>
      <c r="G82" s="249"/>
      <c r="H82" s="249"/>
      <c r="I82" s="249"/>
      <c r="J82" s="249"/>
    </row>
    <row r="83" spans="1:10" x14ac:dyDescent="0.25">
      <c r="A83" s="140"/>
      <c r="B83" s="140"/>
      <c r="C83" s="140"/>
      <c r="D83" s="156"/>
      <c r="E83" s="140"/>
      <c r="F83" s="140"/>
      <c r="G83" s="140"/>
      <c r="H83" s="140"/>
      <c r="I83" s="140"/>
      <c r="J83" s="140"/>
    </row>
    <row r="84" spans="1:10" hidden="1" outlineLevel="1" x14ac:dyDescent="0.25">
      <c r="A84" s="140"/>
      <c r="B84" s="140"/>
      <c r="C84" s="140"/>
      <c r="D84" s="156"/>
      <c r="E84" s="140"/>
      <c r="F84" s="140"/>
      <c r="G84" s="140"/>
      <c r="H84" s="140"/>
      <c r="I84" s="140"/>
      <c r="J84" s="140"/>
    </row>
    <row r="85" spans="1:10" hidden="1" outlineLevel="1" x14ac:dyDescent="0.25">
      <c r="A85" s="140"/>
      <c r="B85" s="140"/>
      <c r="C85" s="140"/>
      <c r="D85" s="156"/>
      <c r="E85" s="140"/>
      <c r="F85" s="140"/>
      <c r="G85" s="140"/>
      <c r="H85" s="140"/>
      <c r="I85" s="140"/>
      <c r="J85" s="140"/>
    </row>
    <row r="86" spans="1:10" hidden="1" outlineLevel="1" x14ac:dyDescent="0.25">
      <c r="A86" s="140"/>
      <c r="B86" s="140"/>
      <c r="C86" s="140"/>
      <c r="D86" s="156"/>
      <c r="E86" s="140"/>
      <c r="F86" s="140"/>
      <c r="G86" s="140"/>
      <c r="H86" s="140"/>
      <c r="I86" s="140"/>
      <c r="J86" s="140"/>
    </row>
    <row r="87" spans="1:10" hidden="1" outlineLevel="1" x14ac:dyDescent="0.25">
      <c r="A87" s="140"/>
      <c r="B87" s="140"/>
      <c r="C87" s="140"/>
      <c r="D87" s="156"/>
      <c r="E87" s="140"/>
      <c r="F87" s="140"/>
      <c r="G87" s="140"/>
      <c r="H87" s="140"/>
      <c r="I87" s="140"/>
      <c r="J87" s="140"/>
    </row>
    <row r="88" spans="1:10" collapsed="1" x14ac:dyDescent="0.25">
      <c r="A88" s="86" t="s">
        <v>17</v>
      </c>
      <c r="B88" s="87"/>
      <c r="C88" s="87" t="str">
        <f>"за "&amp;LOWER($A$82)</f>
        <v>за ноябрь</v>
      </c>
      <c r="D88" s="88">
        <f>COUNTA(нбр_пр)</f>
        <v>0</v>
      </c>
      <c r="E88" s="89">
        <f>SUM(нбр_кол)</f>
        <v>0</v>
      </c>
      <c r="F88" s="90">
        <f>COUNTA(акт_вх_нбр)+COUNTA(акт_отб_нбр)</f>
        <v>0</v>
      </c>
      <c r="G88" s="101"/>
      <c r="H88" s="101"/>
      <c r="I88" s="101"/>
      <c r="J88" s="92">
        <f>SUM(кол_отб_нбр)</f>
        <v>0</v>
      </c>
    </row>
    <row r="89" spans="1:10" x14ac:dyDescent="0.25">
      <c r="A89" s="249" t="s">
        <v>16</v>
      </c>
      <c r="B89" s="249"/>
      <c r="C89" s="249"/>
      <c r="D89" s="249"/>
      <c r="E89" s="249"/>
      <c r="F89" s="249"/>
      <c r="G89" s="249"/>
      <c r="H89" s="249"/>
      <c r="I89" s="249"/>
      <c r="J89" s="249"/>
    </row>
    <row r="90" spans="1:10" x14ac:dyDescent="0.25">
      <c r="A90" s="77">
        <v>14</v>
      </c>
      <c r="B90" s="174" t="s">
        <v>34</v>
      </c>
      <c r="C90" s="172">
        <v>358</v>
      </c>
      <c r="D90" s="80">
        <v>43819</v>
      </c>
      <c r="E90" s="79">
        <v>3346</v>
      </c>
      <c r="F90" s="140"/>
      <c r="G90" s="140"/>
      <c r="H90" s="140"/>
      <c r="I90" s="140"/>
      <c r="J90" s="140"/>
    </row>
    <row r="91" spans="1:10" hidden="1" outlineLevel="1" x14ac:dyDescent="0.25">
      <c r="A91" s="140"/>
      <c r="B91" s="140"/>
      <c r="C91" s="140"/>
      <c r="D91" s="140"/>
      <c r="E91" s="140"/>
      <c r="F91" s="140"/>
      <c r="G91" s="140"/>
      <c r="H91" s="140"/>
      <c r="I91" s="140"/>
      <c r="J91" s="140"/>
    </row>
    <row r="92" spans="1:10" hidden="1" outlineLevel="1" x14ac:dyDescent="0.25">
      <c r="A92" s="140"/>
      <c r="B92" s="140"/>
      <c r="C92" s="140"/>
      <c r="D92" s="140"/>
      <c r="E92" s="140"/>
      <c r="F92" s="140"/>
      <c r="G92" s="140"/>
      <c r="H92" s="140"/>
      <c r="I92" s="140"/>
      <c r="J92" s="140"/>
    </row>
    <row r="93" spans="1:10" hidden="1" outlineLevel="1" x14ac:dyDescent="0.25">
      <c r="A93" s="140"/>
      <c r="B93" s="140"/>
      <c r="C93" s="140"/>
      <c r="D93" s="140"/>
      <c r="E93" s="140"/>
      <c r="F93" s="140"/>
      <c r="G93" s="140"/>
      <c r="H93" s="140"/>
      <c r="I93" s="140"/>
      <c r="J93" s="140"/>
    </row>
    <row r="94" spans="1:10" hidden="1" outlineLevel="1" x14ac:dyDescent="0.25">
      <c r="A94" s="140"/>
      <c r="B94" s="140"/>
      <c r="C94" s="140"/>
      <c r="D94" s="140"/>
      <c r="E94" s="140"/>
      <c r="F94" s="140"/>
      <c r="G94" s="140"/>
      <c r="H94" s="140"/>
      <c r="I94" s="140"/>
      <c r="J94" s="140"/>
    </row>
    <row r="95" spans="1:10" collapsed="1" x14ac:dyDescent="0.25">
      <c r="A95" s="86" t="s">
        <v>17</v>
      </c>
      <c r="B95" s="87"/>
      <c r="C95" s="87" t="str">
        <f>"за "&amp;LOWER($A$89)</f>
        <v>за декабрь</v>
      </c>
      <c r="D95" s="88">
        <f>COUNTA(дкб_пр)</f>
        <v>1</v>
      </c>
      <c r="E95" s="89">
        <f>SUM(дкб_кол)</f>
        <v>3346</v>
      </c>
      <c r="F95" s="90">
        <f>COUNTA(акт_вх_дкб)+COUNTA(акт_отб_дкб)</f>
        <v>0</v>
      </c>
      <c r="G95" s="101"/>
      <c r="H95" s="101"/>
      <c r="I95" s="101"/>
      <c r="J95" s="92">
        <f>SUM(кол_отб_дкб)</f>
        <v>0</v>
      </c>
    </row>
    <row r="96" spans="1:10" ht="32.25" customHeight="1" x14ac:dyDescent="0.25">
      <c r="A96" s="102" t="s">
        <v>17</v>
      </c>
      <c r="B96" s="103"/>
      <c r="C96" s="103" t="s">
        <v>143</v>
      </c>
      <c r="D96" s="104">
        <f>SUM(D81,D88,D95)</f>
        <v>2</v>
      </c>
      <c r="E96" s="105">
        <f>SUM(E81,E88,E95)</f>
        <v>4976</v>
      </c>
      <c r="F96" s="106">
        <f>SUM(F81,F88,F95)</f>
        <v>0</v>
      </c>
      <c r="G96" s="103"/>
      <c r="H96" s="103" t="str">
        <f>"Кп= "&amp;ROUNDDOWN((F96/D96)*100,1)&amp;"%"</f>
        <v>Кп= 0%</v>
      </c>
      <c r="I96" s="103" t="str">
        <f>"Км= "&amp;ROUNDDOWN((J96/E96)*100,1)&amp;"%"</f>
        <v>Км= 0%</v>
      </c>
      <c r="J96" s="107">
        <f>SUM(J81,J88,J95)</f>
        <v>0</v>
      </c>
    </row>
    <row r="97" spans="1:10" ht="27" customHeight="1" x14ac:dyDescent="0.25">
      <c r="A97" s="102" t="s">
        <v>17</v>
      </c>
      <c r="B97" s="103"/>
      <c r="C97" s="103" t="s">
        <v>145</v>
      </c>
      <c r="D97" s="104">
        <f>SUM(D96,D73)</f>
        <v>14</v>
      </c>
      <c r="E97" s="105">
        <f>SUM(E96,E73)</f>
        <v>21151.8</v>
      </c>
      <c r="F97" s="106">
        <f>SUM(F96,F73)</f>
        <v>0</v>
      </c>
      <c r="G97" s="103"/>
      <c r="H97" s="103" t="str">
        <f>"Кп= "&amp;ROUNDDOWN((F97/D97)*100,1)&amp;"%"</f>
        <v>Кп= 0%</v>
      </c>
      <c r="I97" s="103" t="str">
        <f>"Км= "&amp;ROUNDDOWN((J97/E97)*100,1)&amp;"%"</f>
        <v>Км= 0%</v>
      </c>
      <c r="J97" s="107">
        <f>SUM(J96,J73)</f>
        <v>0</v>
      </c>
    </row>
    <row r="98" spans="1:10" ht="26.25" customHeight="1" x14ac:dyDescent="0.25">
      <c r="A98" s="115"/>
      <c r="B98" s="115"/>
      <c r="C98" s="115"/>
      <c r="D98" s="116"/>
      <c r="E98" s="115"/>
      <c r="F98" s="115"/>
      <c r="G98" s="115"/>
      <c r="H98" s="115"/>
      <c r="I98" s="115"/>
      <c r="J98" s="115"/>
    </row>
    <row r="99" spans="1:10" ht="26.25" customHeight="1" x14ac:dyDescent="0.25">
      <c r="A99" s="115" t="s">
        <v>20</v>
      </c>
      <c r="B99" s="115"/>
      <c r="C99" s="115"/>
      <c r="D99" s="116"/>
      <c r="E99" s="115"/>
      <c r="F99" s="115"/>
      <c r="G99" s="115" t="s">
        <v>21</v>
      </c>
      <c r="H99" s="115"/>
      <c r="I99" s="115"/>
      <c r="J99" s="115"/>
    </row>
  </sheetData>
  <sheetProtection algorithmName="SHA-512" hashValue="UmXOggwcSbbxb6GnD1K+nKjuWT7PsTn6ENKyot6slP3L5yyW5mj4BxzJ1pt4sYVanL/A/nHnC+3nIPvb3BVvsw==" saltValue="EoVAtkblnSZWF5TfxBD9fw==" spinCount="100000" sheet="1" formatCells="0" formatColumns="0" formatRows="0" insertColumns="0" insertRows="0" insertHyperlinks="0" deleteColumns="0" deleteRows="0" sort="0" autoFilter="0" pivotTables="0"/>
  <mergeCells count="21">
    <mergeCell ref="A89:J89"/>
    <mergeCell ref="A6:J6"/>
    <mergeCell ref="A13:J13"/>
    <mergeCell ref="A20:J20"/>
    <mergeCell ref="A29:J29"/>
    <mergeCell ref="A35:J35"/>
    <mergeCell ref="A42:J42"/>
    <mergeCell ref="A54:J54"/>
    <mergeCell ref="A58:J58"/>
    <mergeCell ref="A65:J65"/>
    <mergeCell ref="A75:J75"/>
    <mergeCell ref="A82:J82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4" fitToHeight="0" orientation="landscape" r:id="rId1"/>
  <headerFooter>
    <oddFooter>Страница  &amp;P из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D77C-7E56-4248-89AC-2A96C80065D9}">
  <sheetPr codeName="Лист10">
    <pageSetUpPr fitToPage="1"/>
  </sheetPr>
  <dimension ref="A1:N98"/>
  <sheetViews>
    <sheetView zoomScale="85" zoomScaleNormal="85" workbookViewId="0">
      <pane ySplit="4" topLeftCell="A5" activePane="bottomLeft" state="frozen"/>
      <selection activeCell="J16" sqref="J16:J19"/>
      <selection pane="bottomLeft" activeCell="L70" sqref="L70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6" width="17" bestFit="1" customWidth="1"/>
    <col min="7" max="7" width="14.140625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82"/>
      <c r="B1" s="82"/>
      <c r="C1" s="82"/>
      <c r="D1" s="82"/>
      <c r="E1" s="82"/>
      <c r="F1" s="82"/>
      <c r="G1" s="82"/>
      <c r="H1" s="82"/>
      <c r="I1" s="82"/>
      <c r="J1" s="83" t="s">
        <v>97</v>
      </c>
    </row>
    <row r="2" spans="1:14" ht="33.75" customHeight="1" x14ac:dyDescent="0.25">
      <c r="A2" s="256" t="s">
        <v>299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99</v>
      </c>
      <c r="F3" s="257" t="s">
        <v>3</v>
      </c>
      <c r="G3" s="257"/>
      <c r="H3" s="261" t="s">
        <v>2</v>
      </c>
      <c r="I3" s="262"/>
      <c r="J3" s="260" t="s">
        <v>96</v>
      </c>
    </row>
    <row r="4" spans="1:14" ht="32.25" customHeight="1" x14ac:dyDescent="0.25">
      <c r="A4" s="257"/>
      <c r="B4" s="259"/>
      <c r="C4" s="257"/>
      <c r="D4" s="257"/>
      <c r="E4" s="257"/>
      <c r="F4" s="84" t="s">
        <v>0</v>
      </c>
      <c r="G4" s="84" t="s">
        <v>4</v>
      </c>
      <c r="H4" s="84" t="s">
        <v>0</v>
      </c>
      <c r="I4" s="84" t="s">
        <v>4</v>
      </c>
      <c r="J4" s="257"/>
    </row>
    <row r="5" spans="1:14" ht="14.25" customHeight="1" x14ac:dyDescent="0.25">
      <c r="A5" s="81">
        <v>1</v>
      </c>
      <c r="B5" s="81">
        <v>2</v>
      </c>
      <c r="C5" s="81">
        <v>3</v>
      </c>
      <c r="D5" s="81">
        <v>4</v>
      </c>
      <c r="E5" s="81">
        <v>5</v>
      </c>
      <c r="F5" s="81">
        <v>6</v>
      </c>
      <c r="G5" s="81">
        <v>7</v>
      </c>
      <c r="H5" s="81">
        <v>8</v>
      </c>
      <c r="I5" s="81">
        <v>9</v>
      </c>
      <c r="J5" s="81">
        <v>10</v>
      </c>
      <c r="M5" s="18"/>
    </row>
    <row r="6" spans="1:14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x14ac:dyDescent="0.25">
      <c r="A7" s="108">
        <v>1</v>
      </c>
      <c r="B7" s="78" t="s">
        <v>63</v>
      </c>
      <c r="C7" s="79">
        <v>42</v>
      </c>
      <c r="D7" s="80">
        <v>43494</v>
      </c>
      <c r="E7" s="79">
        <v>3000</v>
      </c>
      <c r="F7" s="81"/>
      <c r="G7" s="81"/>
      <c r="H7" s="81"/>
      <c r="I7" s="81"/>
      <c r="J7" s="81"/>
    </row>
    <row r="8" spans="1:14" hidden="1" outlineLevel="1" x14ac:dyDescent="0.25">
      <c r="A8" s="94"/>
      <c r="B8" s="94"/>
      <c r="C8" s="119"/>
      <c r="D8" s="120"/>
      <c r="E8" s="121"/>
      <c r="F8" s="81"/>
      <c r="G8" s="81"/>
      <c r="H8" s="81"/>
      <c r="I8" s="81"/>
      <c r="J8" s="81"/>
    </row>
    <row r="9" spans="1:14" hidden="1" outlineLevel="1" x14ac:dyDescent="0.25">
      <c r="A9" s="94"/>
      <c r="B9" s="94"/>
      <c r="C9" s="119"/>
      <c r="D9" s="120"/>
      <c r="E9" s="121"/>
      <c r="F9" s="81"/>
      <c r="G9" s="81"/>
      <c r="H9" s="81"/>
      <c r="I9" s="81"/>
      <c r="J9" s="81"/>
    </row>
    <row r="10" spans="1:14" hidden="1" outlineLevel="1" x14ac:dyDescent="0.25">
      <c r="A10" s="94"/>
      <c r="B10" s="94"/>
      <c r="C10" s="119"/>
      <c r="D10" s="120"/>
      <c r="E10" s="121"/>
      <c r="F10" s="81"/>
      <c r="G10" s="81"/>
      <c r="H10" s="81"/>
      <c r="I10" s="81"/>
      <c r="J10" s="81"/>
    </row>
    <row r="11" spans="1:14" hidden="1" outlineLevel="1" x14ac:dyDescent="0.25">
      <c r="A11" s="94"/>
      <c r="B11" s="94"/>
      <c r="C11" s="119"/>
      <c r="D11" s="120"/>
      <c r="E11" s="121"/>
      <c r="F11" s="81"/>
      <c r="G11" s="81"/>
      <c r="H11" s="81"/>
      <c r="I11" s="81"/>
      <c r="J11" s="81"/>
    </row>
    <row r="12" spans="1:14" s="1" customFormat="1" collapsed="1" x14ac:dyDescent="0.25">
      <c r="A12" s="86" t="s">
        <v>17</v>
      </c>
      <c r="B12" s="87"/>
      <c r="C12" s="87" t="str">
        <f>"за "&amp;LOWER($A$6)</f>
        <v>за январь</v>
      </c>
      <c r="D12" s="88">
        <f>COUNTA(янв_пр)</f>
        <v>1</v>
      </c>
      <c r="E12" s="89">
        <f>SUM(янв_кол)</f>
        <v>3000</v>
      </c>
      <c r="F12" s="90">
        <f>COUNTA(акт_вх_янв)+COUNTA(акт_отб_янв)</f>
        <v>0</v>
      </c>
      <c r="G12" s="91"/>
      <c r="H12" s="91"/>
      <c r="I12" s="91"/>
      <c r="J12" s="92">
        <f>SUM(кол_отб_янв)</f>
        <v>0</v>
      </c>
    </row>
    <row r="13" spans="1:14" x14ac:dyDescent="0.25">
      <c r="A13" s="250" t="s">
        <v>6</v>
      </c>
      <c r="B13" s="250"/>
      <c r="C13" s="250"/>
      <c r="D13" s="250"/>
      <c r="E13" s="250"/>
      <c r="F13" s="250"/>
      <c r="G13" s="250"/>
      <c r="H13" s="250"/>
      <c r="I13" s="250"/>
      <c r="J13" s="250"/>
      <c r="L13" s="1"/>
      <c r="M13" s="1"/>
      <c r="N13" s="1"/>
    </row>
    <row r="14" spans="1:14" x14ac:dyDescent="0.25">
      <c r="A14" s="108">
        <v>2</v>
      </c>
      <c r="B14" s="78" t="s">
        <v>63</v>
      </c>
      <c r="C14" s="79">
        <v>44</v>
      </c>
      <c r="D14" s="80">
        <v>43515</v>
      </c>
      <c r="E14" s="79">
        <v>1200</v>
      </c>
      <c r="F14" s="94"/>
      <c r="G14" s="94"/>
      <c r="H14" s="94"/>
      <c r="I14" s="94"/>
      <c r="J14" s="94"/>
      <c r="L14" s="1"/>
      <c r="M14" s="1"/>
      <c r="N14" s="1"/>
    </row>
    <row r="15" spans="1:14" outlineLevel="1" x14ac:dyDescent="0.25">
      <c r="A15" s="108">
        <v>3</v>
      </c>
      <c r="B15" s="78" t="s">
        <v>63</v>
      </c>
      <c r="C15" s="79">
        <v>44</v>
      </c>
      <c r="D15" s="80">
        <v>43522</v>
      </c>
      <c r="E15" s="79">
        <v>3600</v>
      </c>
      <c r="F15" s="94"/>
      <c r="G15" s="94"/>
      <c r="H15" s="94"/>
      <c r="I15" s="94"/>
      <c r="J15" s="94"/>
      <c r="L15" s="1"/>
      <c r="M15" s="1"/>
      <c r="N15" s="1"/>
    </row>
    <row r="16" spans="1:14" x14ac:dyDescent="0.25">
      <c r="A16" s="86" t="s">
        <v>17</v>
      </c>
      <c r="B16" s="87"/>
      <c r="C16" s="87" t="str">
        <f>"за "&amp;LOWER($A$13)</f>
        <v>за февраль</v>
      </c>
      <c r="D16" s="88">
        <f>COUNTA(фев_пр)</f>
        <v>2</v>
      </c>
      <c r="E16" s="89">
        <f>SUM(фев_кол)</f>
        <v>4800</v>
      </c>
      <c r="F16" s="90">
        <f>COUNTA(акт_вх_фев)+COUNTA(акт_отб_фев)</f>
        <v>0</v>
      </c>
      <c r="G16" s="91"/>
      <c r="H16" s="91"/>
      <c r="I16" s="91"/>
      <c r="J16" s="92">
        <f>SUM(кол_отб_фев)</f>
        <v>0</v>
      </c>
      <c r="L16" s="1"/>
      <c r="M16" s="1"/>
      <c r="N16" s="1"/>
    </row>
    <row r="17" spans="1:14" x14ac:dyDescent="0.25">
      <c r="A17" s="249" t="s">
        <v>7</v>
      </c>
      <c r="B17" s="249"/>
      <c r="C17" s="249"/>
      <c r="D17" s="249"/>
      <c r="E17" s="249"/>
      <c r="F17" s="249"/>
      <c r="G17" s="249"/>
      <c r="H17" s="249"/>
      <c r="I17" s="249"/>
      <c r="J17" s="249"/>
      <c r="L17" s="1"/>
      <c r="M17" s="1"/>
      <c r="N17" s="1"/>
    </row>
    <row r="18" spans="1:14" x14ac:dyDescent="0.25">
      <c r="A18" s="108">
        <v>4</v>
      </c>
      <c r="B18" s="95" t="s">
        <v>63</v>
      </c>
      <c r="C18" s="96">
        <v>44</v>
      </c>
      <c r="D18" s="97">
        <v>43539</v>
      </c>
      <c r="E18" s="96">
        <v>450</v>
      </c>
      <c r="F18" s="94"/>
      <c r="G18" s="94"/>
      <c r="H18" s="94"/>
      <c r="I18" s="94"/>
      <c r="J18" s="94"/>
      <c r="L18" s="1"/>
      <c r="M18" s="1"/>
      <c r="N18" s="1"/>
    </row>
    <row r="19" spans="1:14" x14ac:dyDescent="0.25">
      <c r="A19" s="108">
        <v>5</v>
      </c>
      <c r="B19" s="98" t="s">
        <v>63</v>
      </c>
      <c r="C19" s="112">
        <v>46</v>
      </c>
      <c r="D19" s="100">
        <v>43551</v>
      </c>
      <c r="E19" s="112">
        <v>2550</v>
      </c>
      <c r="F19" s="94"/>
      <c r="G19" s="94"/>
      <c r="H19" s="94"/>
      <c r="I19" s="94"/>
      <c r="J19" s="94"/>
      <c r="L19" s="1"/>
      <c r="M19" s="1"/>
      <c r="N19" s="1"/>
    </row>
    <row r="20" spans="1:14" outlineLevel="1" x14ac:dyDescent="0.25">
      <c r="A20" s="108">
        <v>6</v>
      </c>
      <c r="B20" s="98" t="s">
        <v>63</v>
      </c>
      <c r="C20" s="112">
        <v>44</v>
      </c>
      <c r="D20" s="100">
        <v>43553</v>
      </c>
      <c r="E20" s="112">
        <v>3000</v>
      </c>
      <c r="F20" s="94"/>
      <c r="G20" s="94"/>
      <c r="H20" s="94"/>
      <c r="I20" s="94"/>
      <c r="J20" s="94"/>
      <c r="L20" s="1"/>
      <c r="M20" s="1"/>
      <c r="N20" s="1"/>
    </row>
    <row r="21" spans="1:14" x14ac:dyDescent="0.25">
      <c r="A21" s="86" t="s">
        <v>17</v>
      </c>
      <c r="B21" s="87"/>
      <c r="C21" s="87" t="str">
        <f>"за "&amp;LOWER($A$17)</f>
        <v>за март</v>
      </c>
      <c r="D21" s="88">
        <f>COUNTA(мрт_пр)</f>
        <v>3</v>
      </c>
      <c r="E21" s="89">
        <f>SUM(мрт_кол)</f>
        <v>6000</v>
      </c>
      <c r="F21" s="90">
        <f>COUNTA(акт_вх_мрт)+COUNTA(акт_отб_мрт)</f>
        <v>0</v>
      </c>
      <c r="G21" s="101"/>
      <c r="H21" s="101"/>
      <c r="I21" s="101"/>
      <c r="J21" s="92">
        <f>SUM(кол_отб_мрт)</f>
        <v>0</v>
      </c>
      <c r="L21" s="1"/>
      <c r="M21" s="1"/>
      <c r="N21" s="1"/>
    </row>
    <row r="22" spans="1:14" ht="16.5" customHeight="1" x14ac:dyDescent="0.25">
      <c r="A22" s="102" t="s">
        <v>17</v>
      </c>
      <c r="B22" s="103"/>
      <c r="C22" s="103" t="s">
        <v>18</v>
      </c>
      <c r="D22" s="104">
        <f>SUM(D12,D16,D21)</f>
        <v>6</v>
      </c>
      <c r="E22" s="105">
        <f>SUM(E12,E16,E21)</f>
        <v>13800</v>
      </c>
      <c r="F22" s="106">
        <f>SUM(F12,F16,F21)</f>
        <v>0</v>
      </c>
      <c r="G22" s="103"/>
      <c r="H22" s="103" t="str">
        <f>"Кп= "&amp;ROUNDDOWN((F22/D22)*100,1)&amp;"%"</f>
        <v>Кп= 0%</v>
      </c>
      <c r="I22" s="103" t="str">
        <f>"Км= "&amp;ROUNDDOWN((J22/E22)*100,1)&amp;"%"</f>
        <v>Км= 0%</v>
      </c>
      <c r="J22" s="107">
        <f>SUM(J12,J16,J21)</f>
        <v>0</v>
      </c>
      <c r="L22" s="1"/>
      <c r="M22" s="1"/>
      <c r="N22" s="1"/>
    </row>
    <row r="23" spans="1:14" ht="15" hidden="1" customHeight="1" outlineLevel="1" x14ac:dyDescent="0.25">
      <c r="A23" s="115" t="s">
        <v>20</v>
      </c>
      <c r="B23" s="115"/>
      <c r="C23" s="115"/>
      <c r="D23" s="116"/>
      <c r="E23" s="115"/>
      <c r="F23" s="115"/>
      <c r="G23" s="115" t="s">
        <v>21</v>
      </c>
      <c r="H23" s="115"/>
      <c r="I23" s="115"/>
      <c r="J23" s="115"/>
      <c r="L23" s="1"/>
      <c r="M23" s="1"/>
      <c r="N23" s="1"/>
    </row>
    <row r="24" spans="1:14" collapsed="1" x14ac:dyDescent="0.25">
      <c r="A24" s="250" t="s">
        <v>8</v>
      </c>
      <c r="B24" s="250"/>
      <c r="C24" s="250"/>
      <c r="D24" s="250"/>
      <c r="E24" s="250"/>
      <c r="F24" s="250"/>
      <c r="G24" s="250"/>
      <c r="H24" s="250"/>
      <c r="I24" s="250"/>
      <c r="J24" s="250"/>
      <c r="L24" s="1"/>
      <c r="M24" s="1"/>
      <c r="N24" s="1"/>
    </row>
    <row r="25" spans="1:14" x14ac:dyDescent="0.25">
      <c r="A25" s="144">
        <v>7</v>
      </c>
      <c r="B25" s="139" t="s">
        <v>65</v>
      </c>
      <c r="C25" s="145">
        <v>35</v>
      </c>
      <c r="D25" s="97">
        <v>43559</v>
      </c>
      <c r="E25" s="145">
        <v>560</v>
      </c>
      <c r="F25" s="137"/>
      <c r="G25" s="137"/>
      <c r="H25" s="137"/>
      <c r="I25" s="137"/>
      <c r="J25" s="137"/>
      <c r="L25" s="1"/>
      <c r="M25" s="1"/>
      <c r="N25" s="1"/>
    </row>
    <row r="26" spans="1:14" hidden="1" outlineLevel="1" x14ac:dyDescent="0.25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L26" s="1"/>
      <c r="M26" s="1"/>
      <c r="N26" s="1"/>
    </row>
    <row r="27" spans="1:14" hidden="1" outlineLevel="1" x14ac:dyDescent="0.25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L27" s="1"/>
      <c r="M27" s="1"/>
      <c r="N27" s="1"/>
    </row>
    <row r="28" spans="1:14" hidden="1" outlineLevel="1" x14ac:dyDescent="0.25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L28" s="1"/>
      <c r="M28" s="1"/>
      <c r="N28" s="1"/>
    </row>
    <row r="29" spans="1:14" hidden="1" outlineLevel="1" x14ac:dyDescent="0.25">
      <c r="A29" s="140"/>
      <c r="B29" s="140"/>
      <c r="C29" s="140"/>
      <c r="D29" s="156"/>
      <c r="E29" s="140"/>
      <c r="F29" s="140"/>
      <c r="G29" s="140"/>
      <c r="H29" s="140"/>
      <c r="I29" s="140"/>
      <c r="J29" s="140"/>
      <c r="L29" s="1"/>
      <c r="M29" s="1"/>
      <c r="N29" s="1"/>
    </row>
    <row r="30" spans="1:14" collapsed="1" x14ac:dyDescent="0.25">
      <c r="A30" s="86" t="s">
        <v>17</v>
      </c>
      <c r="B30" s="87"/>
      <c r="C30" s="87" t="str">
        <f>"за "&amp;LOWER($A$24)</f>
        <v>за апрель</v>
      </c>
      <c r="D30" s="88">
        <f>COUNTA(апр_пр)</f>
        <v>1</v>
      </c>
      <c r="E30" s="89">
        <f>SUM(апр_кол)</f>
        <v>560</v>
      </c>
      <c r="F30" s="90">
        <f>COUNTA(акт_вх_апр)+COUNTA(акт_отб_апр)</f>
        <v>0</v>
      </c>
      <c r="G30" s="101"/>
      <c r="H30" s="101"/>
      <c r="I30" s="101"/>
      <c r="J30" s="92">
        <f>SUM(кол_отб_апр)</f>
        <v>0</v>
      </c>
      <c r="L30" s="1"/>
      <c r="M30" s="1"/>
      <c r="N30" s="1"/>
    </row>
    <row r="31" spans="1:14" x14ac:dyDescent="0.25">
      <c r="A31" s="249" t="s">
        <v>9</v>
      </c>
      <c r="B31" s="249"/>
      <c r="C31" s="249"/>
      <c r="D31" s="249"/>
      <c r="E31" s="249"/>
      <c r="F31" s="249"/>
      <c r="G31" s="249"/>
      <c r="H31" s="249"/>
      <c r="I31" s="249"/>
      <c r="J31" s="249"/>
      <c r="L31" s="1"/>
      <c r="M31" s="1"/>
      <c r="N31" s="1"/>
    </row>
    <row r="32" spans="1:14" x14ac:dyDescent="0.25">
      <c r="A32" s="146">
        <v>8</v>
      </c>
      <c r="B32" s="139" t="s">
        <v>63</v>
      </c>
      <c r="C32" s="145">
        <v>49</v>
      </c>
      <c r="D32" s="97">
        <v>43609</v>
      </c>
      <c r="E32" s="145">
        <v>3000</v>
      </c>
      <c r="F32" s="136"/>
      <c r="G32" s="136"/>
      <c r="H32" s="136"/>
      <c r="I32" s="136"/>
      <c r="J32" s="136"/>
      <c r="L32" s="1"/>
      <c r="M32" s="1"/>
      <c r="N32" s="1"/>
    </row>
    <row r="33" spans="1:14" hidden="1" outlineLevel="1" x14ac:dyDescent="0.25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L33" s="1"/>
      <c r="M33" s="1"/>
      <c r="N33" s="1"/>
    </row>
    <row r="34" spans="1:14" hidden="1" outlineLevel="1" x14ac:dyDescent="0.25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L34" s="1"/>
      <c r="M34" s="1"/>
      <c r="N34" s="1"/>
    </row>
    <row r="35" spans="1:14" hidden="1" outlineLevel="1" x14ac:dyDescent="0.25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L35" s="1"/>
      <c r="M35" s="1"/>
      <c r="N35" s="1"/>
    </row>
    <row r="36" spans="1:14" hidden="1" outlineLevel="1" x14ac:dyDescent="0.25">
      <c r="A36" s="158"/>
      <c r="B36" s="158"/>
      <c r="C36" s="158"/>
      <c r="D36" s="159"/>
      <c r="E36" s="158"/>
      <c r="F36" s="158"/>
      <c r="G36" s="158"/>
      <c r="H36" s="158"/>
      <c r="I36" s="158"/>
      <c r="J36" s="158"/>
    </row>
    <row r="37" spans="1:14" collapsed="1" x14ac:dyDescent="0.25">
      <c r="A37" s="86" t="s">
        <v>17</v>
      </c>
      <c r="B37" s="87"/>
      <c r="C37" s="87" t="str">
        <f>"за "&amp;LOWER($A$31)</f>
        <v>за май</v>
      </c>
      <c r="D37" s="88">
        <f>COUNTA(май_пр)</f>
        <v>1</v>
      </c>
      <c r="E37" s="89">
        <f>SUM(май_кол)</f>
        <v>3000</v>
      </c>
      <c r="F37" s="90">
        <f>COUNTA(акт_вх_май)+COUNTA(акт_отб_май)</f>
        <v>0</v>
      </c>
      <c r="G37" s="101"/>
      <c r="H37" s="101"/>
      <c r="I37" s="101"/>
      <c r="J37" s="92">
        <f>SUM(кол_отб_май)</f>
        <v>0</v>
      </c>
    </row>
    <row r="38" spans="1:14" x14ac:dyDescent="0.25">
      <c r="A38" s="249" t="s">
        <v>10</v>
      </c>
      <c r="B38" s="249"/>
      <c r="C38" s="249"/>
      <c r="D38" s="249"/>
      <c r="E38" s="249"/>
      <c r="F38" s="249"/>
      <c r="G38" s="249"/>
      <c r="H38" s="249"/>
      <c r="I38" s="249"/>
      <c r="J38" s="249"/>
    </row>
    <row r="39" spans="1:14" x14ac:dyDescent="0.25">
      <c r="A39" s="108">
        <v>9</v>
      </c>
      <c r="B39" s="98" t="s">
        <v>63</v>
      </c>
      <c r="C39" s="112">
        <v>49</v>
      </c>
      <c r="D39" s="100">
        <v>43623</v>
      </c>
      <c r="E39" s="112">
        <v>1200</v>
      </c>
      <c r="F39" s="140"/>
      <c r="G39" s="140"/>
      <c r="H39" s="140"/>
      <c r="I39" s="140"/>
      <c r="J39" s="140"/>
    </row>
    <row r="40" spans="1:14" hidden="1" outlineLevel="1" x14ac:dyDescent="0.25">
      <c r="A40" s="140"/>
      <c r="B40" s="140"/>
      <c r="C40" s="140"/>
      <c r="D40" s="156"/>
      <c r="E40" s="140"/>
      <c r="F40" s="140"/>
      <c r="G40" s="140"/>
      <c r="H40" s="140"/>
      <c r="I40" s="140"/>
      <c r="J40" s="140"/>
    </row>
    <row r="41" spans="1:14" hidden="1" outlineLevel="1" x14ac:dyDescent="0.25">
      <c r="A41" s="140"/>
      <c r="B41" s="140"/>
      <c r="C41" s="140"/>
      <c r="D41" s="156"/>
      <c r="E41" s="140"/>
      <c r="F41" s="140"/>
      <c r="G41" s="140"/>
      <c r="H41" s="140"/>
      <c r="I41" s="140"/>
      <c r="J41" s="140"/>
    </row>
    <row r="42" spans="1:14" hidden="1" outlineLevel="1" x14ac:dyDescent="0.25">
      <c r="A42" s="140"/>
      <c r="B42" s="140"/>
      <c r="C42" s="140"/>
      <c r="D42" s="156"/>
      <c r="E42" s="140"/>
      <c r="F42" s="140"/>
      <c r="G42" s="140"/>
      <c r="H42" s="140"/>
      <c r="I42" s="140"/>
      <c r="J42" s="140"/>
    </row>
    <row r="43" spans="1:14" hidden="1" outlineLevel="1" x14ac:dyDescent="0.25">
      <c r="A43" s="140"/>
      <c r="B43" s="140"/>
      <c r="C43" s="140"/>
      <c r="D43" s="156"/>
      <c r="E43" s="140"/>
      <c r="F43" s="140"/>
      <c r="G43" s="140"/>
      <c r="H43" s="140"/>
      <c r="I43" s="140"/>
      <c r="J43" s="140"/>
    </row>
    <row r="44" spans="1:14" collapsed="1" x14ac:dyDescent="0.25">
      <c r="A44" s="86" t="s">
        <v>17</v>
      </c>
      <c r="B44" s="87"/>
      <c r="C44" s="87" t="str">
        <f>"за "&amp;LOWER($A$38)</f>
        <v>за июнь</v>
      </c>
      <c r="D44" s="88">
        <f>COUNTA(июн_пр)</f>
        <v>1</v>
      </c>
      <c r="E44" s="89">
        <f>SUM(июн_кол)</f>
        <v>1200</v>
      </c>
      <c r="F44" s="90">
        <f>COUNTA(акт_вх_июн)+COUNTA(акт_отб_июн)</f>
        <v>0</v>
      </c>
      <c r="G44" s="101"/>
      <c r="H44" s="101"/>
      <c r="I44" s="101"/>
      <c r="J44" s="92">
        <f>SUM(кол_отб_июн)</f>
        <v>0</v>
      </c>
    </row>
    <row r="45" spans="1:14" ht="19.5" customHeight="1" x14ac:dyDescent="0.25">
      <c r="A45" s="102" t="s">
        <v>17</v>
      </c>
      <c r="B45" s="103"/>
      <c r="C45" s="103" t="s">
        <v>140</v>
      </c>
      <c r="D45" s="104">
        <f>SUM(D30,D37,D44)</f>
        <v>3</v>
      </c>
      <c r="E45" s="105">
        <f>SUM(E30,E37,E44)</f>
        <v>4760</v>
      </c>
      <c r="F45" s="106">
        <f>SUM(F30,F37,F44)</f>
        <v>0</v>
      </c>
      <c r="G45" s="103"/>
      <c r="H45" s="103" t="str">
        <f>"Кп= "&amp;ROUNDDOWN((F45/D45)*100,1)&amp;"%"</f>
        <v>Кп= 0%</v>
      </c>
      <c r="I45" s="103" t="str">
        <f>"Км= "&amp;ROUNDDOWN((J45/E45)*100,1)&amp;"%"</f>
        <v>Км= 0%</v>
      </c>
      <c r="J45" s="107">
        <f>SUM(J30,J37,J44)</f>
        <v>0</v>
      </c>
    </row>
    <row r="46" spans="1:14" ht="18.75" customHeight="1" x14ac:dyDescent="0.25">
      <c r="A46" s="102" t="s">
        <v>17</v>
      </c>
      <c r="B46" s="103"/>
      <c r="C46" s="103" t="s">
        <v>141</v>
      </c>
      <c r="D46" s="104">
        <f>SUM(D22,D45)</f>
        <v>9</v>
      </c>
      <c r="E46" s="105">
        <f>SUM(E45,E22)</f>
        <v>18560</v>
      </c>
      <c r="F46" s="106">
        <f>SUM(F45,F22)</f>
        <v>0</v>
      </c>
      <c r="G46" s="103"/>
      <c r="H46" s="103" t="str">
        <f>"Кп= "&amp;ROUNDDOWN((F46/D46)*100,1)&amp;"%"</f>
        <v>Кп= 0%</v>
      </c>
      <c r="I46" s="103" t="str">
        <f>"Км= "&amp;ROUNDDOWN((J46/E46)*100,1)&amp;"%"</f>
        <v>Км= 0%</v>
      </c>
      <c r="J46" s="107">
        <f>SUM(J45,J22)</f>
        <v>0</v>
      </c>
    </row>
    <row r="47" spans="1:14" ht="18.75" hidden="1" customHeight="1" outlineLevel="1" x14ac:dyDescent="0.25">
      <c r="A47" s="175" t="s">
        <v>212</v>
      </c>
      <c r="B47" s="175"/>
      <c r="C47" s="179"/>
      <c r="D47" s="184" t="s">
        <v>20</v>
      </c>
      <c r="E47" s="177"/>
      <c r="F47" s="177"/>
      <c r="G47" s="186" t="s">
        <v>21</v>
      </c>
      <c r="H47" s="177"/>
      <c r="I47" s="177"/>
      <c r="J47" s="178"/>
    </row>
    <row r="48" spans="1:14" ht="18.75" hidden="1" customHeight="1" outlineLevel="1" x14ac:dyDescent="0.25">
      <c r="A48" s="176" t="s">
        <v>213</v>
      </c>
      <c r="B48" s="176"/>
      <c r="C48" s="179"/>
      <c r="D48" s="185" t="s">
        <v>215</v>
      </c>
      <c r="E48" s="127"/>
      <c r="F48" s="106"/>
      <c r="G48" s="187" t="s">
        <v>217</v>
      </c>
      <c r="H48" s="103"/>
      <c r="I48" s="103"/>
      <c r="J48" s="129"/>
    </row>
    <row r="49" spans="1:10" ht="18.75" hidden="1" customHeight="1" outlineLevel="1" x14ac:dyDescent="0.25">
      <c r="A49" s="176" t="s">
        <v>214</v>
      </c>
      <c r="B49" s="180"/>
      <c r="C49" s="181"/>
      <c r="D49" s="177" t="s">
        <v>216</v>
      </c>
      <c r="E49" s="182"/>
      <c r="F49" s="182"/>
      <c r="G49" s="186" t="s">
        <v>218</v>
      </c>
      <c r="H49" s="182"/>
      <c r="I49" s="182"/>
      <c r="J49" s="183"/>
    </row>
    <row r="50" spans="1:10" collapsed="1" x14ac:dyDescent="0.25">
      <c r="A50" s="252" t="s">
        <v>11</v>
      </c>
      <c r="B50" s="252"/>
      <c r="C50" s="252"/>
      <c r="D50" s="252"/>
      <c r="E50" s="252"/>
      <c r="F50" s="252"/>
      <c r="G50" s="252"/>
      <c r="H50" s="252"/>
      <c r="I50" s="252"/>
      <c r="J50" s="252"/>
    </row>
    <row r="51" spans="1:10" s="82" customFormat="1" x14ac:dyDescent="0.25">
      <c r="A51" s="108">
        <v>10</v>
      </c>
      <c r="B51" s="204" t="s">
        <v>63</v>
      </c>
      <c r="C51" s="145">
        <v>57</v>
      </c>
      <c r="D51" s="97">
        <v>43664</v>
      </c>
      <c r="E51" s="145">
        <v>3000</v>
      </c>
      <c r="F51" s="140"/>
      <c r="G51" s="140"/>
      <c r="H51" s="140"/>
      <c r="I51" s="140"/>
      <c r="J51" s="140"/>
    </row>
    <row r="52" spans="1:10" hidden="1" outlineLevel="1" x14ac:dyDescent="0.25">
      <c r="A52" s="32"/>
      <c r="B52" s="32"/>
      <c r="C52" s="32"/>
      <c r="D52" s="33"/>
      <c r="E52" s="32"/>
      <c r="F52" s="32"/>
      <c r="G52" s="32"/>
      <c r="H52" s="32"/>
      <c r="I52" s="32"/>
      <c r="J52" s="32"/>
    </row>
    <row r="53" spans="1:10" hidden="1" outlineLevel="1" x14ac:dyDescent="0.25">
      <c r="A53" s="32"/>
      <c r="B53" s="32"/>
      <c r="C53" s="32"/>
      <c r="D53" s="33"/>
      <c r="E53" s="32"/>
      <c r="F53" s="32"/>
      <c r="G53" s="32"/>
      <c r="H53" s="32"/>
      <c r="I53" s="32"/>
      <c r="J53" s="32"/>
    </row>
    <row r="54" spans="1:10" hidden="1" outlineLevel="1" x14ac:dyDescent="0.25">
      <c r="A54" s="32"/>
      <c r="B54" s="32"/>
      <c r="C54" s="32"/>
      <c r="D54" s="33"/>
      <c r="E54" s="32"/>
      <c r="F54" s="32"/>
      <c r="G54" s="32"/>
      <c r="H54" s="32"/>
      <c r="I54" s="32"/>
      <c r="J54" s="32"/>
    </row>
    <row r="55" spans="1:10" hidden="1" outlineLevel="1" x14ac:dyDescent="0.25">
      <c r="A55" s="32"/>
      <c r="B55" s="32"/>
      <c r="C55" s="32"/>
      <c r="D55" s="33"/>
      <c r="E55" s="32"/>
      <c r="F55" s="32"/>
      <c r="G55" s="32"/>
      <c r="H55" s="32"/>
      <c r="I55" s="32"/>
      <c r="J55" s="32"/>
    </row>
    <row r="56" spans="1:10" s="82" customFormat="1" collapsed="1" x14ac:dyDescent="0.25">
      <c r="A56" s="86" t="s">
        <v>17</v>
      </c>
      <c r="B56" s="87"/>
      <c r="C56" s="87" t="str">
        <f>"за "&amp;LOWER($A$50)</f>
        <v>за июль</v>
      </c>
      <c r="D56" s="88">
        <f>COUNTA(июл_пр)</f>
        <v>1</v>
      </c>
      <c r="E56" s="89">
        <f>SUM(июл_кол)</f>
        <v>3000</v>
      </c>
      <c r="F56" s="90">
        <f>COUNTA(акт_вх_июл)+COUNTA(акт_отб_июл)</f>
        <v>0</v>
      </c>
      <c r="G56" s="101"/>
      <c r="H56" s="101"/>
      <c r="I56" s="101"/>
      <c r="J56" s="92">
        <f>SUM(кол_отб_июл)</f>
        <v>0</v>
      </c>
    </row>
    <row r="57" spans="1:10" x14ac:dyDescent="0.25">
      <c r="A57" s="252" t="s">
        <v>13</v>
      </c>
      <c r="B57" s="252"/>
      <c r="C57" s="252"/>
      <c r="D57" s="252"/>
      <c r="E57" s="252"/>
      <c r="F57" s="252"/>
      <c r="G57" s="252"/>
      <c r="H57" s="252"/>
      <c r="I57" s="252"/>
      <c r="J57" s="252"/>
    </row>
    <row r="58" spans="1:10" s="82" customFormat="1" x14ac:dyDescent="0.25">
      <c r="A58" s="108">
        <v>11</v>
      </c>
      <c r="B58" s="98" t="s">
        <v>63</v>
      </c>
      <c r="C58" s="112">
        <v>60</v>
      </c>
      <c r="D58" s="100">
        <v>43690</v>
      </c>
      <c r="E58" s="112">
        <v>1500</v>
      </c>
      <c r="F58" s="140"/>
      <c r="G58" s="140"/>
      <c r="H58" s="140"/>
      <c r="I58" s="140"/>
      <c r="J58" s="140"/>
    </row>
    <row r="59" spans="1:10" hidden="1" outlineLevel="1" x14ac:dyDescent="0.25">
      <c r="A59" s="32"/>
      <c r="B59" s="32"/>
      <c r="C59" s="32"/>
      <c r="D59" s="33"/>
      <c r="E59" s="32"/>
      <c r="F59" s="32"/>
      <c r="G59" s="32"/>
      <c r="H59" s="32"/>
      <c r="I59" s="32"/>
      <c r="J59" s="32"/>
    </row>
    <row r="60" spans="1:10" hidden="1" outlineLevel="1" x14ac:dyDescent="0.25">
      <c r="A60" s="32"/>
      <c r="B60" s="32"/>
      <c r="C60" s="32"/>
      <c r="D60" s="33"/>
      <c r="E60" s="32"/>
      <c r="F60" s="32"/>
      <c r="G60" s="32"/>
      <c r="H60" s="32"/>
      <c r="I60" s="32"/>
      <c r="J60" s="32"/>
    </row>
    <row r="61" spans="1:10" hidden="1" outlineLevel="1" x14ac:dyDescent="0.25">
      <c r="A61" s="32"/>
      <c r="B61" s="32"/>
      <c r="C61" s="32"/>
      <c r="D61" s="33"/>
      <c r="E61" s="32"/>
      <c r="F61" s="32"/>
      <c r="G61" s="32"/>
      <c r="H61" s="32"/>
      <c r="I61" s="32"/>
      <c r="J61" s="32"/>
    </row>
    <row r="62" spans="1:10" hidden="1" outlineLevel="1" x14ac:dyDescent="0.25">
      <c r="A62" s="32"/>
      <c r="B62" s="32"/>
      <c r="C62" s="32"/>
      <c r="D62" s="33"/>
      <c r="E62" s="32"/>
      <c r="F62" s="32"/>
      <c r="G62" s="32"/>
      <c r="H62" s="32"/>
      <c r="I62" s="32"/>
      <c r="J62" s="32"/>
    </row>
    <row r="63" spans="1:10" s="82" customFormat="1" collapsed="1" x14ac:dyDescent="0.25">
      <c r="A63" s="86" t="s">
        <v>17</v>
      </c>
      <c r="B63" s="87"/>
      <c r="C63" s="87" t="str">
        <f>"за "&amp;LOWER($A$57)</f>
        <v>за август</v>
      </c>
      <c r="D63" s="88">
        <f>COUNTA(авг_пр)</f>
        <v>1</v>
      </c>
      <c r="E63" s="89">
        <f>SUM(авг_кол)</f>
        <v>1500</v>
      </c>
      <c r="F63" s="90">
        <f>COUNTA(акт_вх_авг)+COUNTA(акт_отб_авг)</f>
        <v>0</v>
      </c>
      <c r="G63" s="101"/>
      <c r="H63" s="101"/>
      <c r="I63" s="101"/>
      <c r="J63" s="92">
        <f>SUM(кол_отб_авг)</f>
        <v>0</v>
      </c>
    </row>
    <row r="64" spans="1:10" x14ac:dyDescent="0.25">
      <c r="A64" s="252" t="s">
        <v>12</v>
      </c>
      <c r="B64" s="252"/>
      <c r="C64" s="252"/>
      <c r="D64" s="252"/>
      <c r="E64" s="252"/>
      <c r="F64" s="252"/>
      <c r="G64" s="252"/>
      <c r="H64" s="252"/>
      <c r="I64" s="252"/>
      <c r="J64" s="252"/>
    </row>
    <row r="65" spans="1:10" s="82" customFormat="1" x14ac:dyDescent="0.25">
      <c r="A65" s="108">
        <v>12</v>
      </c>
      <c r="B65" s="65" t="s">
        <v>63</v>
      </c>
      <c r="C65" s="132" t="s">
        <v>241</v>
      </c>
      <c r="D65" s="67">
        <v>43731</v>
      </c>
      <c r="E65" s="132">
        <v>1650</v>
      </c>
      <c r="F65" s="140"/>
      <c r="G65" s="140"/>
      <c r="H65" s="140"/>
      <c r="I65" s="140"/>
      <c r="J65" s="140"/>
    </row>
    <row r="66" spans="1:10" s="82" customFormat="1" hidden="1" outlineLevel="1" x14ac:dyDescent="0.25">
      <c r="A66" s="140"/>
      <c r="B66" s="140"/>
      <c r="C66" s="140"/>
      <c r="D66" s="156"/>
      <c r="E66" s="140"/>
      <c r="F66" s="140"/>
      <c r="G66" s="140"/>
      <c r="H66" s="140"/>
      <c r="I66" s="140"/>
      <c r="J66" s="140"/>
    </row>
    <row r="67" spans="1:10" s="82" customFormat="1" hidden="1" outlineLevel="1" x14ac:dyDescent="0.25">
      <c r="A67" s="140"/>
      <c r="B67" s="140"/>
      <c r="C67" s="140"/>
      <c r="D67" s="156"/>
      <c r="E67" s="140"/>
      <c r="F67" s="140"/>
      <c r="G67" s="140"/>
      <c r="H67" s="140"/>
      <c r="I67" s="140"/>
      <c r="J67" s="140"/>
    </row>
    <row r="68" spans="1:10" s="82" customFormat="1" hidden="1" outlineLevel="1" x14ac:dyDescent="0.25">
      <c r="A68" s="140"/>
      <c r="B68" s="140"/>
      <c r="C68" s="140"/>
      <c r="D68" s="156"/>
      <c r="E68" s="140"/>
      <c r="F68" s="140"/>
      <c r="G68" s="140"/>
      <c r="H68" s="140"/>
      <c r="I68" s="140"/>
      <c r="J68" s="140"/>
    </row>
    <row r="69" spans="1:10" s="82" customFormat="1" hidden="1" outlineLevel="1" x14ac:dyDescent="0.25">
      <c r="A69" s="140"/>
      <c r="B69" s="140"/>
      <c r="C69" s="140"/>
      <c r="D69" s="156"/>
      <c r="E69" s="140"/>
      <c r="F69" s="140"/>
      <c r="G69" s="140"/>
      <c r="H69" s="140"/>
      <c r="I69" s="140"/>
      <c r="J69" s="140"/>
    </row>
    <row r="70" spans="1:10" s="82" customFormat="1" collapsed="1" x14ac:dyDescent="0.25">
      <c r="A70" s="86" t="s">
        <v>17</v>
      </c>
      <c r="B70" s="87"/>
      <c r="C70" s="87" t="str">
        <f>"за "&amp;LOWER($A$64)</f>
        <v>за сентябрь</v>
      </c>
      <c r="D70" s="88">
        <f>COUNTA(снт_пр)</f>
        <v>1</v>
      </c>
      <c r="E70" s="89">
        <f>SUM(снт_кол)</f>
        <v>1650</v>
      </c>
      <c r="F70" s="90">
        <f>COUNTA(акт_вх_снт)+COUNTA(акт_отб_снт)</f>
        <v>0</v>
      </c>
      <c r="G70" s="101"/>
      <c r="H70" s="101"/>
      <c r="I70" s="101"/>
      <c r="J70" s="92">
        <f>SUM(кол_отб_снт)</f>
        <v>0</v>
      </c>
    </row>
    <row r="71" spans="1:10" s="82" customFormat="1" ht="30" customHeight="1" x14ac:dyDescent="0.25">
      <c r="A71" s="102" t="s">
        <v>17</v>
      </c>
      <c r="B71" s="103"/>
      <c r="C71" s="103" t="s">
        <v>142</v>
      </c>
      <c r="D71" s="104">
        <f>SUM(D56,D63,D70)</f>
        <v>3</v>
      </c>
      <c r="E71" s="105">
        <f>SUM(E56,E63,E70)</f>
        <v>6150</v>
      </c>
      <c r="F71" s="106">
        <f>SUM(F56,F63,F70)</f>
        <v>0</v>
      </c>
      <c r="G71" s="103"/>
      <c r="H71" s="103" t="str">
        <f>"Кп= "&amp;ROUNDDOWN((F71/D71)*100,1)&amp;"%"</f>
        <v>Кп= 0%</v>
      </c>
      <c r="I71" s="103" t="str">
        <f>"Км= "&amp;ROUNDDOWN((J71/E71)*100,1)&amp;"%"</f>
        <v>Км= 0%</v>
      </c>
      <c r="J71" s="107">
        <f>SUM(J56,J63,J70)</f>
        <v>0</v>
      </c>
    </row>
    <row r="72" spans="1:10" s="82" customFormat="1" ht="30" customHeight="1" x14ac:dyDescent="0.25">
      <c r="A72" s="102" t="s">
        <v>17</v>
      </c>
      <c r="B72" s="103"/>
      <c r="C72" s="103" t="s">
        <v>144</v>
      </c>
      <c r="D72" s="104">
        <f>SUM(D46,D71)</f>
        <v>12</v>
      </c>
      <c r="E72" s="105">
        <f>SUM(E71,E46)</f>
        <v>24710</v>
      </c>
      <c r="F72" s="106">
        <f>SUM(F71,F46)</f>
        <v>0</v>
      </c>
      <c r="G72" s="103"/>
      <c r="H72" s="103" t="str">
        <f>"Кп= "&amp;ROUNDDOWN((F72/D72)*100,1)&amp;"%"</f>
        <v>Кп= 0%</v>
      </c>
      <c r="I72" s="103" t="str">
        <f>"Км= "&amp;ROUNDDOWN((J72/E72)*100,1)&amp;"%"</f>
        <v>Км= 0%</v>
      </c>
      <c r="J72" s="107">
        <f>SUM(J71,J46)</f>
        <v>0</v>
      </c>
    </row>
    <row r="73" spans="1:10" ht="24.75" hidden="1" customHeight="1" outlineLevel="1" x14ac:dyDescent="0.25">
      <c r="A73" s="115" t="s">
        <v>20</v>
      </c>
      <c r="B73" s="115"/>
      <c r="C73" s="115"/>
      <c r="D73" s="116"/>
      <c r="E73" s="115"/>
      <c r="F73" s="115"/>
      <c r="G73" s="115" t="s">
        <v>21</v>
      </c>
      <c r="H73" s="115"/>
      <c r="I73" s="115"/>
      <c r="J73" s="115"/>
    </row>
    <row r="74" spans="1:10" ht="15" customHeight="1" collapsed="1" x14ac:dyDescent="0.25">
      <c r="A74" s="249" t="s">
        <v>14</v>
      </c>
      <c r="B74" s="249"/>
      <c r="C74" s="249"/>
      <c r="D74" s="249"/>
      <c r="E74" s="249"/>
      <c r="F74" s="249"/>
      <c r="G74" s="249"/>
      <c r="H74" s="249"/>
      <c r="I74" s="249"/>
      <c r="J74" s="249"/>
    </row>
    <row r="75" spans="1:10" x14ac:dyDescent="0.25">
      <c r="A75" s="77">
        <v>13</v>
      </c>
      <c r="B75" s="220" t="s">
        <v>63</v>
      </c>
      <c r="C75" s="145">
        <v>63</v>
      </c>
      <c r="D75" s="97">
        <v>43760</v>
      </c>
      <c r="E75" s="145">
        <v>4000</v>
      </c>
      <c r="F75" s="140"/>
      <c r="G75" s="140"/>
      <c r="H75" s="140"/>
      <c r="I75" s="140"/>
      <c r="J75" s="140"/>
    </row>
    <row r="76" spans="1:10" hidden="1" outlineLevel="1" x14ac:dyDescent="0.25">
      <c r="A76" s="140"/>
      <c r="B76" s="140"/>
      <c r="C76" s="140"/>
      <c r="D76" s="156"/>
      <c r="E76" s="140"/>
      <c r="F76" s="140"/>
      <c r="G76" s="140"/>
      <c r="H76" s="140"/>
      <c r="I76" s="140"/>
      <c r="J76" s="140"/>
    </row>
    <row r="77" spans="1:10" hidden="1" outlineLevel="1" x14ac:dyDescent="0.25">
      <c r="A77" s="140"/>
      <c r="B77" s="140"/>
      <c r="C77" s="140"/>
      <c r="D77" s="156"/>
      <c r="E77" s="140"/>
      <c r="F77" s="140"/>
      <c r="G77" s="140"/>
      <c r="H77" s="140"/>
      <c r="I77" s="140"/>
      <c r="J77" s="140"/>
    </row>
    <row r="78" spans="1:10" hidden="1" outlineLevel="1" x14ac:dyDescent="0.25">
      <c r="A78" s="140"/>
      <c r="B78" s="140"/>
      <c r="C78" s="140"/>
      <c r="D78" s="156"/>
      <c r="E78" s="140"/>
      <c r="F78" s="140"/>
      <c r="G78" s="140"/>
      <c r="H78" s="140"/>
      <c r="I78" s="140"/>
      <c r="J78" s="140"/>
    </row>
    <row r="79" spans="1:10" hidden="1" outlineLevel="1" x14ac:dyDescent="0.25">
      <c r="A79" s="140"/>
      <c r="B79" s="140"/>
      <c r="C79" s="140"/>
      <c r="D79" s="156"/>
      <c r="E79" s="140"/>
      <c r="F79" s="140"/>
      <c r="G79" s="140"/>
      <c r="H79" s="140"/>
      <c r="I79" s="140"/>
      <c r="J79" s="140"/>
    </row>
    <row r="80" spans="1:10" collapsed="1" x14ac:dyDescent="0.25">
      <c r="A80" s="86" t="s">
        <v>17</v>
      </c>
      <c r="B80" s="87"/>
      <c r="C80" s="87" t="str">
        <f>"за "&amp;LOWER($A$74)</f>
        <v>за октябрь</v>
      </c>
      <c r="D80" s="88">
        <f>COUNTA(окт_пр)</f>
        <v>1</v>
      </c>
      <c r="E80" s="89">
        <f>SUM(окт_кол)</f>
        <v>4000</v>
      </c>
      <c r="F80" s="90">
        <f>COUNTA(акт_вх_окт)+COUNTA(акт_отб_окт)</f>
        <v>0</v>
      </c>
      <c r="G80" s="101"/>
      <c r="H80" s="101"/>
      <c r="I80" s="101"/>
      <c r="J80" s="92">
        <f>SUM(кол_отб_окт)</f>
        <v>0</v>
      </c>
    </row>
    <row r="81" spans="1:10" x14ac:dyDescent="0.25">
      <c r="A81" s="249" t="s">
        <v>15</v>
      </c>
      <c r="B81" s="249"/>
      <c r="C81" s="249"/>
      <c r="D81" s="249"/>
      <c r="E81" s="249"/>
      <c r="F81" s="249"/>
      <c r="G81" s="249"/>
      <c r="H81" s="249"/>
      <c r="I81" s="249"/>
      <c r="J81" s="249"/>
    </row>
    <row r="82" spans="1:10" x14ac:dyDescent="0.25">
      <c r="A82" s="77">
        <v>14</v>
      </c>
      <c r="B82" s="98" t="s">
        <v>63</v>
      </c>
      <c r="C82" s="112">
        <v>67</v>
      </c>
      <c r="D82" s="100">
        <v>43777</v>
      </c>
      <c r="E82" s="112">
        <v>3000</v>
      </c>
      <c r="F82" s="140"/>
      <c r="G82" s="140"/>
      <c r="H82" s="140"/>
      <c r="I82" s="140"/>
      <c r="J82" s="140"/>
    </row>
    <row r="83" spans="1:10" hidden="1" outlineLevel="1" x14ac:dyDescent="0.25">
      <c r="A83" s="140"/>
      <c r="B83" s="140"/>
      <c r="C83" s="140"/>
      <c r="D83" s="156"/>
      <c r="E83" s="140"/>
      <c r="F83" s="140"/>
      <c r="G83" s="140"/>
      <c r="H83" s="140"/>
      <c r="I83" s="140"/>
      <c r="J83" s="140"/>
    </row>
    <row r="84" spans="1:10" hidden="1" outlineLevel="1" x14ac:dyDescent="0.25">
      <c r="A84" s="140"/>
      <c r="B84" s="140"/>
      <c r="C84" s="140"/>
      <c r="D84" s="156"/>
      <c r="E84" s="140"/>
      <c r="F84" s="140"/>
      <c r="G84" s="140"/>
      <c r="H84" s="140"/>
      <c r="I84" s="140"/>
      <c r="J84" s="140"/>
    </row>
    <row r="85" spans="1:10" hidden="1" outlineLevel="1" x14ac:dyDescent="0.25">
      <c r="A85" s="140"/>
      <c r="B85" s="140"/>
      <c r="C85" s="140"/>
      <c r="D85" s="156"/>
      <c r="E85" s="140"/>
      <c r="F85" s="140"/>
      <c r="G85" s="140"/>
      <c r="H85" s="140"/>
      <c r="I85" s="140"/>
      <c r="J85" s="140"/>
    </row>
    <row r="86" spans="1:10" hidden="1" outlineLevel="1" x14ac:dyDescent="0.25">
      <c r="A86" s="140"/>
      <c r="B86" s="140"/>
      <c r="C86" s="140"/>
      <c r="D86" s="156"/>
      <c r="E86" s="140"/>
      <c r="F86" s="140"/>
      <c r="G86" s="140"/>
      <c r="H86" s="140"/>
      <c r="I86" s="140"/>
      <c r="J86" s="140"/>
    </row>
    <row r="87" spans="1:10" collapsed="1" x14ac:dyDescent="0.25">
      <c r="A87" s="86" t="s">
        <v>17</v>
      </c>
      <c r="B87" s="87"/>
      <c r="C87" s="87" t="str">
        <f>"за "&amp;LOWER($A$81)</f>
        <v>за ноябрь</v>
      </c>
      <c r="D87" s="88">
        <f>COUNTA(нбр_пр)</f>
        <v>1</v>
      </c>
      <c r="E87" s="89">
        <f>SUM(нбр_кол)</f>
        <v>3000</v>
      </c>
      <c r="F87" s="90">
        <f>COUNTA(акт_вх_нбр)+COUNTA(акт_отб_нбр)</f>
        <v>0</v>
      </c>
      <c r="G87" s="101"/>
      <c r="H87" s="101"/>
      <c r="I87" s="101"/>
      <c r="J87" s="92">
        <f>SUM(кол_отб_нбр)</f>
        <v>0</v>
      </c>
    </row>
    <row r="88" spans="1:10" x14ac:dyDescent="0.25">
      <c r="A88" s="249" t="s">
        <v>16</v>
      </c>
      <c r="B88" s="249"/>
      <c r="C88" s="249"/>
      <c r="D88" s="249"/>
      <c r="E88" s="249"/>
      <c r="F88" s="249"/>
      <c r="G88" s="249"/>
      <c r="H88" s="249"/>
      <c r="I88" s="249"/>
      <c r="J88" s="249"/>
    </row>
    <row r="89" spans="1:10" x14ac:dyDescent="0.25">
      <c r="A89" s="140"/>
      <c r="B89" s="140"/>
      <c r="C89" s="140"/>
      <c r="D89" s="140"/>
      <c r="E89" s="140"/>
      <c r="F89" s="140"/>
      <c r="G89" s="140"/>
      <c r="H89" s="140"/>
      <c r="I89" s="140"/>
      <c r="J89" s="140"/>
    </row>
    <row r="90" spans="1:10" hidden="1" outlineLevel="1" x14ac:dyDescent="0.25">
      <c r="A90" s="140"/>
      <c r="B90" s="140"/>
      <c r="C90" s="140"/>
      <c r="D90" s="140"/>
      <c r="E90" s="140"/>
      <c r="F90" s="140"/>
      <c r="G90" s="140"/>
      <c r="H90" s="140"/>
      <c r="I90" s="140"/>
      <c r="J90" s="140"/>
    </row>
    <row r="91" spans="1:10" hidden="1" outlineLevel="1" x14ac:dyDescent="0.25">
      <c r="A91" s="140"/>
      <c r="B91" s="140"/>
      <c r="C91" s="140"/>
      <c r="D91" s="140"/>
      <c r="E91" s="140"/>
      <c r="F91" s="140"/>
      <c r="G91" s="140"/>
      <c r="H91" s="140"/>
      <c r="I91" s="140"/>
      <c r="J91" s="140"/>
    </row>
    <row r="92" spans="1:10" hidden="1" outlineLevel="1" x14ac:dyDescent="0.25">
      <c r="A92" s="140"/>
      <c r="B92" s="140"/>
      <c r="C92" s="140"/>
      <c r="D92" s="140"/>
      <c r="E92" s="140"/>
      <c r="F92" s="140"/>
      <c r="G92" s="140"/>
      <c r="H92" s="140"/>
      <c r="I92" s="140"/>
      <c r="J92" s="140"/>
    </row>
    <row r="93" spans="1:10" hidden="1" outlineLevel="1" x14ac:dyDescent="0.25">
      <c r="A93" s="140"/>
      <c r="B93" s="140"/>
      <c r="C93" s="140"/>
      <c r="D93" s="140"/>
      <c r="E93" s="140"/>
      <c r="F93" s="140"/>
      <c r="G93" s="140"/>
      <c r="H93" s="140"/>
      <c r="I93" s="140"/>
      <c r="J93" s="140"/>
    </row>
    <row r="94" spans="1:10" collapsed="1" x14ac:dyDescent="0.25">
      <c r="A94" s="86" t="s">
        <v>17</v>
      </c>
      <c r="B94" s="87"/>
      <c r="C94" s="87" t="str">
        <f>"за "&amp;LOWER($A$88)</f>
        <v>за декабрь</v>
      </c>
      <c r="D94" s="88">
        <f>COUNTA(дкб_пр)</f>
        <v>0</v>
      </c>
      <c r="E94" s="89">
        <f>SUM(дкб_кол)</f>
        <v>0</v>
      </c>
      <c r="F94" s="90">
        <f>COUNTA(акт_вх_дкб)+COUNTA(акт_отб_дкб)</f>
        <v>0</v>
      </c>
      <c r="G94" s="101"/>
      <c r="H94" s="101"/>
      <c r="I94" s="101"/>
      <c r="J94" s="92">
        <f>SUM(кол_отб_дкб)</f>
        <v>0</v>
      </c>
    </row>
    <row r="95" spans="1:10" ht="32.25" customHeight="1" x14ac:dyDescent="0.25">
      <c r="A95" s="102" t="s">
        <v>17</v>
      </c>
      <c r="B95" s="103"/>
      <c r="C95" s="103" t="s">
        <v>143</v>
      </c>
      <c r="D95" s="104">
        <f>SUM(D80,D87,D94)</f>
        <v>2</v>
      </c>
      <c r="E95" s="105">
        <f>SUM(E80,E87,E94)</f>
        <v>7000</v>
      </c>
      <c r="F95" s="106">
        <f>SUM(F80,F87,F94)</f>
        <v>0</v>
      </c>
      <c r="G95" s="103"/>
      <c r="H95" s="103" t="str">
        <f>"Кп= "&amp;ROUNDDOWN((F95/D95)*100,1)&amp;"%"</f>
        <v>Кп= 0%</v>
      </c>
      <c r="I95" s="103" t="str">
        <f>"Км= "&amp;ROUNDDOWN((J95/E95)*100,1)&amp;"%"</f>
        <v>Км= 0%</v>
      </c>
      <c r="J95" s="107">
        <f>SUM(J80,J87,J94)</f>
        <v>0</v>
      </c>
    </row>
    <row r="96" spans="1:10" ht="27" customHeight="1" x14ac:dyDescent="0.25">
      <c r="A96" s="102" t="s">
        <v>320</v>
      </c>
      <c r="B96" s="103"/>
      <c r="C96" s="103" t="s">
        <v>145</v>
      </c>
      <c r="D96" s="104">
        <f>SUM(D95,D72)</f>
        <v>14</v>
      </c>
      <c r="E96" s="105">
        <f>SUM(E95,E72)</f>
        <v>31710</v>
      </c>
      <c r="F96" s="106">
        <f>SUM(F95,F72)</f>
        <v>0</v>
      </c>
      <c r="G96" s="103"/>
      <c r="H96" s="103" t="str">
        <f>"Кп= "&amp;ROUNDDOWN((F96/D96)*100,1)&amp;"%"</f>
        <v>Кп= 0%</v>
      </c>
      <c r="I96" s="103" t="str">
        <f>"Км= "&amp;ROUNDDOWN((J96/E96)*100,1)&amp;"%"</f>
        <v>Км= 0%</v>
      </c>
      <c r="J96" s="107">
        <f>SUM(J95,J72)</f>
        <v>0</v>
      </c>
    </row>
    <row r="97" spans="1:10" ht="26.25" customHeight="1" x14ac:dyDescent="0.25">
      <c r="A97" s="115" t="s">
        <v>321</v>
      </c>
      <c r="B97" s="115"/>
      <c r="C97" s="115"/>
      <c r="D97" s="116"/>
      <c r="E97" s="115"/>
      <c r="F97" s="115"/>
      <c r="G97" s="115"/>
      <c r="H97" s="115"/>
      <c r="I97" s="115"/>
      <c r="J97" s="115"/>
    </row>
    <row r="98" spans="1:10" ht="26.25" customHeight="1" x14ac:dyDescent="0.25">
      <c r="A98" s="115" t="s">
        <v>20</v>
      </c>
      <c r="B98" s="115"/>
      <c r="C98" s="115"/>
      <c r="D98" s="116"/>
      <c r="E98" s="115"/>
      <c r="F98" s="115"/>
      <c r="G98" s="115" t="s">
        <v>21</v>
      </c>
      <c r="H98" s="115"/>
      <c r="I98" s="115"/>
      <c r="J98" s="115"/>
    </row>
  </sheetData>
  <sheetProtection algorithmName="SHA-512" hashValue="WQP+FmHgYa/aYFNbUjaDn3yBnkbPGre00I2n/EhaKuHFg2xegOLxKAB0erF4vCrydCF5nLb2mS/uJymjle/5MQ==" saltValue="ieFjcgMcX0oEPJfWJ82sEQ==" spinCount="100000" sheet="1" formatCells="0" formatColumns="0" formatRows="0" insertColumns="0" insertRows="0" insertHyperlinks="0" deleteColumns="0" deleteRows="0" sort="0" autoFilter="0" pivotTables="0"/>
  <mergeCells count="21">
    <mergeCell ref="A88:J88"/>
    <mergeCell ref="A6:J6"/>
    <mergeCell ref="A13:J13"/>
    <mergeCell ref="A17:J17"/>
    <mergeCell ref="A24:J24"/>
    <mergeCell ref="A31:J31"/>
    <mergeCell ref="A38:J38"/>
    <mergeCell ref="A50:J50"/>
    <mergeCell ref="A57:J57"/>
    <mergeCell ref="A64:J64"/>
    <mergeCell ref="A74:J74"/>
    <mergeCell ref="A81:J81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/>
  <pageMargins left="0.7" right="0.7" top="0.75" bottom="0.75" header="0.3" footer="0.3"/>
  <pageSetup paperSize="9" scale="90" fitToHeight="0" orientation="landscape" r:id="rId1"/>
  <headerFooter>
    <oddFooter>Страница  &amp;P из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C8C18-CB38-4DF5-AF7E-9F3FC010BED4}">
  <sheetPr codeName="Лист8">
    <pageSetUpPr fitToPage="1"/>
  </sheetPr>
  <dimension ref="A1:N100"/>
  <sheetViews>
    <sheetView zoomScaleNormal="100" workbookViewId="0">
      <pane ySplit="4" topLeftCell="A5" activePane="bottomLeft" state="frozen"/>
      <selection activeCell="J16" sqref="J16:J19"/>
      <selection pane="bottomLeft" activeCell="F26" sqref="F26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82"/>
      <c r="B1" s="82"/>
      <c r="C1" s="82"/>
      <c r="D1" s="82"/>
      <c r="E1" s="82"/>
      <c r="F1" s="82"/>
      <c r="G1" s="82"/>
      <c r="H1" s="82"/>
      <c r="I1" s="82"/>
      <c r="J1" s="83" t="s">
        <v>97</v>
      </c>
    </row>
    <row r="2" spans="1:14" ht="33.75" customHeight="1" x14ac:dyDescent="0.25">
      <c r="A2" s="256" t="s">
        <v>298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153</v>
      </c>
      <c r="F3" s="257" t="s">
        <v>3</v>
      </c>
      <c r="G3" s="257"/>
      <c r="H3" s="261" t="s">
        <v>2</v>
      </c>
      <c r="I3" s="262"/>
      <c r="J3" s="260" t="s">
        <v>210</v>
      </c>
    </row>
    <row r="4" spans="1:14" ht="32.25" customHeight="1" x14ac:dyDescent="0.25">
      <c r="A4" s="257"/>
      <c r="B4" s="259"/>
      <c r="C4" s="257"/>
      <c r="D4" s="257"/>
      <c r="E4" s="257"/>
      <c r="F4" s="138" t="s">
        <v>0</v>
      </c>
      <c r="G4" s="138" t="s">
        <v>4</v>
      </c>
      <c r="H4" s="138" t="s">
        <v>0</v>
      </c>
      <c r="I4" s="138" t="s">
        <v>4</v>
      </c>
      <c r="J4" s="257"/>
    </row>
    <row r="5" spans="1:14" ht="14.25" customHeight="1" x14ac:dyDescent="0.25">
      <c r="A5" s="136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36">
        <v>8</v>
      </c>
      <c r="I5" s="136">
        <v>9</v>
      </c>
      <c r="J5" s="136">
        <v>10</v>
      </c>
      <c r="M5" s="18"/>
    </row>
    <row r="6" spans="1:14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x14ac:dyDescent="0.25">
      <c r="A7" s="108">
        <v>1</v>
      </c>
      <c r="B7" s="78" t="s">
        <v>73</v>
      </c>
      <c r="C7" s="79">
        <v>255</v>
      </c>
      <c r="D7" s="80">
        <v>43497</v>
      </c>
      <c r="E7" s="79">
        <v>2556</v>
      </c>
      <c r="F7" s="136"/>
      <c r="G7" s="136"/>
      <c r="H7" s="136"/>
      <c r="I7" s="136"/>
      <c r="J7" s="136"/>
    </row>
    <row r="8" spans="1:14" hidden="1" outlineLevel="1" x14ac:dyDescent="0.25">
      <c r="A8" s="94"/>
      <c r="B8" s="94"/>
      <c r="C8" s="119"/>
      <c r="D8" s="120"/>
      <c r="E8" s="121"/>
      <c r="F8" s="136"/>
      <c r="G8" s="136"/>
      <c r="H8" s="136"/>
      <c r="I8" s="136"/>
      <c r="J8" s="136"/>
    </row>
    <row r="9" spans="1:14" hidden="1" outlineLevel="1" x14ac:dyDescent="0.25">
      <c r="A9" s="94"/>
      <c r="B9" s="94"/>
      <c r="C9" s="119"/>
      <c r="D9" s="120"/>
      <c r="E9" s="121"/>
      <c r="F9" s="136"/>
      <c r="G9" s="136"/>
      <c r="H9" s="136"/>
      <c r="I9" s="136"/>
      <c r="J9" s="136"/>
    </row>
    <row r="10" spans="1:14" hidden="1" outlineLevel="1" x14ac:dyDescent="0.25">
      <c r="A10" s="94"/>
      <c r="B10" s="94"/>
      <c r="C10" s="119"/>
      <c r="D10" s="120"/>
      <c r="E10" s="121"/>
      <c r="F10" s="136"/>
      <c r="G10" s="136"/>
      <c r="H10" s="136"/>
      <c r="I10" s="136"/>
      <c r="J10" s="136"/>
    </row>
    <row r="11" spans="1:14" hidden="1" outlineLevel="1" x14ac:dyDescent="0.25">
      <c r="A11" s="94"/>
      <c r="B11" s="94"/>
      <c r="C11" s="119"/>
      <c r="D11" s="120"/>
      <c r="E11" s="121"/>
      <c r="F11" s="136"/>
      <c r="G11" s="136"/>
      <c r="H11" s="136"/>
      <c r="I11" s="136"/>
      <c r="J11" s="136"/>
    </row>
    <row r="12" spans="1:14" s="1" customFormat="1" collapsed="1" x14ac:dyDescent="0.25">
      <c r="A12" s="86" t="s">
        <v>17</v>
      </c>
      <c r="B12" s="87"/>
      <c r="C12" s="87" t="str">
        <f>"за "&amp;LOWER($A$6)</f>
        <v>за январь</v>
      </c>
      <c r="D12" s="88">
        <f>COUNTA(янв_пр)</f>
        <v>1</v>
      </c>
      <c r="E12" s="126">
        <f>SUM(янв_кол)</f>
        <v>2556</v>
      </c>
      <c r="F12" s="90">
        <f>COUNTA(акт_вх_янв)+COUNTA(акт_отб_янв)</f>
        <v>0</v>
      </c>
      <c r="G12" s="91"/>
      <c r="H12" s="91"/>
      <c r="I12" s="91"/>
      <c r="J12" s="128">
        <f>SUM(кол_отб_янв)</f>
        <v>0</v>
      </c>
    </row>
    <row r="13" spans="1:14" x14ac:dyDescent="0.25">
      <c r="A13" s="250" t="s">
        <v>6</v>
      </c>
      <c r="B13" s="250"/>
      <c r="C13" s="250"/>
      <c r="D13" s="250"/>
      <c r="E13" s="250"/>
      <c r="F13" s="250"/>
      <c r="G13" s="250"/>
      <c r="H13" s="250"/>
      <c r="I13" s="250"/>
      <c r="J13" s="250"/>
      <c r="L13" s="1"/>
      <c r="M13" s="1"/>
      <c r="N13" s="1"/>
    </row>
    <row r="14" spans="1:14" x14ac:dyDescent="0.25">
      <c r="A14" s="77"/>
      <c r="B14" s="77"/>
      <c r="C14" s="122"/>
      <c r="D14" s="118"/>
      <c r="E14" s="123"/>
      <c r="F14" s="94"/>
      <c r="G14" s="94"/>
      <c r="H14" s="94"/>
      <c r="I14" s="94"/>
      <c r="J14" s="94"/>
      <c r="L14" s="1"/>
      <c r="M14" s="1"/>
      <c r="N14" s="1"/>
    </row>
    <row r="15" spans="1:14" hidden="1" outlineLevel="1" x14ac:dyDescent="0.25">
      <c r="A15" s="94"/>
      <c r="B15" s="94"/>
      <c r="C15" s="124"/>
      <c r="D15" s="120"/>
      <c r="E15" s="121"/>
      <c r="F15" s="94"/>
      <c r="G15" s="94"/>
      <c r="H15" s="94"/>
      <c r="I15" s="94"/>
      <c r="J15" s="94"/>
      <c r="L15" s="1"/>
      <c r="M15" s="1"/>
      <c r="N15" s="1"/>
    </row>
    <row r="16" spans="1:14" hidden="1" outlineLevel="1" x14ac:dyDescent="0.25">
      <c r="A16" s="94"/>
      <c r="B16" s="94"/>
      <c r="C16" s="124"/>
      <c r="D16" s="120"/>
      <c r="E16" s="121"/>
      <c r="F16" s="94"/>
      <c r="G16" s="94"/>
      <c r="H16" s="94"/>
      <c r="I16" s="94"/>
      <c r="J16" s="94"/>
      <c r="L16" s="1"/>
      <c r="M16" s="1"/>
      <c r="N16" s="1"/>
    </row>
    <row r="17" spans="1:14" hidden="1" outlineLevel="1" x14ac:dyDescent="0.25">
      <c r="A17" s="94"/>
      <c r="B17" s="94"/>
      <c r="C17" s="124"/>
      <c r="D17" s="120"/>
      <c r="E17" s="121"/>
      <c r="F17" s="94"/>
      <c r="G17" s="94"/>
      <c r="H17" s="94"/>
      <c r="I17" s="94"/>
      <c r="J17" s="94"/>
      <c r="L17" s="1"/>
      <c r="M17" s="70"/>
      <c r="N17" s="1"/>
    </row>
    <row r="18" spans="1:14" hidden="1" outlineLevel="1" x14ac:dyDescent="0.25">
      <c r="A18" s="94"/>
      <c r="B18" s="94"/>
      <c r="C18" s="124"/>
      <c r="D18" s="120"/>
      <c r="E18" s="121"/>
      <c r="F18" s="94"/>
      <c r="G18" s="94"/>
      <c r="H18" s="94"/>
      <c r="I18" s="94"/>
      <c r="J18" s="94"/>
      <c r="L18" s="1"/>
      <c r="M18" s="1"/>
      <c r="N18" s="1"/>
    </row>
    <row r="19" spans="1:14" collapsed="1" x14ac:dyDescent="0.25">
      <c r="A19" s="86" t="s">
        <v>17</v>
      </c>
      <c r="B19" s="87"/>
      <c r="C19" s="87" t="str">
        <f>"за "&amp;LOWER($A$13)</f>
        <v>за февраль</v>
      </c>
      <c r="D19" s="88">
        <f>COUNTA(фев_пр)</f>
        <v>0</v>
      </c>
      <c r="E19" s="126">
        <f>SUM(фев_кол)</f>
        <v>0</v>
      </c>
      <c r="F19" s="90">
        <f>COUNTA(акт_вх_фев)+COUNTA(акт_отб_фев)</f>
        <v>0</v>
      </c>
      <c r="G19" s="91"/>
      <c r="H19" s="91"/>
      <c r="I19" s="91"/>
      <c r="J19" s="128">
        <f>SUM(кол_отб_фев)</f>
        <v>0</v>
      </c>
      <c r="L19" s="1"/>
      <c r="M19" s="1"/>
      <c r="N19" s="1"/>
    </row>
    <row r="20" spans="1:14" x14ac:dyDescent="0.25">
      <c r="A20" s="249" t="s">
        <v>7</v>
      </c>
      <c r="B20" s="249"/>
      <c r="C20" s="249"/>
      <c r="D20" s="249"/>
      <c r="E20" s="249"/>
      <c r="F20" s="249"/>
      <c r="G20" s="249"/>
      <c r="H20" s="249"/>
      <c r="I20" s="249"/>
      <c r="J20" s="249"/>
      <c r="L20" s="1"/>
      <c r="M20" s="1"/>
      <c r="N20" s="1"/>
    </row>
    <row r="21" spans="1:14" x14ac:dyDescent="0.25">
      <c r="A21" s="108">
        <v>2</v>
      </c>
      <c r="B21" s="78" t="s">
        <v>73</v>
      </c>
      <c r="C21" s="79">
        <v>780</v>
      </c>
      <c r="D21" s="80">
        <v>43531</v>
      </c>
      <c r="E21" s="79">
        <v>2566</v>
      </c>
      <c r="F21" s="94"/>
      <c r="G21" s="94"/>
      <c r="H21" s="94"/>
      <c r="I21" s="94"/>
      <c r="J21" s="94"/>
      <c r="L21" s="1"/>
      <c r="M21" s="1"/>
      <c r="N21" s="1"/>
    </row>
    <row r="22" spans="1:14" hidden="1" outlineLevel="1" x14ac:dyDescent="0.25">
      <c r="A22" s="94"/>
      <c r="B22" s="94"/>
      <c r="C22" s="119"/>
      <c r="D22" s="120"/>
      <c r="E22" s="94"/>
      <c r="F22" s="94"/>
      <c r="G22" s="94"/>
      <c r="H22" s="94"/>
      <c r="I22" s="94"/>
      <c r="J22" s="94"/>
      <c r="L22" s="1"/>
      <c r="M22" s="1"/>
      <c r="N22" s="1"/>
    </row>
    <row r="23" spans="1:14" hidden="1" outlineLevel="1" x14ac:dyDescent="0.25">
      <c r="A23" s="94"/>
      <c r="B23" s="94"/>
      <c r="C23" s="119"/>
      <c r="D23" s="120"/>
      <c r="E23" s="94"/>
      <c r="F23" s="94"/>
      <c r="G23" s="94"/>
      <c r="H23" s="94"/>
      <c r="I23" s="94"/>
      <c r="J23" s="94"/>
      <c r="L23" s="1"/>
      <c r="M23" s="1"/>
      <c r="N23" s="1"/>
    </row>
    <row r="24" spans="1:14" hidden="1" outlineLevel="1" x14ac:dyDescent="0.25">
      <c r="A24" s="94"/>
      <c r="B24" s="94"/>
      <c r="C24" s="119"/>
      <c r="D24" s="120"/>
      <c r="E24" s="94"/>
      <c r="F24" s="94"/>
      <c r="G24" s="94"/>
      <c r="H24" s="94"/>
      <c r="I24" s="94"/>
      <c r="J24" s="94"/>
      <c r="L24" s="1"/>
      <c r="M24" s="1"/>
      <c r="N24" s="1"/>
    </row>
    <row r="25" spans="1:14" hidden="1" outlineLevel="1" x14ac:dyDescent="0.25">
      <c r="A25" s="94"/>
      <c r="B25" s="94"/>
      <c r="C25" s="119"/>
      <c r="D25" s="120"/>
      <c r="E25" s="94"/>
      <c r="F25" s="94"/>
      <c r="G25" s="94"/>
      <c r="H25" s="94"/>
      <c r="I25" s="94"/>
      <c r="J25" s="94"/>
      <c r="L25" s="1"/>
      <c r="M25" s="1"/>
      <c r="N25" s="1"/>
    </row>
    <row r="26" spans="1:14" collapsed="1" x14ac:dyDescent="0.25">
      <c r="A26" s="86" t="s">
        <v>17</v>
      </c>
      <c r="B26" s="87"/>
      <c r="C26" s="87" t="str">
        <f>"за "&amp;LOWER($A$20)</f>
        <v>за март</v>
      </c>
      <c r="D26" s="88">
        <f>COUNTA(мрт_пр)</f>
        <v>1</v>
      </c>
      <c r="E26" s="126">
        <f>SUM(мрт_кол)</f>
        <v>2566</v>
      </c>
      <c r="F26" s="90">
        <f>COUNTA(акт_вх_мрт)+COUNTA(акт_отб_мрт)</f>
        <v>0</v>
      </c>
      <c r="G26" s="101"/>
      <c r="H26" s="101"/>
      <c r="I26" s="101"/>
      <c r="J26" s="128">
        <f>SUM(кол_отб_мрт)</f>
        <v>0</v>
      </c>
      <c r="L26" s="1"/>
      <c r="M26" s="1"/>
      <c r="N26" s="1"/>
    </row>
    <row r="27" spans="1:14" ht="18.75" customHeight="1" x14ac:dyDescent="0.25">
      <c r="A27" s="102" t="s">
        <v>17</v>
      </c>
      <c r="B27" s="103"/>
      <c r="C27" s="103" t="s">
        <v>18</v>
      </c>
      <c r="D27" s="104">
        <f>SUM(D12,D19,D26)</f>
        <v>2</v>
      </c>
      <c r="E27" s="127">
        <f>SUM(E12,E19,E26)</f>
        <v>5122</v>
      </c>
      <c r="F27" s="106">
        <f>SUM(F12,F19,F26)</f>
        <v>0</v>
      </c>
      <c r="G27" s="103"/>
      <c r="H27" s="103" t="str">
        <f>"Кп= "&amp;ROUNDDOWN((F27/D27)*100,1)&amp;"%"</f>
        <v>Кп= 0%</v>
      </c>
      <c r="I27" s="103" t="str">
        <f>"Км= "&amp;ROUNDDOWN((J27/E27)*100,1)&amp;"%"</f>
        <v>Км= 0%</v>
      </c>
      <c r="J27" s="129">
        <f>SUM(J12,J19,J26)</f>
        <v>0</v>
      </c>
      <c r="L27" s="1"/>
      <c r="M27" s="1"/>
      <c r="N27" s="1"/>
    </row>
    <row r="28" spans="1:14" ht="15.75" hidden="1" customHeight="1" outlineLevel="1" x14ac:dyDescent="0.25">
      <c r="A28" s="115" t="s">
        <v>20</v>
      </c>
      <c r="B28" s="115"/>
      <c r="C28" s="115"/>
      <c r="D28" s="116"/>
      <c r="E28" s="115"/>
      <c r="F28" s="115"/>
      <c r="G28" s="115" t="s">
        <v>21</v>
      </c>
      <c r="H28" s="115"/>
      <c r="I28" s="115"/>
      <c r="J28" s="115"/>
      <c r="L28" s="1"/>
      <c r="M28" s="1"/>
      <c r="N28" s="1"/>
    </row>
    <row r="29" spans="1:14" collapsed="1" x14ac:dyDescent="0.25">
      <c r="A29" s="250" t="s">
        <v>8</v>
      </c>
      <c r="B29" s="250"/>
      <c r="C29" s="250"/>
      <c r="D29" s="250"/>
      <c r="E29" s="250"/>
      <c r="F29" s="250"/>
      <c r="G29" s="250"/>
      <c r="H29" s="250"/>
      <c r="I29" s="250"/>
      <c r="J29" s="250"/>
      <c r="L29" s="1"/>
      <c r="M29" s="1"/>
      <c r="N29" s="1"/>
    </row>
    <row r="30" spans="1:14" x14ac:dyDescent="0.25">
      <c r="A30" s="155">
        <v>3</v>
      </c>
      <c r="B30" s="139" t="s">
        <v>73</v>
      </c>
      <c r="C30" s="145">
        <v>1195</v>
      </c>
      <c r="D30" s="97">
        <v>43558</v>
      </c>
      <c r="E30" s="145">
        <v>2520</v>
      </c>
      <c r="F30" s="137"/>
      <c r="G30" s="137"/>
      <c r="H30" s="137"/>
      <c r="I30" s="137"/>
      <c r="J30" s="137"/>
      <c r="L30" s="1"/>
      <c r="M30" s="1"/>
      <c r="N30" s="1"/>
    </row>
    <row r="31" spans="1:14" outlineLevel="1" x14ac:dyDescent="0.25">
      <c r="A31" s="155">
        <v>4</v>
      </c>
      <c r="B31" s="139" t="s">
        <v>73</v>
      </c>
      <c r="C31" s="145">
        <v>1452</v>
      </c>
      <c r="D31" s="97">
        <v>43573</v>
      </c>
      <c r="E31" s="145">
        <v>3024</v>
      </c>
      <c r="F31" s="137"/>
      <c r="G31" s="137"/>
      <c r="H31" s="137"/>
      <c r="I31" s="137"/>
      <c r="J31" s="137"/>
      <c r="L31" s="1"/>
      <c r="M31" s="1"/>
      <c r="N31" s="1"/>
    </row>
    <row r="32" spans="1:14" x14ac:dyDescent="0.25">
      <c r="A32" s="86" t="s">
        <v>17</v>
      </c>
      <c r="B32" s="87"/>
      <c r="C32" s="87" t="str">
        <f>"за "&amp;LOWER($A$29)</f>
        <v>за апрель</v>
      </c>
      <c r="D32" s="88">
        <f>COUNTA(апр_пр)</f>
        <v>2</v>
      </c>
      <c r="E32" s="126">
        <f>SUM(апр_кол)</f>
        <v>5544</v>
      </c>
      <c r="F32" s="90">
        <f>COUNTA(акт_вх_апр)+COUNTA(акт_отб_апр)</f>
        <v>0</v>
      </c>
      <c r="G32" s="101"/>
      <c r="H32" s="101"/>
      <c r="I32" s="101"/>
      <c r="J32" s="128">
        <f>SUM(кол_отб_апр)</f>
        <v>0</v>
      </c>
      <c r="L32" s="1"/>
      <c r="M32" s="1"/>
      <c r="N32" s="1"/>
    </row>
    <row r="33" spans="1:14" x14ac:dyDescent="0.25">
      <c r="A33" s="249" t="s">
        <v>9</v>
      </c>
      <c r="B33" s="249"/>
      <c r="C33" s="249"/>
      <c r="D33" s="249"/>
      <c r="E33" s="249"/>
      <c r="F33" s="249"/>
      <c r="G33" s="249"/>
      <c r="H33" s="249"/>
      <c r="I33" s="249"/>
      <c r="J33" s="249"/>
      <c r="L33" s="1"/>
      <c r="M33" s="1"/>
      <c r="N33" s="1"/>
    </row>
    <row r="34" spans="1:14" x14ac:dyDescent="0.25">
      <c r="A34" s="108">
        <v>5</v>
      </c>
      <c r="B34" s="139" t="s">
        <v>73</v>
      </c>
      <c r="C34" s="145">
        <v>1783</v>
      </c>
      <c r="D34" s="97">
        <v>43600</v>
      </c>
      <c r="E34" s="145">
        <v>2160</v>
      </c>
      <c r="F34" s="136"/>
      <c r="G34" s="136"/>
      <c r="H34" s="136"/>
      <c r="I34" s="136"/>
      <c r="J34" s="136"/>
      <c r="L34" s="1"/>
      <c r="M34" s="1"/>
      <c r="N34" s="1"/>
    </row>
    <row r="35" spans="1:14" hidden="1" outlineLevel="1" x14ac:dyDescent="0.25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L35" s="1"/>
      <c r="M35" s="1"/>
      <c r="N35" s="1"/>
    </row>
    <row r="36" spans="1:14" hidden="1" outlineLevel="1" x14ac:dyDescent="0.25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L36" s="1"/>
      <c r="M36" s="1"/>
      <c r="N36" s="1"/>
    </row>
    <row r="37" spans="1:14" hidden="1" outlineLevel="1" x14ac:dyDescent="0.2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L37" s="1"/>
      <c r="M37" s="1"/>
      <c r="N37" s="1"/>
    </row>
    <row r="38" spans="1:14" hidden="1" outlineLevel="1" x14ac:dyDescent="0.25">
      <c r="A38" s="158"/>
      <c r="B38" s="158"/>
      <c r="C38" s="158"/>
      <c r="D38" s="159"/>
      <c r="E38" s="158"/>
      <c r="F38" s="158"/>
      <c r="G38" s="158"/>
      <c r="H38" s="158"/>
      <c r="I38" s="158"/>
      <c r="J38" s="158"/>
    </row>
    <row r="39" spans="1:14" collapsed="1" x14ac:dyDescent="0.25">
      <c r="A39" s="86" t="s">
        <v>17</v>
      </c>
      <c r="B39" s="87"/>
      <c r="C39" s="87" t="str">
        <f>"за "&amp;LOWER($A$33)</f>
        <v>за май</v>
      </c>
      <c r="D39" s="88">
        <f>COUNTA(май_пр)</f>
        <v>1</v>
      </c>
      <c r="E39" s="126">
        <f>SUM(май_кол)</f>
        <v>2160</v>
      </c>
      <c r="F39" s="90">
        <f>COUNTA(акт_вх_май)+COUNTA(акт_отб_май)</f>
        <v>0</v>
      </c>
      <c r="G39" s="101"/>
      <c r="H39" s="101"/>
      <c r="I39" s="101"/>
      <c r="J39" s="128">
        <f>SUM(кол_отб_май)</f>
        <v>0</v>
      </c>
    </row>
    <row r="40" spans="1:14" x14ac:dyDescent="0.25">
      <c r="A40" s="249" t="s">
        <v>10</v>
      </c>
      <c r="B40" s="249"/>
      <c r="C40" s="249"/>
      <c r="D40" s="249"/>
      <c r="E40" s="249"/>
      <c r="F40" s="249"/>
      <c r="G40" s="249"/>
      <c r="H40" s="249"/>
      <c r="I40" s="249"/>
      <c r="J40" s="249"/>
    </row>
    <row r="41" spans="1:14" x14ac:dyDescent="0.25">
      <c r="A41" s="108">
        <v>6</v>
      </c>
      <c r="B41" s="98" t="s">
        <v>73</v>
      </c>
      <c r="C41" s="112">
        <v>2160</v>
      </c>
      <c r="D41" s="100">
        <v>43622</v>
      </c>
      <c r="E41" s="112">
        <v>2160</v>
      </c>
      <c r="F41" s="140"/>
      <c r="G41" s="140"/>
      <c r="H41" s="140"/>
      <c r="I41" s="140"/>
      <c r="J41" s="140"/>
    </row>
    <row r="42" spans="1:14" hidden="1" outlineLevel="1" x14ac:dyDescent="0.25">
      <c r="A42" s="140"/>
      <c r="B42" s="140"/>
      <c r="C42" s="140"/>
      <c r="D42" s="156"/>
      <c r="E42" s="140"/>
      <c r="F42" s="140"/>
      <c r="G42" s="140"/>
      <c r="H42" s="140"/>
      <c r="I42" s="140"/>
      <c r="J42" s="140"/>
    </row>
    <row r="43" spans="1:14" hidden="1" outlineLevel="1" x14ac:dyDescent="0.25">
      <c r="A43" s="140"/>
      <c r="B43" s="140"/>
      <c r="C43" s="140"/>
      <c r="D43" s="156"/>
      <c r="E43" s="140"/>
      <c r="F43" s="140"/>
      <c r="G43" s="140"/>
      <c r="H43" s="140"/>
      <c r="I43" s="140"/>
      <c r="J43" s="140"/>
    </row>
    <row r="44" spans="1:14" hidden="1" outlineLevel="1" x14ac:dyDescent="0.25">
      <c r="A44" s="140"/>
      <c r="B44" s="140"/>
      <c r="C44" s="140"/>
      <c r="D44" s="156"/>
      <c r="E44" s="140"/>
      <c r="F44" s="140"/>
      <c r="G44" s="140"/>
      <c r="H44" s="140"/>
      <c r="I44" s="140"/>
      <c r="J44" s="140"/>
    </row>
    <row r="45" spans="1:14" hidden="1" outlineLevel="1" x14ac:dyDescent="0.25">
      <c r="A45" s="140"/>
      <c r="B45" s="140"/>
      <c r="C45" s="140"/>
      <c r="D45" s="156"/>
      <c r="E45" s="140"/>
      <c r="F45" s="140"/>
      <c r="G45" s="140"/>
      <c r="H45" s="140"/>
      <c r="I45" s="140"/>
      <c r="J45" s="140"/>
    </row>
    <row r="46" spans="1:14" collapsed="1" x14ac:dyDescent="0.25">
      <c r="A46" s="86" t="s">
        <v>17</v>
      </c>
      <c r="B46" s="87"/>
      <c r="C46" s="87" t="str">
        <f>"за "&amp;LOWER($A$40)</f>
        <v>за июнь</v>
      </c>
      <c r="D46" s="88">
        <f>COUNTA(июн_пр)</f>
        <v>1</v>
      </c>
      <c r="E46" s="126">
        <f>SUM(июн_кол)</f>
        <v>2160</v>
      </c>
      <c r="F46" s="90">
        <f>COUNTA(акт_вх_июн)+COUNTA(акт_отб_июн)</f>
        <v>0</v>
      </c>
      <c r="G46" s="101"/>
      <c r="H46" s="101"/>
      <c r="I46" s="101"/>
      <c r="J46" s="128">
        <f>SUM(кол_отб_июн)</f>
        <v>0</v>
      </c>
    </row>
    <row r="47" spans="1:14" ht="31.5" customHeight="1" x14ac:dyDescent="0.25">
      <c r="A47" s="102" t="s">
        <v>17</v>
      </c>
      <c r="B47" s="103"/>
      <c r="C47" s="103" t="s">
        <v>140</v>
      </c>
      <c r="D47" s="104">
        <f>SUM(D32,D39,D46)</f>
        <v>4</v>
      </c>
      <c r="E47" s="127">
        <f>SUM(E32,E39,E46)</f>
        <v>9864</v>
      </c>
      <c r="F47" s="106">
        <f>SUM(F32,F39,F46)</f>
        <v>0</v>
      </c>
      <c r="G47" s="103"/>
      <c r="H47" s="103" t="str">
        <f>"Кп= "&amp;ROUNDDOWN((F47/D47)*100,1)&amp;"%"</f>
        <v>Кп= 0%</v>
      </c>
      <c r="I47" s="103" t="str">
        <f>"Км= "&amp;ROUNDDOWN((J47/E47)*100,1)&amp;"%"</f>
        <v>Км= 0%</v>
      </c>
      <c r="J47" s="129">
        <f>SUM(J32,J39,J46)</f>
        <v>0</v>
      </c>
    </row>
    <row r="48" spans="1:14" ht="31.5" customHeight="1" x14ac:dyDescent="0.25">
      <c r="A48" s="102" t="s">
        <v>17</v>
      </c>
      <c r="B48" s="103"/>
      <c r="C48" s="103" t="s">
        <v>141</v>
      </c>
      <c r="D48" s="104">
        <f>SUM(D27,D47)</f>
        <v>6</v>
      </c>
      <c r="E48" s="127">
        <f>SUM(E47,E27)</f>
        <v>14986</v>
      </c>
      <c r="F48" s="106">
        <f>SUM(F47,F27)</f>
        <v>0</v>
      </c>
      <c r="G48" s="103"/>
      <c r="H48" s="103" t="str">
        <f>"Кп= "&amp;ROUNDDOWN((F48/D48)*100,1)&amp;"%"</f>
        <v>Кп= 0%</v>
      </c>
      <c r="I48" s="103" t="str">
        <f>"Км= "&amp;ROUNDDOWN((J48/E48)*100,1)&amp;"%"</f>
        <v>Км= 0%</v>
      </c>
      <c r="J48" s="129">
        <f>SUM(J47,J27)</f>
        <v>0</v>
      </c>
    </row>
    <row r="49" spans="1:10" ht="21" hidden="1" customHeight="1" outlineLevel="1" x14ac:dyDescent="0.25">
      <c r="A49" s="175" t="s">
        <v>212</v>
      </c>
      <c r="B49" s="175"/>
      <c r="C49" s="179"/>
      <c r="D49" s="184" t="s">
        <v>20</v>
      </c>
      <c r="E49" s="177"/>
      <c r="F49" s="177"/>
      <c r="G49" s="186" t="s">
        <v>21</v>
      </c>
      <c r="H49" s="177"/>
      <c r="I49" s="177"/>
      <c r="J49" s="178"/>
    </row>
    <row r="50" spans="1:10" ht="21" hidden="1" customHeight="1" outlineLevel="1" x14ac:dyDescent="0.25">
      <c r="A50" s="176" t="s">
        <v>213</v>
      </c>
      <c r="B50" s="176"/>
      <c r="C50" s="179"/>
      <c r="D50" s="185" t="s">
        <v>215</v>
      </c>
      <c r="E50" s="127"/>
      <c r="F50" s="106"/>
      <c r="G50" s="187" t="s">
        <v>217</v>
      </c>
      <c r="H50" s="103"/>
      <c r="I50" s="103"/>
      <c r="J50" s="129"/>
    </row>
    <row r="51" spans="1:10" ht="21" hidden="1" customHeight="1" outlineLevel="1" x14ac:dyDescent="0.25">
      <c r="A51" s="176" t="s">
        <v>214</v>
      </c>
      <c r="B51" s="180"/>
      <c r="C51" s="181"/>
      <c r="D51" s="177" t="s">
        <v>216</v>
      </c>
      <c r="E51" s="182"/>
      <c r="F51" s="182"/>
      <c r="G51" s="186" t="s">
        <v>218</v>
      </c>
      <c r="H51" s="182"/>
      <c r="I51" s="182"/>
      <c r="J51" s="183"/>
    </row>
    <row r="52" spans="1:10" collapsed="1" x14ac:dyDescent="0.25">
      <c r="A52" s="252" t="s">
        <v>11</v>
      </c>
      <c r="B52" s="252"/>
      <c r="C52" s="252"/>
      <c r="D52" s="252"/>
      <c r="E52" s="252"/>
      <c r="F52" s="252"/>
      <c r="G52" s="252"/>
      <c r="H52" s="252"/>
      <c r="I52" s="252"/>
      <c r="J52" s="252"/>
    </row>
    <row r="53" spans="1:10" s="82" customFormat="1" x14ac:dyDescent="0.25">
      <c r="A53" s="215">
        <v>7</v>
      </c>
      <c r="B53" s="203" t="s">
        <v>73</v>
      </c>
      <c r="C53" s="145">
        <v>2690</v>
      </c>
      <c r="D53" s="97">
        <v>43656</v>
      </c>
      <c r="E53" s="145">
        <v>2520</v>
      </c>
      <c r="F53" s="140"/>
      <c r="G53" s="140"/>
      <c r="H53" s="140"/>
      <c r="I53" s="140"/>
      <c r="J53" s="140"/>
    </row>
    <row r="54" spans="1:10" hidden="1" outlineLevel="1" x14ac:dyDescent="0.25">
      <c r="A54" s="32"/>
      <c r="B54" s="32"/>
      <c r="C54" s="32"/>
      <c r="D54" s="33"/>
      <c r="E54" s="32"/>
      <c r="F54" s="32"/>
      <c r="G54" s="32"/>
      <c r="H54" s="32"/>
      <c r="I54" s="32"/>
      <c r="J54" s="32"/>
    </row>
    <row r="55" spans="1:10" hidden="1" outlineLevel="1" x14ac:dyDescent="0.25">
      <c r="A55" s="32"/>
      <c r="B55" s="32"/>
      <c r="C55" s="32"/>
      <c r="D55" s="33"/>
      <c r="E55" s="32"/>
      <c r="F55" s="32"/>
      <c r="G55" s="32"/>
      <c r="H55" s="32"/>
      <c r="I55" s="32"/>
      <c r="J55" s="32"/>
    </row>
    <row r="56" spans="1:10" hidden="1" outlineLevel="1" x14ac:dyDescent="0.25">
      <c r="A56" s="32"/>
      <c r="B56" s="32"/>
      <c r="C56" s="32"/>
      <c r="D56" s="33"/>
      <c r="E56" s="32"/>
      <c r="F56" s="32"/>
      <c r="G56" s="32"/>
      <c r="H56" s="32"/>
      <c r="I56" s="32"/>
      <c r="J56" s="32"/>
    </row>
    <row r="57" spans="1:10" hidden="1" outlineLevel="1" x14ac:dyDescent="0.25">
      <c r="A57" s="32"/>
      <c r="B57" s="32"/>
      <c r="C57" s="32"/>
      <c r="D57" s="33"/>
      <c r="E57" s="32"/>
      <c r="F57" s="32"/>
      <c r="G57" s="32"/>
      <c r="H57" s="32"/>
      <c r="I57" s="32"/>
      <c r="J57" s="32"/>
    </row>
    <row r="58" spans="1:10" s="82" customFormat="1" collapsed="1" x14ac:dyDescent="0.25">
      <c r="A58" s="86" t="s">
        <v>17</v>
      </c>
      <c r="B58" s="87"/>
      <c r="C58" s="87" t="str">
        <f>"за "&amp;LOWER($A$52)</f>
        <v>за июль</v>
      </c>
      <c r="D58" s="88">
        <f>COUNTA(июл_пр)</f>
        <v>1</v>
      </c>
      <c r="E58" s="126">
        <f>SUM(июл_кол)</f>
        <v>2520</v>
      </c>
      <c r="F58" s="90">
        <f>COUNTA(акт_вх_июл)+COUNTA(акт_отб_июл)</f>
        <v>0</v>
      </c>
      <c r="G58" s="101"/>
      <c r="H58" s="101"/>
      <c r="I58" s="101"/>
      <c r="J58" s="128">
        <f>SUM(кол_отб_июл)</f>
        <v>0</v>
      </c>
    </row>
    <row r="59" spans="1:10" x14ac:dyDescent="0.25">
      <c r="A59" s="252" t="s">
        <v>13</v>
      </c>
      <c r="B59" s="252"/>
      <c r="C59" s="252"/>
      <c r="D59" s="252"/>
      <c r="E59" s="252"/>
      <c r="F59" s="252"/>
      <c r="G59" s="252"/>
      <c r="H59" s="252"/>
      <c r="I59" s="252"/>
      <c r="J59" s="252"/>
    </row>
    <row r="60" spans="1:10" s="82" customFormat="1" x14ac:dyDescent="0.25">
      <c r="A60" s="215">
        <v>8</v>
      </c>
      <c r="B60" s="203" t="s">
        <v>73</v>
      </c>
      <c r="C60" s="145">
        <v>3122</v>
      </c>
      <c r="D60" s="97">
        <v>43684</v>
      </c>
      <c r="E60" s="145">
        <v>1890</v>
      </c>
      <c r="F60" s="140"/>
      <c r="G60" s="140"/>
      <c r="H60" s="140"/>
      <c r="I60" s="140"/>
      <c r="J60" s="140"/>
    </row>
    <row r="61" spans="1:10" hidden="1" outlineLevel="1" x14ac:dyDescent="0.25">
      <c r="A61" s="32"/>
      <c r="B61" s="32"/>
      <c r="C61" s="32"/>
      <c r="D61" s="33"/>
      <c r="E61" s="32"/>
      <c r="F61" s="32"/>
      <c r="G61" s="32"/>
      <c r="H61" s="32"/>
      <c r="I61" s="32"/>
      <c r="J61" s="32"/>
    </row>
    <row r="62" spans="1:10" hidden="1" outlineLevel="1" x14ac:dyDescent="0.25">
      <c r="A62" s="32"/>
      <c r="B62" s="32"/>
      <c r="C62" s="32"/>
      <c r="D62" s="33"/>
      <c r="E62" s="32"/>
      <c r="F62" s="32"/>
      <c r="G62" s="32"/>
      <c r="H62" s="32"/>
      <c r="I62" s="32"/>
      <c r="J62" s="32"/>
    </row>
    <row r="63" spans="1:10" hidden="1" outlineLevel="1" x14ac:dyDescent="0.25">
      <c r="A63" s="32"/>
      <c r="B63" s="32"/>
      <c r="C63" s="32"/>
      <c r="D63" s="33"/>
      <c r="E63" s="32"/>
      <c r="F63" s="32"/>
      <c r="G63" s="32"/>
      <c r="H63" s="32"/>
      <c r="I63" s="32"/>
      <c r="J63" s="32"/>
    </row>
    <row r="64" spans="1:10" hidden="1" outlineLevel="1" x14ac:dyDescent="0.25">
      <c r="A64" s="32"/>
      <c r="B64" s="32"/>
      <c r="C64" s="32"/>
      <c r="D64" s="33"/>
      <c r="E64" s="32"/>
      <c r="F64" s="32"/>
      <c r="G64" s="32"/>
      <c r="H64" s="32"/>
      <c r="I64" s="32"/>
      <c r="J64" s="32"/>
    </row>
    <row r="65" spans="1:10" s="82" customFormat="1" collapsed="1" x14ac:dyDescent="0.25">
      <c r="A65" s="86" t="s">
        <v>17</v>
      </c>
      <c r="B65" s="87"/>
      <c r="C65" s="87" t="str">
        <f>"за "&amp;LOWER($A$59)</f>
        <v>за август</v>
      </c>
      <c r="D65" s="88">
        <f>COUNTA(авг_пр)</f>
        <v>1</v>
      </c>
      <c r="E65" s="126">
        <f>SUM(авг_кол)</f>
        <v>1890</v>
      </c>
      <c r="F65" s="90">
        <f>COUNTA(акт_вх_авг)+COUNTA(акт_отб_авг)</f>
        <v>0</v>
      </c>
      <c r="G65" s="101"/>
      <c r="H65" s="101"/>
      <c r="I65" s="101"/>
      <c r="J65" s="128">
        <f>SUM(кол_отб_авг)</f>
        <v>0</v>
      </c>
    </row>
    <row r="66" spans="1:10" s="82" customFormat="1" x14ac:dyDescent="0.25">
      <c r="A66" s="249" t="s">
        <v>12</v>
      </c>
      <c r="B66" s="249"/>
      <c r="C66" s="249"/>
      <c r="D66" s="249"/>
      <c r="E66" s="249"/>
      <c r="F66" s="249"/>
      <c r="G66" s="249"/>
      <c r="H66" s="249"/>
      <c r="I66" s="249"/>
      <c r="J66" s="249"/>
    </row>
    <row r="67" spans="1:10" s="82" customFormat="1" ht="15.75" customHeight="1" x14ac:dyDescent="0.25">
      <c r="A67" s="215">
        <v>9</v>
      </c>
      <c r="B67" s="98" t="s">
        <v>73</v>
      </c>
      <c r="C67" s="112">
        <v>3527</v>
      </c>
      <c r="D67" s="100">
        <v>43712</v>
      </c>
      <c r="E67" s="112">
        <v>2016</v>
      </c>
      <c r="F67" s="140"/>
      <c r="G67" s="140"/>
      <c r="H67" s="140"/>
      <c r="I67" s="140"/>
      <c r="J67" s="140"/>
    </row>
    <row r="68" spans="1:10" s="82" customFormat="1" hidden="1" outlineLevel="1" x14ac:dyDescent="0.25">
      <c r="A68" s="140"/>
      <c r="B68" s="140"/>
      <c r="C68" s="140"/>
      <c r="D68" s="156"/>
      <c r="E68" s="140"/>
      <c r="F68" s="140"/>
      <c r="G68" s="140"/>
      <c r="H68" s="140"/>
      <c r="I68" s="140"/>
      <c r="J68" s="140"/>
    </row>
    <row r="69" spans="1:10" s="82" customFormat="1" hidden="1" outlineLevel="1" x14ac:dyDescent="0.25">
      <c r="A69" s="140"/>
      <c r="B69" s="140"/>
      <c r="C69" s="140"/>
      <c r="D69" s="156"/>
      <c r="E69" s="140"/>
      <c r="F69" s="140"/>
      <c r="G69" s="140"/>
      <c r="H69" s="140"/>
      <c r="I69" s="140"/>
      <c r="J69" s="140"/>
    </row>
    <row r="70" spans="1:10" s="82" customFormat="1" hidden="1" outlineLevel="1" x14ac:dyDescent="0.25">
      <c r="A70" s="140"/>
      <c r="B70" s="140"/>
      <c r="C70" s="140"/>
      <c r="D70" s="156"/>
      <c r="E70" s="140"/>
      <c r="F70" s="140"/>
      <c r="G70" s="140"/>
      <c r="H70" s="140"/>
      <c r="I70" s="140"/>
      <c r="J70" s="140"/>
    </row>
    <row r="71" spans="1:10" s="82" customFormat="1" hidden="1" outlineLevel="1" x14ac:dyDescent="0.25">
      <c r="A71" s="140"/>
      <c r="B71" s="140"/>
      <c r="C71" s="140"/>
      <c r="D71" s="156"/>
      <c r="E71" s="140"/>
      <c r="F71" s="140"/>
      <c r="G71" s="140"/>
      <c r="H71" s="140"/>
      <c r="I71" s="140"/>
      <c r="J71" s="140"/>
    </row>
    <row r="72" spans="1:10" s="82" customFormat="1" collapsed="1" x14ac:dyDescent="0.25">
      <c r="A72" s="86" t="s">
        <v>17</v>
      </c>
      <c r="B72" s="87"/>
      <c r="C72" s="87" t="str">
        <f>"за "&amp;LOWER($A$66)</f>
        <v>за сентябрь</v>
      </c>
      <c r="D72" s="88">
        <f>COUNTA(снт_пр)</f>
        <v>1</v>
      </c>
      <c r="E72" s="126">
        <f>SUM(снт_кол)</f>
        <v>2016</v>
      </c>
      <c r="F72" s="90">
        <f>COUNTA(акт_вх_снт)+COUNTA(акт_отб_снт)</f>
        <v>0</v>
      </c>
      <c r="G72" s="101"/>
      <c r="H72" s="101"/>
      <c r="I72" s="101"/>
      <c r="J72" s="128">
        <f>SUM(кол_отб_снт)</f>
        <v>0</v>
      </c>
    </row>
    <row r="73" spans="1:10" s="82" customFormat="1" ht="30" customHeight="1" x14ac:dyDescent="0.25">
      <c r="A73" s="102" t="s">
        <v>17</v>
      </c>
      <c r="B73" s="103"/>
      <c r="C73" s="103" t="s">
        <v>142</v>
      </c>
      <c r="D73" s="104">
        <f>SUM(D58,D65,D72)</f>
        <v>3</v>
      </c>
      <c r="E73" s="127">
        <f>SUM(E58,E65,E72)</f>
        <v>6426</v>
      </c>
      <c r="F73" s="106">
        <f>SUM(F58,F65,F72)</f>
        <v>0</v>
      </c>
      <c r="G73" s="103"/>
      <c r="H73" s="103" t="str">
        <f>"Кп= "&amp;ROUNDDOWN((F73/D73)*100,1)&amp;"%"</f>
        <v>Кп= 0%</v>
      </c>
      <c r="I73" s="103" t="str">
        <f>"Км= "&amp;ROUNDDOWN((J73/E73)*100,1)&amp;"%"</f>
        <v>Км= 0%</v>
      </c>
      <c r="J73" s="129">
        <f>SUM(J58,J65,J72)</f>
        <v>0</v>
      </c>
    </row>
    <row r="74" spans="1:10" s="82" customFormat="1" ht="30" customHeight="1" x14ac:dyDescent="0.25">
      <c r="A74" s="102" t="s">
        <v>17</v>
      </c>
      <c r="B74" s="103"/>
      <c r="C74" s="103" t="s">
        <v>144</v>
      </c>
      <c r="D74" s="104">
        <f>SUM(D48,D73)</f>
        <v>9</v>
      </c>
      <c r="E74" s="127">
        <f>SUM(E73,E48)</f>
        <v>21412</v>
      </c>
      <c r="F74" s="106">
        <f>SUM(F73,F48)</f>
        <v>0</v>
      </c>
      <c r="G74" s="103"/>
      <c r="H74" s="103" t="str">
        <f>"Кп= "&amp;ROUNDDOWN((F74/D74)*100,1)&amp;"%"</f>
        <v>Кп= 0%</v>
      </c>
      <c r="I74" s="103" t="str">
        <f>"Км= "&amp;ROUNDDOWN((J74/E74)*100,1)&amp;"%"</f>
        <v>Км= 0%</v>
      </c>
      <c r="J74" s="129">
        <f>SUM(J73,J48)</f>
        <v>0</v>
      </c>
    </row>
    <row r="75" spans="1:10" s="82" customFormat="1" ht="16.5" hidden="1" customHeight="1" outlineLevel="1" x14ac:dyDescent="0.25">
      <c r="A75" s="115" t="s">
        <v>20</v>
      </c>
      <c r="B75" s="115"/>
      <c r="C75" s="115"/>
      <c r="D75" s="116"/>
      <c r="E75" s="115"/>
      <c r="F75" s="115"/>
      <c r="G75" s="115" t="s">
        <v>21</v>
      </c>
      <c r="H75" s="115"/>
      <c r="I75" s="115"/>
      <c r="J75" s="115"/>
    </row>
    <row r="76" spans="1:10" ht="15" customHeight="1" collapsed="1" x14ac:dyDescent="0.25">
      <c r="A76" s="249" t="s">
        <v>14</v>
      </c>
      <c r="B76" s="249"/>
      <c r="C76" s="249"/>
      <c r="D76" s="249"/>
      <c r="E76" s="249"/>
      <c r="F76" s="249"/>
      <c r="G76" s="249"/>
      <c r="H76" s="249"/>
      <c r="I76" s="249"/>
      <c r="J76" s="249"/>
    </row>
    <row r="77" spans="1:10" x14ac:dyDescent="0.25">
      <c r="A77" s="221">
        <v>10</v>
      </c>
      <c r="B77" s="220" t="s">
        <v>73</v>
      </c>
      <c r="C77" s="145">
        <v>4039</v>
      </c>
      <c r="D77" s="97">
        <v>43746</v>
      </c>
      <c r="E77" s="145">
        <v>2520</v>
      </c>
      <c r="F77" s="140"/>
      <c r="G77" s="140"/>
      <c r="H77" s="140"/>
      <c r="I77" s="140"/>
      <c r="J77" s="140"/>
    </row>
    <row r="78" spans="1:10" hidden="1" outlineLevel="1" x14ac:dyDescent="0.25">
      <c r="A78" s="140"/>
      <c r="B78" s="140"/>
      <c r="C78" s="140"/>
      <c r="D78" s="156"/>
      <c r="E78" s="140"/>
      <c r="F78" s="140"/>
      <c r="G78" s="140"/>
      <c r="H78" s="140"/>
      <c r="I78" s="140"/>
      <c r="J78" s="140"/>
    </row>
    <row r="79" spans="1:10" hidden="1" outlineLevel="1" x14ac:dyDescent="0.25">
      <c r="A79" s="140"/>
      <c r="B79" s="140"/>
      <c r="C79" s="140"/>
      <c r="D79" s="156"/>
      <c r="E79" s="140"/>
      <c r="F79" s="140"/>
      <c r="G79" s="140"/>
      <c r="H79" s="140"/>
      <c r="I79" s="140"/>
      <c r="J79" s="140"/>
    </row>
    <row r="80" spans="1:10" hidden="1" outlineLevel="1" x14ac:dyDescent="0.25">
      <c r="A80" s="140"/>
      <c r="B80" s="140"/>
      <c r="C80" s="140"/>
      <c r="D80" s="156"/>
      <c r="E80" s="140"/>
      <c r="F80" s="140"/>
      <c r="G80" s="140"/>
      <c r="H80" s="140"/>
      <c r="I80" s="140"/>
      <c r="J80" s="140"/>
    </row>
    <row r="81" spans="1:10" hidden="1" outlineLevel="1" x14ac:dyDescent="0.25">
      <c r="A81" s="140"/>
      <c r="B81" s="140"/>
      <c r="C81" s="140"/>
      <c r="D81" s="156"/>
      <c r="E81" s="140"/>
      <c r="F81" s="140"/>
      <c r="G81" s="140"/>
      <c r="H81" s="140"/>
      <c r="I81" s="140"/>
      <c r="J81" s="140"/>
    </row>
    <row r="82" spans="1:10" collapsed="1" x14ac:dyDescent="0.25">
      <c r="A82" s="86" t="s">
        <v>17</v>
      </c>
      <c r="B82" s="87"/>
      <c r="C82" s="87" t="str">
        <f>"за "&amp;LOWER($A$76)</f>
        <v>за октябрь</v>
      </c>
      <c r="D82" s="88">
        <f>COUNTA(окт_пр)</f>
        <v>1</v>
      </c>
      <c r="E82" s="126">
        <f>SUM(окт_кол)</f>
        <v>2520</v>
      </c>
      <c r="F82" s="90">
        <f>COUNTA(акт_вх_окт)+COUNTA(акт_отб_окт)</f>
        <v>0</v>
      </c>
      <c r="G82" s="101"/>
      <c r="H82" s="101"/>
      <c r="I82" s="101"/>
      <c r="J82" s="128">
        <f>SUM(кол_отб_окт)</f>
        <v>0</v>
      </c>
    </row>
    <row r="83" spans="1:10" x14ac:dyDescent="0.25">
      <c r="A83" s="249" t="s">
        <v>15</v>
      </c>
      <c r="B83" s="249"/>
      <c r="C83" s="249"/>
      <c r="D83" s="249"/>
      <c r="E83" s="249"/>
      <c r="F83" s="249"/>
      <c r="G83" s="249"/>
      <c r="H83" s="249"/>
      <c r="I83" s="249"/>
      <c r="J83" s="249"/>
    </row>
    <row r="84" spans="1:10" x14ac:dyDescent="0.25">
      <c r="A84" s="221">
        <v>11</v>
      </c>
      <c r="B84" s="220" t="s">
        <v>73</v>
      </c>
      <c r="C84" s="145">
        <v>4566</v>
      </c>
      <c r="D84" s="97">
        <v>43776</v>
      </c>
      <c r="E84" s="145">
        <v>2016</v>
      </c>
      <c r="F84" s="140"/>
      <c r="G84" s="140"/>
      <c r="H84" s="140"/>
      <c r="I84" s="140"/>
      <c r="J84" s="140"/>
    </row>
    <row r="85" spans="1:10" hidden="1" outlineLevel="1" x14ac:dyDescent="0.25">
      <c r="A85" s="140"/>
      <c r="B85" s="140"/>
      <c r="C85" s="140"/>
      <c r="D85" s="156"/>
      <c r="E85" s="140"/>
      <c r="F85" s="140"/>
      <c r="G85" s="140"/>
      <c r="H85" s="140"/>
      <c r="I85" s="140"/>
      <c r="J85" s="140"/>
    </row>
    <row r="86" spans="1:10" hidden="1" outlineLevel="1" x14ac:dyDescent="0.25">
      <c r="A86" s="140"/>
      <c r="B86" s="140"/>
      <c r="C86" s="140"/>
      <c r="D86" s="156"/>
      <c r="E86" s="140"/>
      <c r="F86" s="140"/>
      <c r="G86" s="140"/>
      <c r="H86" s="140"/>
      <c r="I86" s="140"/>
      <c r="J86" s="140"/>
    </row>
    <row r="87" spans="1:10" hidden="1" outlineLevel="1" x14ac:dyDescent="0.25">
      <c r="A87" s="140"/>
      <c r="B87" s="140"/>
      <c r="C87" s="140"/>
      <c r="D87" s="156"/>
      <c r="E87" s="140"/>
      <c r="F87" s="140"/>
      <c r="G87" s="140"/>
      <c r="H87" s="140"/>
      <c r="I87" s="140"/>
      <c r="J87" s="140"/>
    </row>
    <row r="88" spans="1:10" hidden="1" outlineLevel="1" x14ac:dyDescent="0.25">
      <c r="A88" s="140"/>
      <c r="B88" s="140"/>
      <c r="C88" s="140"/>
      <c r="D88" s="156"/>
      <c r="E88" s="140"/>
      <c r="F88" s="140"/>
      <c r="G88" s="140"/>
      <c r="H88" s="140"/>
      <c r="I88" s="140"/>
      <c r="J88" s="140"/>
    </row>
    <row r="89" spans="1:10" collapsed="1" x14ac:dyDescent="0.25">
      <c r="A89" s="86" t="s">
        <v>17</v>
      </c>
      <c r="B89" s="87"/>
      <c r="C89" s="87" t="str">
        <f>"за "&amp;LOWER($A$83)</f>
        <v>за ноябрь</v>
      </c>
      <c r="D89" s="88">
        <f>COUNTA(нбр_пр)</f>
        <v>1</v>
      </c>
      <c r="E89" s="126">
        <f>SUM(нбр_кол)</f>
        <v>2016</v>
      </c>
      <c r="F89" s="90">
        <f>COUNTA(акт_вх_нбр)+COUNTA(акт_отб_нбр)</f>
        <v>0</v>
      </c>
      <c r="G89" s="101"/>
      <c r="H89" s="101"/>
      <c r="I89" s="101"/>
      <c r="J89" s="128">
        <f>SUM(кол_отб_нбр)</f>
        <v>0</v>
      </c>
    </row>
    <row r="90" spans="1:10" x14ac:dyDescent="0.25">
      <c r="A90" s="249" t="s">
        <v>16</v>
      </c>
      <c r="B90" s="249"/>
      <c r="C90" s="249"/>
      <c r="D90" s="249"/>
      <c r="E90" s="249"/>
      <c r="F90" s="249"/>
      <c r="G90" s="249"/>
      <c r="H90" s="249"/>
      <c r="I90" s="249"/>
      <c r="J90" s="249"/>
    </row>
    <row r="91" spans="1:10" x14ac:dyDescent="0.25">
      <c r="A91" s="221">
        <v>12</v>
      </c>
      <c r="B91" s="98" t="s">
        <v>73</v>
      </c>
      <c r="C91" s="112">
        <v>5108</v>
      </c>
      <c r="D91" s="100">
        <v>43808</v>
      </c>
      <c r="E91" s="112">
        <v>2016</v>
      </c>
      <c r="F91" s="140"/>
      <c r="G91" s="140"/>
      <c r="H91" s="140"/>
      <c r="I91" s="140"/>
      <c r="J91" s="140"/>
    </row>
    <row r="92" spans="1:10" hidden="1" outlineLevel="1" x14ac:dyDescent="0.25">
      <c r="A92" s="140"/>
      <c r="B92" s="140"/>
      <c r="C92" s="140"/>
      <c r="D92" s="140"/>
      <c r="E92" s="140"/>
      <c r="F92" s="140"/>
      <c r="G92" s="140"/>
      <c r="H92" s="140"/>
      <c r="I92" s="140"/>
      <c r="J92" s="140"/>
    </row>
    <row r="93" spans="1:10" hidden="1" outlineLevel="1" x14ac:dyDescent="0.25">
      <c r="A93" s="140"/>
      <c r="B93" s="140"/>
      <c r="C93" s="140"/>
      <c r="D93" s="140"/>
      <c r="E93" s="140"/>
      <c r="F93" s="140"/>
      <c r="G93" s="140"/>
      <c r="H93" s="140"/>
      <c r="I93" s="140"/>
      <c r="J93" s="140"/>
    </row>
    <row r="94" spans="1:10" hidden="1" outlineLevel="1" x14ac:dyDescent="0.25">
      <c r="A94" s="140"/>
      <c r="B94" s="140"/>
      <c r="C94" s="140"/>
      <c r="D94" s="140"/>
      <c r="E94" s="140"/>
      <c r="F94" s="140"/>
      <c r="G94" s="140"/>
      <c r="H94" s="140"/>
      <c r="I94" s="140"/>
      <c r="J94" s="140"/>
    </row>
    <row r="95" spans="1:10" hidden="1" outlineLevel="1" x14ac:dyDescent="0.25">
      <c r="A95" s="140"/>
      <c r="B95" s="140"/>
      <c r="C95" s="140"/>
      <c r="D95" s="140"/>
      <c r="E95" s="140"/>
      <c r="F95" s="140"/>
      <c r="G95" s="140"/>
      <c r="H95" s="140"/>
      <c r="I95" s="140"/>
      <c r="J95" s="140"/>
    </row>
    <row r="96" spans="1:10" collapsed="1" x14ac:dyDescent="0.25">
      <c r="A96" s="86" t="s">
        <v>17</v>
      </c>
      <c r="B96" s="87"/>
      <c r="C96" s="87" t="str">
        <f>"за "&amp;LOWER($A$90)</f>
        <v>за декабрь</v>
      </c>
      <c r="D96" s="88">
        <f>COUNTA(дкб_пр)</f>
        <v>1</v>
      </c>
      <c r="E96" s="126">
        <f>SUM(дкб_кол)</f>
        <v>2016</v>
      </c>
      <c r="F96" s="90">
        <f>COUNTA(акт_вх_дкб)+COUNTA(акт_отб_дкб)</f>
        <v>0</v>
      </c>
      <c r="G96" s="101"/>
      <c r="H96" s="101"/>
      <c r="I96" s="101"/>
      <c r="J96" s="128">
        <f>SUM(кол_отб_дкб)</f>
        <v>0</v>
      </c>
    </row>
    <row r="97" spans="1:10" ht="32.25" customHeight="1" x14ac:dyDescent="0.25">
      <c r="A97" s="102" t="s">
        <v>17</v>
      </c>
      <c r="B97" s="103"/>
      <c r="C97" s="103" t="s">
        <v>143</v>
      </c>
      <c r="D97" s="104">
        <f>SUM(D82,D89,D96)</f>
        <v>3</v>
      </c>
      <c r="E97" s="127">
        <f>SUM(E82,E89,E96)</f>
        <v>6552</v>
      </c>
      <c r="F97" s="106">
        <f>SUM(F82,F89,F96)</f>
        <v>0</v>
      </c>
      <c r="G97" s="103"/>
      <c r="H97" s="103" t="str">
        <f>"Кп= "&amp;ROUNDDOWN((F97/D97)*100,1)&amp;"%"</f>
        <v>Кп= 0%</v>
      </c>
      <c r="I97" s="103" t="str">
        <f>"Км= "&amp;ROUNDDOWN((J97/E97)*100,1)&amp;"%"</f>
        <v>Км= 0%</v>
      </c>
      <c r="J97" s="129">
        <f>SUM(J82,J89,J96)</f>
        <v>0</v>
      </c>
    </row>
    <row r="98" spans="1:10" ht="27" customHeight="1" x14ac:dyDescent="0.25">
      <c r="A98" s="102" t="s">
        <v>17</v>
      </c>
      <c r="B98" s="103"/>
      <c r="C98" s="103" t="s">
        <v>145</v>
      </c>
      <c r="D98" s="104">
        <f>SUM(D97,D74)</f>
        <v>12</v>
      </c>
      <c r="E98" s="127">
        <f>SUM(E97,E74)</f>
        <v>27964</v>
      </c>
      <c r="F98" s="106">
        <f>SUM(F97,F74)</f>
        <v>0</v>
      </c>
      <c r="G98" s="103"/>
      <c r="H98" s="103" t="str">
        <f>"Кп= "&amp;ROUNDDOWN((F98/D98)*100,1)&amp;"%"</f>
        <v>Кп= 0%</v>
      </c>
      <c r="I98" s="103" t="str">
        <f>"Км= "&amp;ROUNDDOWN((J98/E98)*100,1)&amp;"%"</f>
        <v>Км= 0%</v>
      </c>
      <c r="J98" s="129">
        <f>SUM(J97,J74)</f>
        <v>0</v>
      </c>
    </row>
    <row r="99" spans="1:10" ht="26.25" customHeight="1" x14ac:dyDescent="0.25">
      <c r="A99" s="115"/>
      <c r="B99" s="115"/>
      <c r="C99" s="115"/>
      <c r="D99" s="116"/>
      <c r="E99" s="115"/>
      <c r="F99" s="115"/>
      <c r="G99" s="115"/>
      <c r="H99" s="115"/>
      <c r="I99" s="115"/>
      <c r="J99" s="115"/>
    </row>
    <row r="100" spans="1:10" ht="26.25" customHeight="1" x14ac:dyDescent="0.25">
      <c r="A100" s="115" t="s">
        <v>20</v>
      </c>
      <c r="B100" s="115"/>
      <c r="C100" s="115"/>
      <c r="D100" s="116"/>
      <c r="E100" s="115"/>
      <c r="F100" s="115"/>
      <c r="G100" s="115" t="s">
        <v>21</v>
      </c>
      <c r="H100" s="115"/>
      <c r="I100" s="115"/>
      <c r="J100" s="115"/>
    </row>
  </sheetData>
  <sheetProtection algorithmName="SHA-512" hashValue="OTqhxuR1HepaKOQuLsc9aWR5ac0ik1WXvlyrmVyWN/qbke1NgAJrGCSHME5Y8NnKmzU2I9eaSdPgliKh9SZ3zA==" saltValue="VTQRWIk3aPSAFi6bnClr0Q==" spinCount="100000" sheet="1" formatCells="0" formatColumns="0" formatRows="0" insertColumns="0" insertRows="0" insertHyperlinks="0" deleteColumns="0" deleteRows="0" sort="0" autoFilter="0" pivotTables="0"/>
  <mergeCells count="21">
    <mergeCell ref="A90:J90"/>
    <mergeCell ref="A6:J6"/>
    <mergeCell ref="A13:J13"/>
    <mergeCell ref="A20:J20"/>
    <mergeCell ref="A29:J29"/>
    <mergeCell ref="A33:J33"/>
    <mergeCell ref="A40:J40"/>
    <mergeCell ref="A52:J52"/>
    <mergeCell ref="A59:J59"/>
    <mergeCell ref="A66:J66"/>
    <mergeCell ref="A76:J76"/>
    <mergeCell ref="A83:J83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/>
  <pageMargins left="0.25" right="0.25" top="0.75" bottom="0.75" header="0.3" footer="0.3"/>
  <pageSetup paperSize="9" scale="96" fitToHeight="0" orientation="landscape" r:id="rId1"/>
  <headerFooter>
    <oddFooter>Страница  &amp;P из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4F4F2-D613-4F09-B658-4E8A0CB890C7}">
  <sheetPr codeName="Лист9">
    <pageSetUpPr fitToPage="1"/>
  </sheetPr>
  <dimension ref="A1:N88"/>
  <sheetViews>
    <sheetView zoomScaleNormal="100" workbookViewId="0">
      <pane ySplit="4" topLeftCell="A51" activePane="bottomLeft" state="frozen"/>
      <selection activeCell="J16" sqref="J16:J19"/>
      <selection pane="bottomLeft" activeCell="A14" sqref="A14:J1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s="82" customFormat="1" ht="15.75" x14ac:dyDescent="0.25">
      <c r="J1" s="83" t="s">
        <v>97</v>
      </c>
    </row>
    <row r="2" spans="1:14" s="82" customFormat="1" ht="33.75" customHeight="1" x14ac:dyDescent="0.25">
      <c r="A2" s="256" t="s">
        <v>297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s="82" customFormat="1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153</v>
      </c>
      <c r="F3" s="257" t="s">
        <v>3</v>
      </c>
      <c r="G3" s="257"/>
      <c r="H3" s="261" t="s">
        <v>2</v>
      </c>
      <c r="I3" s="262"/>
      <c r="J3" s="260" t="s">
        <v>210</v>
      </c>
    </row>
    <row r="4" spans="1:14" s="82" customFormat="1" ht="32.25" customHeight="1" x14ac:dyDescent="0.25">
      <c r="A4" s="257"/>
      <c r="B4" s="259"/>
      <c r="C4" s="257"/>
      <c r="D4" s="257"/>
      <c r="E4" s="257"/>
      <c r="F4" s="84" t="s">
        <v>0</v>
      </c>
      <c r="G4" s="84" t="s">
        <v>4</v>
      </c>
      <c r="H4" s="84" t="s">
        <v>0</v>
      </c>
      <c r="I4" s="84" t="s">
        <v>4</v>
      </c>
      <c r="J4" s="257"/>
    </row>
    <row r="5" spans="1:14" s="82" customFormat="1" ht="14.25" customHeight="1" x14ac:dyDescent="0.25">
      <c r="A5" s="81">
        <v>1</v>
      </c>
      <c r="B5" s="81">
        <v>2</v>
      </c>
      <c r="C5" s="81">
        <v>3</v>
      </c>
      <c r="D5" s="81">
        <v>4</v>
      </c>
      <c r="E5" s="81">
        <v>5</v>
      </c>
      <c r="F5" s="81">
        <v>6</v>
      </c>
      <c r="G5" s="81">
        <v>7</v>
      </c>
      <c r="H5" s="81">
        <v>8</v>
      </c>
      <c r="I5" s="81">
        <v>9</v>
      </c>
      <c r="J5" s="81">
        <v>10</v>
      </c>
      <c r="M5" s="85"/>
    </row>
    <row r="6" spans="1:14" s="82" customFormat="1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s="82" customFormat="1" x14ac:dyDescent="0.25">
      <c r="A7" s="108">
        <v>1</v>
      </c>
      <c r="B7" s="78" t="s">
        <v>54</v>
      </c>
      <c r="C7" s="79">
        <v>171</v>
      </c>
      <c r="D7" s="80">
        <v>43479</v>
      </c>
      <c r="E7" s="79">
        <v>2000</v>
      </c>
      <c r="F7" s="81"/>
      <c r="G7" s="81"/>
      <c r="H7" s="81"/>
      <c r="I7" s="81"/>
      <c r="J7" s="81"/>
    </row>
    <row r="8" spans="1:14" s="82" customFormat="1" outlineLevel="1" x14ac:dyDescent="0.25">
      <c r="A8" s="108">
        <v>2</v>
      </c>
      <c r="B8" s="78" t="s">
        <v>54</v>
      </c>
      <c r="C8" s="79">
        <v>173</v>
      </c>
      <c r="D8" s="80">
        <v>43493</v>
      </c>
      <c r="E8" s="79">
        <v>600</v>
      </c>
      <c r="F8" s="81"/>
      <c r="G8" s="81"/>
      <c r="H8" s="81"/>
      <c r="I8" s="81"/>
      <c r="J8" s="81"/>
    </row>
    <row r="9" spans="1:14" s="93" customFormat="1" x14ac:dyDescent="0.25">
      <c r="A9" s="86" t="s">
        <v>17</v>
      </c>
      <c r="B9" s="87"/>
      <c r="C9" s="87" t="str">
        <f>"за "&amp;LOWER($A$6)</f>
        <v>за январь</v>
      </c>
      <c r="D9" s="88">
        <f>COUNTA(янв_пр)</f>
        <v>2</v>
      </c>
      <c r="E9" s="126">
        <f>SUM(янв_кол)</f>
        <v>2600</v>
      </c>
      <c r="F9" s="90">
        <f>COUNTA(акт_вх_янв)+COUNTA(акт_отб_янв)</f>
        <v>0</v>
      </c>
      <c r="G9" s="91"/>
      <c r="H9" s="91"/>
      <c r="I9" s="91"/>
      <c r="J9" s="128">
        <f>SUM(кол_отб_янв)</f>
        <v>0</v>
      </c>
    </row>
    <row r="10" spans="1:14" s="82" customFormat="1" x14ac:dyDescent="0.25">
      <c r="A10" s="250" t="s">
        <v>6</v>
      </c>
      <c r="B10" s="250"/>
      <c r="C10" s="250"/>
      <c r="D10" s="250"/>
      <c r="E10" s="250"/>
      <c r="F10" s="250"/>
      <c r="G10" s="250"/>
      <c r="H10" s="250"/>
      <c r="I10" s="250"/>
      <c r="J10" s="250"/>
      <c r="L10" s="93"/>
      <c r="M10" s="93"/>
      <c r="N10" s="93"/>
    </row>
    <row r="11" spans="1:14" s="82" customFormat="1" x14ac:dyDescent="0.25">
      <c r="A11" s="108">
        <v>3</v>
      </c>
      <c r="B11" s="78" t="s">
        <v>54</v>
      </c>
      <c r="C11" s="79">
        <v>179.18</v>
      </c>
      <c r="D11" s="80">
        <v>43501</v>
      </c>
      <c r="E11" s="79">
        <v>4900</v>
      </c>
      <c r="F11" s="94"/>
      <c r="G11" s="94"/>
      <c r="H11" s="94"/>
      <c r="I11" s="94"/>
      <c r="J11" s="94"/>
      <c r="L11" s="93"/>
      <c r="M11" s="93"/>
      <c r="N11" s="93"/>
    </row>
    <row r="12" spans="1:14" s="82" customFormat="1" outlineLevel="1" x14ac:dyDescent="0.25">
      <c r="A12" s="108">
        <v>4</v>
      </c>
      <c r="B12" s="78" t="s">
        <v>54</v>
      </c>
      <c r="C12" s="79">
        <v>185.18700000000001</v>
      </c>
      <c r="D12" s="80">
        <v>43523</v>
      </c>
      <c r="E12" s="79">
        <v>4000</v>
      </c>
      <c r="F12" s="94"/>
      <c r="G12" s="94"/>
      <c r="H12" s="94"/>
      <c r="I12" s="94"/>
      <c r="J12" s="94"/>
      <c r="L12" s="93"/>
      <c r="M12" s="93"/>
      <c r="N12" s="93"/>
    </row>
    <row r="13" spans="1:14" s="82" customFormat="1" x14ac:dyDescent="0.25">
      <c r="A13" s="86" t="s">
        <v>17</v>
      </c>
      <c r="B13" s="87"/>
      <c r="C13" s="87" t="str">
        <f>"за "&amp;LOWER($A$10)</f>
        <v>за февраль</v>
      </c>
      <c r="D13" s="88">
        <f>COUNTA(фев_пр)</f>
        <v>2</v>
      </c>
      <c r="E13" s="126">
        <f>SUM(фев_кол)</f>
        <v>8900</v>
      </c>
      <c r="F13" s="90">
        <f>COUNTA(акт_вх_фев)+COUNTA(акт_отб_фев)</f>
        <v>0</v>
      </c>
      <c r="G13" s="91"/>
      <c r="H13" s="91"/>
      <c r="I13" s="91"/>
      <c r="J13" s="128">
        <f>SUM(кол_отб_фев)</f>
        <v>0</v>
      </c>
      <c r="L13" s="93"/>
      <c r="M13" s="93"/>
      <c r="N13" s="93"/>
    </row>
    <row r="14" spans="1:14" s="82" customFormat="1" x14ac:dyDescent="0.25">
      <c r="A14" s="249" t="s">
        <v>7</v>
      </c>
      <c r="B14" s="249"/>
      <c r="C14" s="249"/>
      <c r="D14" s="249"/>
      <c r="E14" s="249"/>
      <c r="F14" s="249"/>
      <c r="G14" s="249"/>
      <c r="H14" s="249"/>
      <c r="I14" s="249"/>
      <c r="J14" s="249"/>
      <c r="L14" s="93"/>
      <c r="M14" s="93"/>
      <c r="N14" s="93"/>
    </row>
    <row r="15" spans="1:14" s="82" customFormat="1" x14ac:dyDescent="0.25">
      <c r="A15" s="77"/>
      <c r="B15" s="77"/>
      <c r="C15" s="117"/>
      <c r="D15" s="118"/>
      <c r="E15" s="77"/>
      <c r="F15" s="94"/>
      <c r="G15" s="94"/>
      <c r="H15" s="94"/>
      <c r="I15" s="94"/>
      <c r="J15" s="94"/>
      <c r="L15" s="93"/>
      <c r="M15" s="93"/>
      <c r="N15" s="93"/>
    </row>
    <row r="16" spans="1:14" s="82" customFormat="1" hidden="1" outlineLevel="1" x14ac:dyDescent="0.25">
      <c r="A16" s="94"/>
      <c r="B16" s="94"/>
      <c r="C16" s="119"/>
      <c r="D16" s="120"/>
      <c r="E16" s="94"/>
      <c r="F16" s="94"/>
      <c r="G16" s="94"/>
      <c r="H16" s="94"/>
      <c r="I16" s="94"/>
      <c r="J16" s="94"/>
      <c r="L16" s="93"/>
      <c r="M16" s="93"/>
      <c r="N16" s="93"/>
    </row>
    <row r="17" spans="1:14" s="82" customFormat="1" hidden="1" outlineLevel="1" x14ac:dyDescent="0.25">
      <c r="A17" s="94"/>
      <c r="B17" s="94"/>
      <c r="C17" s="119"/>
      <c r="D17" s="120"/>
      <c r="E17" s="94"/>
      <c r="F17" s="94"/>
      <c r="G17" s="94"/>
      <c r="H17" s="94"/>
      <c r="I17" s="94"/>
      <c r="J17" s="94"/>
      <c r="L17" s="93"/>
      <c r="M17" s="93"/>
      <c r="N17" s="93"/>
    </row>
    <row r="18" spans="1:14" s="82" customFormat="1" hidden="1" outlineLevel="1" x14ac:dyDescent="0.25">
      <c r="A18" s="94"/>
      <c r="B18" s="94"/>
      <c r="C18" s="119"/>
      <c r="D18" s="120"/>
      <c r="E18" s="94"/>
      <c r="F18" s="94"/>
      <c r="G18" s="94"/>
      <c r="H18" s="94"/>
      <c r="I18" s="94"/>
      <c r="J18" s="94"/>
      <c r="L18" s="93"/>
      <c r="M18" s="93"/>
      <c r="N18" s="93"/>
    </row>
    <row r="19" spans="1:14" s="82" customFormat="1" hidden="1" outlineLevel="1" x14ac:dyDescent="0.25">
      <c r="A19" s="94"/>
      <c r="B19" s="94"/>
      <c r="C19" s="119"/>
      <c r="D19" s="120"/>
      <c r="E19" s="94"/>
      <c r="F19" s="94"/>
      <c r="G19" s="94"/>
      <c r="H19" s="94"/>
      <c r="I19" s="94"/>
      <c r="J19" s="94"/>
      <c r="L19" s="93"/>
      <c r="M19" s="93"/>
      <c r="N19" s="93"/>
    </row>
    <row r="20" spans="1:14" s="82" customFormat="1" collapsed="1" x14ac:dyDescent="0.25">
      <c r="A20" s="86" t="s">
        <v>17</v>
      </c>
      <c r="B20" s="87"/>
      <c r="C20" s="87" t="str">
        <f>"за "&amp;LOWER($A$14)</f>
        <v>за март</v>
      </c>
      <c r="D20" s="88">
        <f>COUNTA(мрт_пр)</f>
        <v>0</v>
      </c>
      <c r="E20" s="126">
        <f>SUM(мрт_кол)</f>
        <v>0</v>
      </c>
      <c r="F20" s="90">
        <f>COUNTA(акт_вх_мрт)+COUNTA(акт_отб_мрт)</f>
        <v>0</v>
      </c>
      <c r="G20" s="101"/>
      <c r="H20" s="101"/>
      <c r="I20" s="101"/>
      <c r="J20" s="128">
        <f>SUM(кол_отб_мрт)</f>
        <v>0</v>
      </c>
      <c r="L20" s="93"/>
      <c r="M20" s="93"/>
      <c r="N20" s="93"/>
    </row>
    <row r="21" spans="1:14" s="82" customFormat="1" ht="31.5" customHeight="1" x14ac:dyDescent="0.25">
      <c r="A21" s="102" t="s">
        <v>17</v>
      </c>
      <c r="B21" s="103"/>
      <c r="C21" s="103" t="s">
        <v>18</v>
      </c>
      <c r="D21" s="104">
        <f>SUM(D9,D13,D20)</f>
        <v>4</v>
      </c>
      <c r="E21" s="127">
        <f>SUM(E9,E13,E20)</f>
        <v>11500</v>
      </c>
      <c r="F21" s="106">
        <f>SUM(F9,F13,F20)</f>
        <v>0</v>
      </c>
      <c r="G21" s="103"/>
      <c r="H21" s="103" t="str">
        <f>"Кп= "&amp;ROUNDDOWN((F21/D21)*100,1)&amp;"%"</f>
        <v>Кп= 0%</v>
      </c>
      <c r="I21" s="103" t="str">
        <f>"Км= "&amp;ROUNDDOWN((J21/E21)*100,1)&amp;"%"</f>
        <v>Км= 0%</v>
      </c>
      <c r="J21" s="129">
        <f>SUM(J9,J13,J20)</f>
        <v>0</v>
      </c>
      <c r="L21" s="93"/>
      <c r="M21" s="93"/>
      <c r="N21" s="93"/>
    </row>
    <row r="22" spans="1:14" s="82" customFormat="1" ht="17.25" hidden="1" customHeight="1" outlineLevel="1" x14ac:dyDescent="0.25">
      <c r="A22" s="115" t="s">
        <v>20</v>
      </c>
      <c r="B22" s="115"/>
      <c r="C22" s="115"/>
      <c r="D22" s="116"/>
      <c r="E22" s="115"/>
      <c r="F22" s="115"/>
      <c r="G22" s="115" t="s">
        <v>21</v>
      </c>
      <c r="H22" s="115"/>
      <c r="I22" s="115"/>
      <c r="J22" s="115"/>
      <c r="L22" s="93"/>
      <c r="M22" s="93"/>
      <c r="N22" s="93"/>
    </row>
    <row r="23" spans="1:14" collapsed="1" x14ac:dyDescent="0.25">
      <c r="A23" s="279" t="s">
        <v>8</v>
      </c>
      <c r="B23" s="280"/>
      <c r="C23" s="280"/>
      <c r="D23" s="280"/>
      <c r="E23" s="280"/>
      <c r="F23" s="280"/>
      <c r="G23" s="280"/>
      <c r="H23" s="280"/>
      <c r="I23" s="280"/>
      <c r="J23" s="281"/>
      <c r="L23" s="1"/>
      <c r="M23" s="1"/>
      <c r="N23" s="1"/>
    </row>
    <row r="24" spans="1:14" s="82" customFormat="1" x14ac:dyDescent="0.25">
      <c r="A24" s="144">
        <v>5</v>
      </c>
      <c r="B24" s="171" t="s">
        <v>54</v>
      </c>
      <c r="C24" s="145">
        <v>0</v>
      </c>
      <c r="D24" s="97">
        <v>43557</v>
      </c>
      <c r="E24" s="145">
        <v>8000</v>
      </c>
      <c r="F24" s="170"/>
      <c r="G24" s="170"/>
      <c r="H24" s="170"/>
      <c r="I24" s="170"/>
      <c r="J24" s="170"/>
      <c r="L24" s="93"/>
      <c r="M24" s="93"/>
      <c r="N24" s="93"/>
    </row>
    <row r="25" spans="1:14" s="82" customFormat="1" outlineLevel="1" x14ac:dyDescent="0.25">
      <c r="A25" s="144">
        <v>6</v>
      </c>
      <c r="B25" s="135" t="s">
        <v>54</v>
      </c>
      <c r="C25" s="145">
        <v>20</v>
      </c>
      <c r="D25" s="97">
        <v>43574</v>
      </c>
      <c r="E25" s="145">
        <v>6500</v>
      </c>
      <c r="F25" s="134"/>
      <c r="G25" s="134"/>
      <c r="H25" s="134"/>
      <c r="I25" s="134"/>
      <c r="J25" s="134"/>
      <c r="L25" s="93"/>
      <c r="M25" s="93"/>
      <c r="N25" s="93"/>
    </row>
    <row r="26" spans="1:14" x14ac:dyDescent="0.25">
      <c r="A26" s="86" t="s">
        <v>17</v>
      </c>
      <c r="B26" s="87"/>
      <c r="C26" s="87" t="str">
        <f>"за "&amp;LOWER($A$23)</f>
        <v>за апрель</v>
      </c>
      <c r="D26" s="88">
        <f>COUNTA(апр_пр)</f>
        <v>2</v>
      </c>
      <c r="E26" s="126">
        <f>SUM(апр_кол)</f>
        <v>14500</v>
      </c>
      <c r="F26" s="90">
        <f>COUNTA(акт_вх_апр)+COUNTA(акт_отб_апр)</f>
        <v>0</v>
      </c>
      <c r="G26" s="101"/>
      <c r="H26" s="101"/>
      <c r="I26" s="101"/>
      <c r="J26" s="128">
        <f>SUM(кол_отб_апр)</f>
        <v>0</v>
      </c>
      <c r="L26" s="1"/>
      <c r="M26" s="1"/>
      <c r="N26" s="1"/>
    </row>
    <row r="27" spans="1:14" x14ac:dyDescent="0.25">
      <c r="A27" s="249" t="s">
        <v>9</v>
      </c>
      <c r="B27" s="249"/>
      <c r="C27" s="249"/>
      <c r="D27" s="249"/>
      <c r="E27" s="249"/>
      <c r="F27" s="249"/>
      <c r="G27" s="249"/>
      <c r="H27" s="249"/>
      <c r="I27" s="249"/>
      <c r="J27" s="249"/>
      <c r="L27" s="1"/>
      <c r="M27" s="1"/>
      <c r="N27" s="1"/>
    </row>
    <row r="28" spans="1:14" x14ac:dyDescent="0.25">
      <c r="A28" s="146">
        <v>7</v>
      </c>
      <c r="B28" s="135" t="s">
        <v>54</v>
      </c>
      <c r="C28" s="145">
        <v>21.22</v>
      </c>
      <c r="D28" s="97">
        <v>43591</v>
      </c>
      <c r="E28" s="145">
        <v>10500</v>
      </c>
      <c r="F28" s="133"/>
      <c r="G28" s="133"/>
      <c r="H28" s="133"/>
      <c r="I28" s="133"/>
      <c r="J28" s="133"/>
      <c r="L28" s="1"/>
      <c r="M28" s="1"/>
      <c r="N28" s="1"/>
    </row>
    <row r="29" spans="1:14" x14ac:dyDescent="0.25">
      <c r="A29" s="86" t="s">
        <v>17</v>
      </c>
      <c r="B29" s="87"/>
      <c r="C29" s="87" t="str">
        <f>"за "&amp;LOWER($A$27)</f>
        <v>за май</v>
      </c>
      <c r="D29" s="88">
        <f>COUNTA(май_пр)</f>
        <v>1</v>
      </c>
      <c r="E29" s="126">
        <f>SUM(май_кол)</f>
        <v>10500</v>
      </c>
      <c r="F29" s="90">
        <f>COUNTA(акт_вх_май)+COUNTA(акт_отб_май)</f>
        <v>0</v>
      </c>
      <c r="G29" s="101"/>
      <c r="H29" s="101"/>
      <c r="I29" s="101"/>
      <c r="J29" s="128">
        <f>SUM(кол_отб_май)</f>
        <v>0</v>
      </c>
    </row>
    <row r="30" spans="1:14" x14ac:dyDescent="0.25">
      <c r="A30" s="249" t="s">
        <v>10</v>
      </c>
      <c r="B30" s="249"/>
      <c r="C30" s="249"/>
      <c r="D30" s="249"/>
      <c r="E30" s="249"/>
      <c r="F30" s="249"/>
      <c r="G30" s="249"/>
      <c r="H30" s="249"/>
      <c r="I30" s="249"/>
      <c r="J30" s="249"/>
    </row>
    <row r="31" spans="1:14" x14ac:dyDescent="0.25">
      <c r="A31" s="108">
        <v>8</v>
      </c>
      <c r="B31" s="141" t="s">
        <v>54</v>
      </c>
      <c r="C31" s="142">
        <v>20</v>
      </c>
      <c r="D31" s="143">
        <v>43622</v>
      </c>
      <c r="E31" s="142">
        <v>5500</v>
      </c>
      <c r="F31" s="140"/>
      <c r="G31" s="140"/>
      <c r="H31" s="140"/>
      <c r="I31" s="140"/>
      <c r="J31" s="140"/>
    </row>
    <row r="32" spans="1:14" x14ac:dyDescent="0.25">
      <c r="A32" s="86" t="s">
        <v>17</v>
      </c>
      <c r="B32" s="87"/>
      <c r="C32" s="87" t="str">
        <f>"за "&amp;LOWER($A$30)</f>
        <v>за июнь</v>
      </c>
      <c r="D32" s="88">
        <f>COUNTA(июн_пр)</f>
        <v>1</v>
      </c>
      <c r="E32" s="126">
        <f>SUM(июн_кол)</f>
        <v>5500</v>
      </c>
      <c r="F32" s="90">
        <f>COUNTA(акт_вх_июн)+COUNTA(акт_отб_июн)</f>
        <v>0</v>
      </c>
      <c r="G32" s="101"/>
      <c r="H32" s="101"/>
      <c r="I32" s="101"/>
      <c r="J32" s="128">
        <f>SUM(кол_отб_июн)</f>
        <v>0</v>
      </c>
    </row>
    <row r="33" spans="1:10" ht="19.5" customHeight="1" x14ac:dyDescent="0.25">
      <c r="A33" s="102" t="s">
        <v>17</v>
      </c>
      <c r="B33" s="103"/>
      <c r="C33" s="103" t="s">
        <v>140</v>
      </c>
      <c r="D33" s="104">
        <f>SUM(D26,D29,D32)</f>
        <v>4</v>
      </c>
      <c r="E33" s="127">
        <f>SUM(E26,E29,E32)</f>
        <v>30500</v>
      </c>
      <c r="F33" s="106">
        <f>SUM(F26,F29,F32)</f>
        <v>0</v>
      </c>
      <c r="G33" s="103"/>
      <c r="H33" s="103" t="str">
        <f>"Кп= "&amp;ROUNDDOWN((F33/D33)*100,1)&amp;"%"</f>
        <v>Кп= 0%</v>
      </c>
      <c r="I33" s="103" t="str">
        <f>"Км= "&amp;ROUNDDOWN((J33/E33)*100,1)&amp;"%"</f>
        <v>Км= 0%</v>
      </c>
      <c r="J33" s="129">
        <f>SUM(J26,J29,J32)</f>
        <v>0</v>
      </c>
    </row>
    <row r="34" spans="1:10" ht="18.75" customHeight="1" x14ac:dyDescent="0.25">
      <c r="A34" s="102" t="s">
        <v>17</v>
      </c>
      <c r="B34" s="103"/>
      <c r="C34" s="103" t="s">
        <v>141</v>
      </c>
      <c r="D34" s="104">
        <f>SUM(D21,D33)</f>
        <v>8</v>
      </c>
      <c r="E34" s="127">
        <f>SUM(E33,E21)</f>
        <v>42000</v>
      </c>
      <c r="F34" s="106">
        <f>SUM(F33,F21)</f>
        <v>0</v>
      </c>
      <c r="G34" s="103"/>
      <c r="H34" s="103" t="str">
        <f>"Кп= "&amp;ROUNDDOWN((F34/D34)*100,1)&amp;"%"</f>
        <v>Кп= 0%</v>
      </c>
      <c r="I34" s="103" t="str">
        <f>"Км= "&amp;ROUNDDOWN((J34/E34)*100,1)&amp;"%"</f>
        <v>Км= 0%</v>
      </c>
      <c r="J34" s="129">
        <f>SUM(J33,J21)</f>
        <v>0</v>
      </c>
    </row>
    <row r="35" spans="1:10" ht="18.75" hidden="1" customHeight="1" outlineLevel="1" x14ac:dyDescent="0.25">
      <c r="A35" s="175" t="s">
        <v>212</v>
      </c>
      <c r="B35" s="175"/>
      <c r="C35" s="179"/>
      <c r="D35" s="184" t="s">
        <v>20</v>
      </c>
      <c r="E35" s="177"/>
      <c r="F35" s="177"/>
      <c r="G35" s="186" t="s">
        <v>21</v>
      </c>
      <c r="H35" s="177"/>
      <c r="I35" s="177"/>
      <c r="J35" s="178"/>
    </row>
    <row r="36" spans="1:10" ht="18.75" hidden="1" customHeight="1" outlineLevel="1" x14ac:dyDescent="0.25">
      <c r="A36" s="176" t="s">
        <v>213</v>
      </c>
      <c r="B36" s="176"/>
      <c r="C36" s="179"/>
      <c r="D36" s="185" t="s">
        <v>215</v>
      </c>
      <c r="E36" s="127"/>
      <c r="F36" s="106"/>
      <c r="G36" s="187" t="s">
        <v>217</v>
      </c>
      <c r="H36" s="103"/>
      <c r="I36" s="103"/>
      <c r="J36" s="129"/>
    </row>
    <row r="37" spans="1:10" ht="18" hidden="1" customHeight="1" outlineLevel="1" x14ac:dyDescent="0.25">
      <c r="A37" s="176" t="s">
        <v>214</v>
      </c>
      <c r="B37" s="180"/>
      <c r="C37" s="181"/>
      <c r="D37" s="177" t="s">
        <v>216</v>
      </c>
      <c r="E37" s="182"/>
      <c r="F37" s="182"/>
      <c r="G37" s="186" t="s">
        <v>218</v>
      </c>
      <c r="H37" s="182"/>
      <c r="I37" s="182"/>
      <c r="J37" s="183"/>
    </row>
    <row r="38" spans="1:10" collapsed="1" x14ac:dyDescent="0.25">
      <c r="A38" s="252" t="s">
        <v>11</v>
      </c>
      <c r="B38" s="252"/>
      <c r="C38" s="252"/>
      <c r="D38" s="252"/>
      <c r="E38" s="252"/>
      <c r="F38" s="252"/>
      <c r="G38" s="252"/>
      <c r="H38" s="252"/>
      <c r="I38" s="252"/>
      <c r="J38" s="252"/>
    </row>
    <row r="39" spans="1:10" s="82" customFormat="1" x14ac:dyDescent="0.25">
      <c r="A39" s="77">
        <v>9</v>
      </c>
      <c r="B39" s="203" t="s">
        <v>54</v>
      </c>
      <c r="C39" s="212" t="s">
        <v>241</v>
      </c>
      <c r="D39" s="213">
        <v>43650</v>
      </c>
      <c r="E39" s="214">
        <v>8500</v>
      </c>
      <c r="F39" s="140"/>
      <c r="G39" s="140"/>
      <c r="H39" s="140"/>
      <c r="I39" s="140"/>
      <c r="J39" s="140"/>
    </row>
    <row r="40" spans="1:10" s="82" customFormat="1" hidden="1" outlineLevel="1" x14ac:dyDescent="0.25">
      <c r="A40" s="140"/>
      <c r="B40" s="140"/>
      <c r="C40" s="140"/>
      <c r="D40" s="156"/>
      <c r="E40" s="140"/>
      <c r="F40" s="140"/>
      <c r="G40" s="140"/>
      <c r="H40" s="140"/>
      <c r="I40" s="140"/>
      <c r="J40" s="140"/>
    </row>
    <row r="41" spans="1:10" s="82" customFormat="1" hidden="1" outlineLevel="1" x14ac:dyDescent="0.25">
      <c r="A41" s="140"/>
      <c r="B41" s="140"/>
      <c r="C41" s="140"/>
      <c r="D41" s="156"/>
      <c r="E41" s="140"/>
      <c r="F41" s="140"/>
      <c r="G41" s="140"/>
      <c r="H41" s="140"/>
      <c r="I41" s="140"/>
      <c r="J41" s="140"/>
    </row>
    <row r="42" spans="1:10" s="82" customFormat="1" hidden="1" outlineLevel="1" x14ac:dyDescent="0.25">
      <c r="A42" s="140"/>
      <c r="B42" s="140"/>
      <c r="C42" s="140"/>
      <c r="D42" s="156"/>
      <c r="E42" s="140"/>
      <c r="F42" s="140"/>
      <c r="G42" s="140"/>
      <c r="H42" s="140"/>
      <c r="I42" s="140"/>
      <c r="J42" s="140"/>
    </row>
    <row r="43" spans="1:10" s="82" customFormat="1" hidden="1" outlineLevel="1" x14ac:dyDescent="0.25">
      <c r="A43" s="140"/>
      <c r="B43" s="140"/>
      <c r="C43" s="140"/>
      <c r="D43" s="156"/>
      <c r="E43" s="140"/>
      <c r="F43" s="140"/>
      <c r="G43" s="140"/>
      <c r="H43" s="140"/>
      <c r="I43" s="140"/>
      <c r="J43" s="140"/>
    </row>
    <row r="44" spans="1:10" s="82" customFormat="1" collapsed="1" x14ac:dyDescent="0.25">
      <c r="A44" s="86" t="s">
        <v>17</v>
      </c>
      <c r="B44" s="87"/>
      <c r="C44" s="87" t="str">
        <f>"за "&amp;LOWER($A$38)</f>
        <v>за июль</v>
      </c>
      <c r="D44" s="88">
        <f>COUNTA(июл_пр)</f>
        <v>1</v>
      </c>
      <c r="E44" s="126">
        <f>SUM(июл_кол)</f>
        <v>8500</v>
      </c>
      <c r="F44" s="90">
        <f>COUNTA(акт_вх_июл)+COUNTA(акт_отб_июл)</f>
        <v>0</v>
      </c>
      <c r="G44" s="101"/>
      <c r="H44" s="101"/>
      <c r="I44" s="101"/>
      <c r="J44" s="128">
        <f>SUM(кол_отб_июл)</f>
        <v>0</v>
      </c>
    </row>
    <row r="45" spans="1:10" s="82" customFormat="1" x14ac:dyDescent="0.25">
      <c r="A45" s="249" t="s">
        <v>13</v>
      </c>
      <c r="B45" s="249"/>
      <c r="C45" s="249"/>
      <c r="D45" s="249"/>
      <c r="E45" s="249"/>
      <c r="F45" s="249"/>
      <c r="G45" s="249"/>
      <c r="H45" s="249"/>
      <c r="I45" s="249"/>
      <c r="J45" s="249"/>
    </row>
    <row r="46" spans="1:10" s="82" customFormat="1" x14ac:dyDescent="0.25">
      <c r="A46" s="77">
        <v>10</v>
      </c>
      <c r="B46" s="203" t="s">
        <v>54</v>
      </c>
      <c r="C46" s="145">
        <v>45</v>
      </c>
      <c r="D46" s="97">
        <v>43684</v>
      </c>
      <c r="E46" s="145">
        <v>6500</v>
      </c>
      <c r="F46" s="140"/>
      <c r="G46" s="140"/>
      <c r="H46" s="140"/>
      <c r="I46" s="140"/>
      <c r="J46" s="140"/>
    </row>
    <row r="47" spans="1:10" s="82" customFormat="1" hidden="1" outlineLevel="1" x14ac:dyDescent="0.25">
      <c r="A47" s="140"/>
      <c r="B47" s="140"/>
      <c r="C47" s="140"/>
      <c r="D47" s="156"/>
      <c r="E47" s="140"/>
      <c r="F47" s="140"/>
      <c r="G47" s="140"/>
      <c r="H47" s="140"/>
      <c r="I47" s="140"/>
      <c r="J47" s="140"/>
    </row>
    <row r="48" spans="1:10" s="82" customFormat="1" hidden="1" outlineLevel="1" x14ac:dyDescent="0.25">
      <c r="A48" s="140"/>
      <c r="B48" s="140"/>
      <c r="C48" s="140"/>
      <c r="D48" s="156"/>
      <c r="E48" s="140"/>
      <c r="F48" s="140"/>
      <c r="G48" s="140"/>
      <c r="H48" s="140"/>
      <c r="I48" s="140"/>
      <c r="J48" s="140"/>
    </row>
    <row r="49" spans="1:10" s="82" customFormat="1" hidden="1" outlineLevel="1" x14ac:dyDescent="0.25">
      <c r="A49" s="140"/>
      <c r="B49" s="140"/>
      <c r="C49" s="140"/>
      <c r="D49" s="156"/>
      <c r="E49" s="140"/>
      <c r="F49" s="140"/>
      <c r="G49" s="140"/>
      <c r="H49" s="140"/>
      <c r="I49" s="140"/>
      <c r="J49" s="140"/>
    </row>
    <row r="50" spans="1:10" s="82" customFormat="1" hidden="1" outlineLevel="1" x14ac:dyDescent="0.25">
      <c r="A50" s="140"/>
      <c r="B50" s="140"/>
      <c r="C50" s="140"/>
      <c r="D50" s="156"/>
      <c r="E50" s="140"/>
      <c r="F50" s="140"/>
      <c r="G50" s="140"/>
      <c r="H50" s="140"/>
      <c r="I50" s="140"/>
      <c r="J50" s="140"/>
    </row>
    <row r="51" spans="1:10" s="82" customFormat="1" collapsed="1" x14ac:dyDescent="0.25">
      <c r="A51" s="86" t="s">
        <v>17</v>
      </c>
      <c r="B51" s="87"/>
      <c r="C51" s="87" t="str">
        <f>"за "&amp;LOWER($A$45)</f>
        <v>за август</v>
      </c>
      <c r="D51" s="88">
        <f>COUNTA(авг_пр)</f>
        <v>1</v>
      </c>
      <c r="E51" s="126">
        <f>SUM(авг_кол)</f>
        <v>6500</v>
      </c>
      <c r="F51" s="90">
        <f>COUNTA(акт_вх_авг)+COUNTA(акт_отб_авг)</f>
        <v>0</v>
      </c>
      <c r="G51" s="101"/>
      <c r="H51" s="101"/>
      <c r="I51" s="101"/>
      <c r="J51" s="128">
        <f>SUM(кол_отб_авг)</f>
        <v>0</v>
      </c>
    </row>
    <row r="52" spans="1:10" s="82" customFormat="1" x14ac:dyDescent="0.25">
      <c r="A52" s="249" t="s">
        <v>12</v>
      </c>
      <c r="B52" s="249"/>
      <c r="C52" s="249"/>
      <c r="D52" s="249"/>
      <c r="E52" s="249"/>
      <c r="F52" s="249"/>
      <c r="G52" s="249"/>
      <c r="H52" s="249"/>
      <c r="I52" s="249"/>
      <c r="J52" s="249"/>
    </row>
    <row r="53" spans="1:10" s="82" customFormat="1" x14ac:dyDescent="0.25">
      <c r="A53" s="77">
        <v>11</v>
      </c>
      <c r="B53" s="98" t="s">
        <v>54</v>
      </c>
      <c r="C53" s="112">
        <v>30</v>
      </c>
      <c r="D53" s="100">
        <v>43711</v>
      </c>
      <c r="E53" s="112">
        <v>8000</v>
      </c>
      <c r="F53" s="140"/>
      <c r="G53" s="140"/>
      <c r="H53" s="140"/>
      <c r="I53" s="140"/>
      <c r="J53" s="140"/>
    </row>
    <row r="54" spans="1:10" s="82" customFormat="1" hidden="1" outlineLevel="1" x14ac:dyDescent="0.25">
      <c r="A54" s="140"/>
      <c r="B54" s="140"/>
      <c r="C54" s="140"/>
      <c r="D54" s="156"/>
      <c r="E54" s="140"/>
      <c r="F54" s="140"/>
      <c r="G54" s="140"/>
      <c r="H54" s="140"/>
      <c r="I54" s="140"/>
      <c r="J54" s="140"/>
    </row>
    <row r="55" spans="1:10" s="82" customFormat="1" hidden="1" outlineLevel="1" x14ac:dyDescent="0.25">
      <c r="A55" s="140"/>
      <c r="B55" s="140"/>
      <c r="C55" s="140"/>
      <c r="D55" s="156"/>
      <c r="E55" s="140"/>
      <c r="F55" s="140"/>
      <c r="G55" s="140"/>
      <c r="H55" s="140"/>
      <c r="I55" s="140"/>
      <c r="J55" s="140"/>
    </row>
    <row r="56" spans="1:10" s="82" customFormat="1" hidden="1" outlineLevel="1" x14ac:dyDescent="0.25">
      <c r="A56" s="140"/>
      <c r="B56" s="140"/>
      <c r="C56" s="140"/>
      <c r="D56" s="156"/>
      <c r="E56" s="140"/>
      <c r="F56" s="140"/>
      <c r="G56" s="140"/>
      <c r="H56" s="140"/>
      <c r="I56" s="140"/>
      <c r="J56" s="140"/>
    </row>
    <row r="57" spans="1:10" s="82" customFormat="1" hidden="1" outlineLevel="1" x14ac:dyDescent="0.25">
      <c r="A57" s="140"/>
      <c r="B57" s="140"/>
      <c r="C57" s="140"/>
      <c r="D57" s="156"/>
      <c r="E57" s="140"/>
      <c r="F57" s="140"/>
      <c r="G57" s="140"/>
      <c r="H57" s="140"/>
      <c r="I57" s="140"/>
      <c r="J57" s="140"/>
    </row>
    <row r="58" spans="1:10" s="82" customFormat="1" collapsed="1" x14ac:dyDescent="0.25">
      <c r="A58" s="86" t="s">
        <v>17</v>
      </c>
      <c r="B58" s="87"/>
      <c r="C58" s="87" t="str">
        <f>"за "&amp;LOWER($A$52)</f>
        <v>за сентябрь</v>
      </c>
      <c r="D58" s="88">
        <f>COUNTA(снт_пр)</f>
        <v>1</v>
      </c>
      <c r="E58" s="126">
        <f>SUM(снт_кол)</f>
        <v>8000</v>
      </c>
      <c r="F58" s="90">
        <f>COUNTA(акт_вх_снт)+COUNTA(акт_отб_снт)</f>
        <v>0</v>
      </c>
      <c r="G58" s="101"/>
      <c r="H58" s="101"/>
      <c r="I58" s="101"/>
      <c r="J58" s="128">
        <f>SUM(кол_отб_снт)</f>
        <v>0</v>
      </c>
    </row>
    <row r="59" spans="1:10" s="82" customFormat="1" ht="30" customHeight="1" x14ac:dyDescent="0.25">
      <c r="A59" s="102" t="s">
        <v>17</v>
      </c>
      <c r="B59" s="103"/>
      <c r="C59" s="103" t="s">
        <v>142</v>
      </c>
      <c r="D59" s="104">
        <f>SUM(D44,D51,D58)</f>
        <v>3</v>
      </c>
      <c r="E59" s="127">
        <f>SUM(E44,E51,E58)</f>
        <v>23000</v>
      </c>
      <c r="F59" s="106">
        <f>SUM(F44,F51,F58)</f>
        <v>0</v>
      </c>
      <c r="G59" s="103"/>
      <c r="H59" s="103" t="str">
        <f>"Кп= "&amp;ROUNDDOWN((F59/D59)*100,1)&amp;"%"</f>
        <v>Кп= 0%</v>
      </c>
      <c r="I59" s="103" t="str">
        <f>"Км= "&amp;ROUNDDOWN((J59/E59)*100,1)&amp;"%"</f>
        <v>Км= 0%</v>
      </c>
      <c r="J59" s="129">
        <f>SUM(J44,J51,J58)</f>
        <v>0</v>
      </c>
    </row>
    <row r="60" spans="1:10" s="82" customFormat="1" ht="30" customHeight="1" x14ac:dyDescent="0.25">
      <c r="A60" s="102" t="s">
        <v>17</v>
      </c>
      <c r="B60" s="103"/>
      <c r="C60" s="103" t="s">
        <v>144</v>
      </c>
      <c r="D60" s="104">
        <f>SUM(D34,D59)</f>
        <v>11</v>
      </c>
      <c r="E60" s="127">
        <f>SUM(E59,E34)</f>
        <v>65000</v>
      </c>
      <c r="F60" s="106">
        <f>SUM(F59,F34)</f>
        <v>0</v>
      </c>
      <c r="G60" s="103"/>
      <c r="H60" s="103" t="str">
        <f>"Кп= "&amp;ROUNDDOWN((F60/D60)*100,1)&amp;"%"</f>
        <v>Кп= 0%</v>
      </c>
      <c r="I60" s="103" t="str">
        <f>"Км= "&amp;ROUNDDOWN((J60/E60)*100,1)&amp;"%"</f>
        <v>Км= 0%</v>
      </c>
      <c r="J60" s="129">
        <f>SUM(J59,J34)</f>
        <v>0</v>
      </c>
    </row>
    <row r="61" spans="1:10" ht="17.25" hidden="1" customHeight="1" outlineLevel="1" x14ac:dyDescent="0.25">
      <c r="A61" s="8" t="s">
        <v>20</v>
      </c>
      <c r="B61" s="8"/>
      <c r="C61" s="8"/>
      <c r="D61" s="9"/>
      <c r="E61" s="8"/>
      <c r="F61" s="8"/>
      <c r="G61" s="8" t="s">
        <v>21</v>
      </c>
      <c r="H61" s="8"/>
      <c r="I61" s="8"/>
      <c r="J61" s="8"/>
    </row>
    <row r="62" spans="1:10" s="82" customFormat="1" ht="15" customHeight="1" collapsed="1" x14ac:dyDescent="0.25">
      <c r="A62" s="249" t="s">
        <v>14</v>
      </c>
      <c r="B62" s="249"/>
      <c r="C62" s="249"/>
      <c r="D62" s="249"/>
      <c r="E62" s="249"/>
      <c r="F62" s="249"/>
      <c r="G62" s="249"/>
      <c r="H62" s="249"/>
      <c r="I62" s="249"/>
      <c r="J62" s="249"/>
    </row>
    <row r="63" spans="1:10" s="82" customFormat="1" x14ac:dyDescent="0.25">
      <c r="A63" s="221">
        <v>12</v>
      </c>
      <c r="B63" s="220" t="s">
        <v>54</v>
      </c>
      <c r="C63" s="145">
        <v>35</v>
      </c>
      <c r="D63" s="97">
        <v>43769</v>
      </c>
      <c r="E63" s="145">
        <v>6000</v>
      </c>
      <c r="F63" s="140"/>
      <c r="G63" s="140"/>
      <c r="H63" s="140"/>
      <c r="I63" s="140"/>
      <c r="J63" s="140"/>
    </row>
    <row r="64" spans="1:10" s="82" customFormat="1" hidden="1" outlineLevel="1" x14ac:dyDescent="0.25">
      <c r="A64" s="140"/>
      <c r="B64" s="140"/>
      <c r="C64" s="140"/>
      <c r="D64" s="156"/>
      <c r="E64" s="140"/>
      <c r="F64" s="140"/>
      <c r="G64" s="140"/>
      <c r="H64" s="140"/>
      <c r="I64" s="140"/>
      <c r="J64" s="140"/>
    </row>
    <row r="65" spans="1:10" s="82" customFormat="1" hidden="1" outlineLevel="1" x14ac:dyDescent="0.25">
      <c r="A65" s="140"/>
      <c r="B65" s="140"/>
      <c r="C65" s="140"/>
      <c r="D65" s="156"/>
      <c r="E65" s="140"/>
      <c r="F65" s="140"/>
      <c r="G65" s="140"/>
      <c r="H65" s="140"/>
      <c r="I65" s="140"/>
      <c r="J65" s="140"/>
    </row>
    <row r="66" spans="1:10" s="82" customFormat="1" hidden="1" outlineLevel="1" x14ac:dyDescent="0.25">
      <c r="A66" s="140"/>
      <c r="B66" s="140"/>
      <c r="C66" s="140"/>
      <c r="D66" s="156"/>
      <c r="E66" s="140"/>
      <c r="F66" s="140"/>
      <c r="G66" s="140"/>
      <c r="H66" s="140"/>
      <c r="I66" s="140"/>
      <c r="J66" s="140"/>
    </row>
    <row r="67" spans="1:10" s="82" customFormat="1" hidden="1" outlineLevel="1" x14ac:dyDescent="0.25">
      <c r="A67" s="140"/>
      <c r="B67" s="140"/>
      <c r="C67" s="140"/>
      <c r="D67" s="156"/>
      <c r="E67" s="140"/>
      <c r="F67" s="140"/>
      <c r="G67" s="140"/>
      <c r="H67" s="140"/>
      <c r="I67" s="140"/>
      <c r="J67" s="140"/>
    </row>
    <row r="68" spans="1:10" s="82" customFormat="1" collapsed="1" x14ac:dyDescent="0.25">
      <c r="A68" s="86"/>
      <c r="B68" s="87"/>
      <c r="C68" s="87" t="str">
        <f>"за "&amp;LOWER($A$62)</f>
        <v>за октябрь</v>
      </c>
      <c r="D68" s="88">
        <f>COUNTA(окт_пр)</f>
        <v>1</v>
      </c>
      <c r="E68" s="126">
        <f>SUM(окт_кол)</f>
        <v>6000</v>
      </c>
      <c r="F68" s="90">
        <f>COUNTA(акт_вх_окт)+COUNTA(акт_отб_окт)</f>
        <v>0</v>
      </c>
      <c r="G68" s="101"/>
      <c r="H68" s="101"/>
      <c r="I68" s="101"/>
      <c r="J68" s="128">
        <f>SUM(кол_отб_окт)</f>
        <v>0</v>
      </c>
    </row>
    <row r="69" spans="1:10" s="82" customFormat="1" x14ac:dyDescent="0.25">
      <c r="A69" s="249" t="s">
        <v>15</v>
      </c>
      <c r="B69" s="249"/>
      <c r="C69" s="249"/>
      <c r="D69" s="249"/>
      <c r="E69" s="249"/>
      <c r="F69" s="249"/>
      <c r="G69" s="249"/>
      <c r="H69" s="249"/>
      <c r="I69" s="249"/>
      <c r="J69" s="249"/>
    </row>
    <row r="70" spans="1:10" s="82" customFormat="1" x14ac:dyDescent="0.25">
      <c r="A70" s="140"/>
      <c r="B70" s="140"/>
      <c r="C70" s="140"/>
      <c r="D70" s="156"/>
      <c r="E70" s="140"/>
      <c r="F70" s="140"/>
      <c r="G70" s="140"/>
      <c r="H70" s="140"/>
      <c r="I70" s="140"/>
      <c r="J70" s="140"/>
    </row>
    <row r="71" spans="1:10" s="82" customFormat="1" hidden="1" outlineLevel="1" x14ac:dyDescent="0.25">
      <c r="A71" s="140"/>
      <c r="B71" s="140"/>
      <c r="C71" s="140"/>
      <c r="D71" s="156"/>
      <c r="E71" s="140"/>
      <c r="F71" s="140"/>
      <c r="G71" s="140"/>
      <c r="H71" s="140"/>
      <c r="I71" s="140"/>
      <c r="J71" s="140"/>
    </row>
    <row r="72" spans="1:10" s="82" customFormat="1" hidden="1" outlineLevel="1" x14ac:dyDescent="0.25">
      <c r="A72" s="140"/>
      <c r="B72" s="140"/>
      <c r="C72" s="140"/>
      <c r="D72" s="156"/>
      <c r="E72" s="140"/>
      <c r="F72" s="140"/>
      <c r="G72" s="140"/>
      <c r="H72" s="140"/>
      <c r="I72" s="140"/>
      <c r="J72" s="140"/>
    </row>
    <row r="73" spans="1:10" s="82" customFormat="1" hidden="1" outlineLevel="1" x14ac:dyDescent="0.25">
      <c r="A73" s="140"/>
      <c r="B73" s="140"/>
      <c r="C73" s="140"/>
      <c r="D73" s="156"/>
      <c r="E73" s="140"/>
      <c r="F73" s="140"/>
      <c r="G73" s="140"/>
      <c r="H73" s="140"/>
      <c r="I73" s="140"/>
      <c r="J73" s="140"/>
    </row>
    <row r="74" spans="1:10" s="82" customFormat="1" hidden="1" outlineLevel="1" x14ac:dyDescent="0.25">
      <c r="A74" s="140"/>
      <c r="B74" s="140"/>
      <c r="C74" s="140"/>
      <c r="D74" s="156"/>
      <c r="E74" s="140"/>
      <c r="F74" s="140"/>
      <c r="G74" s="140"/>
      <c r="H74" s="140"/>
      <c r="I74" s="140"/>
      <c r="J74" s="140"/>
    </row>
    <row r="75" spans="1:10" s="82" customFormat="1" collapsed="1" x14ac:dyDescent="0.25">
      <c r="A75" s="86" t="s">
        <v>17</v>
      </c>
      <c r="B75" s="87"/>
      <c r="C75" s="87" t="str">
        <f>"за "&amp;LOWER($A$69)</f>
        <v>за ноябрь</v>
      </c>
      <c r="D75" s="88">
        <f>COUNTA(нбр_пр)</f>
        <v>0</v>
      </c>
      <c r="E75" s="126">
        <f>SUM(нбр_кол)</f>
        <v>0</v>
      </c>
      <c r="F75" s="90">
        <f>COUNTA(акт_вх_нбр)+COUNTA(акт_отб_нбр)</f>
        <v>0</v>
      </c>
      <c r="G75" s="101"/>
      <c r="H75" s="101"/>
      <c r="I75" s="101"/>
      <c r="J75" s="128">
        <f>SUM(кол_отб_нбр)</f>
        <v>0</v>
      </c>
    </row>
    <row r="76" spans="1:10" s="82" customFormat="1" x14ac:dyDescent="0.25">
      <c r="A76" s="249" t="s">
        <v>16</v>
      </c>
      <c r="B76" s="249"/>
      <c r="C76" s="249"/>
      <c r="D76" s="249"/>
      <c r="E76" s="249"/>
      <c r="F76" s="249"/>
      <c r="G76" s="249"/>
      <c r="H76" s="249"/>
      <c r="I76" s="249"/>
      <c r="J76" s="249"/>
    </row>
    <row r="77" spans="1:10" s="82" customFormat="1" x14ac:dyDescent="0.25">
      <c r="A77" s="221">
        <v>13</v>
      </c>
      <c r="B77" s="98" t="s">
        <v>54</v>
      </c>
      <c r="C77" s="112">
        <v>38</v>
      </c>
      <c r="D77" s="100">
        <v>43802</v>
      </c>
      <c r="E77" s="112">
        <v>5500</v>
      </c>
      <c r="F77" s="140"/>
      <c r="G77" s="140"/>
      <c r="H77" s="140"/>
      <c r="I77" s="140"/>
      <c r="J77" s="140"/>
    </row>
    <row r="78" spans="1:10" s="82" customFormat="1" hidden="1" outlineLevel="1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</row>
    <row r="79" spans="1:10" s="82" customFormat="1" hidden="1" outlineLevel="1" x14ac:dyDescent="0.25">
      <c r="A79" s="140"/>
      <c r="B79" s="140"/>
      <c r="C79" s="140"/>
      <c r="D79" s="140"/>
      <c r="E79" s="140"/>
      <c r="F79" s="140"/>
      <c r="G79" s="140"/>
      <c r="H79" s="140"/>
      <c r="I79" s="140"/>
      <c r="J79" s="140"/>
    </row>
    <row r="80" spans="1:10" s="82" customFormat="1" hidden="1" outlineLevel="1" x14ac:dyDescent="0.25">
      <c r="A80" s="140"/>
      <c r="B80" s="140"/>
      <c r="C80" s="140"/>
      <c r="D80" s="140"/>
      <c r="E80" s="140"/>
      <c r="F80" s="140"/>
      <c r="G80" s="140"/>
      <c r="H80" s="140"/>
      <c r="I80" s="140"/>
      <c r="J80" s="140"/>
    </row>
    <row r="81" spans="1:10" s="82" customFormat="1" hidden="1" outlineLevel="1" x14ac:dyDescent="0.25">
      <c r="A81" s="140"/>
      <c r="B81" s="140"/>
      <c r="C81" s="140"/>
      <c r="D81" s="140"/>
      <c r="E81" s="140"/>
      <c r="F81" s="140"/>
      <c r="G81" s="140"/>
      <c r="H81" s="140"/>
      <c r="I81" s="140"/>
      <c r="J81" s="140"/>
    </row>
    <row r="82" spans="1:10" s="82" customFormat="1" collapsed="1" x14ac:dyDescent="0.25">
      <c r="A82" s="86" t="s">
        <v>17</v>
      </c>
      <c r="B82" s="87"/>
      <c r="C82" s="87" t="str">
        <f>"за "&amp;LOWER($A$76)</f>
        <v>за декабрь</v>
      </c>
      <c r="D82" s="88">
        <f>COUNTA(дкб_пр)</f>
        <v>1</v>
      </c>
      <c r="E82" s="126">
        <f>SUM(дкб_кол)</f>
        <v>5500</v>
      </c>
      <c r="F82" s="90">
        <f>COUNTA(акт_вх_дкб)+COUNTA(акт_отб_дкб)</f>
        <v>0</v>
      </c>
      <c r="G82" s="101"/>
      <c r="H82" s="101"/>
      <c r="I82" s="101"/>
      <c r="J82" s="128">
        <f>SUM(кол_отб_дкб)</f>
        <v>0</v>
      </c>
    </row>
    <row r="83" spans="1:10" s="82" customFormat="1" ht="32.25" customHeight="1" x14ac:dyDescent="0.25">
      <c r="A83" s="102" t="s">
        <v>17</v>
      </c>
      <c r="B83" s="103"/>
      <c r="C83" s="103" t="s">
        <v>143</v>
      </c>
      <c r="D83" s="104">
        <f>SUM(D68,D75,D82)</f>
        <v>2</v>
      </c>
      <c r="E83" s="127">
        <f>SUM(E68,E75,E82)</f>
        <v>11500</v>
      </c>
      <c r="F83" s="106">
        <f>SUM(F68,F75,F82)</f>
        <v>0</v>
      </c>
      <c r="G83" s="103"/>
      <c r="H83" s="103" t="str">
        <f>"Кп= "&amp;ROUNDDOWN((F83/D83)*100,1)&amp;"%"</f>
        <v>Кп= 0%</v>
      </c>
      <c r="I83" s="103" t="str">
        <f>"Км= "&amp;ROUNDDOWN((J83/E83)*100,1)&amp;"%"</f>
        <v>Км= 0%</v>
      </c>
      <c r="J83" s="129">
        <f>SUM(J68,J75,J82)</f>
        <v>0</v>
      </c>
    </row>
    <row r="84" spans="1:10" s="82" customFormat="1" ht="27" customHeight="1" x14ac:dyDescent="0.25">
      <c r="A84" s="102" t="s">
        <v>17</v>
      </c>
      <c r="B84" s="103"/>
      <c r="C84" s="103" t="s">
        <v>145</v>
      </c>
      <c r="D84" s="104">
        <f>SUM(D83,D60)</f>
        <v>13</v>
      </c>
      <c r="E84" s="127">
        <f>SUM(E83,E60)</f>
        <v>76500</v>
      </c>
      <c r="F84" s="106">
        <f>SUM(F83,F60)</f>
        <v>0</v>
      </c>
      <c r="G84" s="103"/>
      <c r="H84" s="103" t="str">
        <f>"Кп= "&amp;ROUNDDOWN((F84/D84)*100,1)&amp;"%"</f>
        <v>Кп= 0%</v>
      </c>
      <c r="I84" s="103" t="str">
        <f>"Км= "&amp;ROUNDDOWN((J84/E84)*100,1)&amp;"%"</f>
        <v>Км= 0%</v>
      </c>
      <c r="J84" s="129">
        <f>SUM(J83,J60)</f>
        <v>0</v>
      </c>
    </row>
    <row r="85" spans="1:10" s="82" customFormat="1" ht="26.25" customHeight="1" x14ac:dyDescent="0.25">
      <c r="A85" s="115"/>
      <c r="B85" s="115"/>
      <c r="C85" s="115"/>
      <c r="D85" s="116"/>
      <c r="E85" s="115"/>
      <c r="F85" s="115"/>
      <c r="G85" s="115"/>
      <c r="H85" s="115"/>
      <c r="I85" s="115"/>
      <c r="J85" s="115"/>
    </row>
    <row r="86" spans="1:10" s="82" customFormat="1" ht="26.25" customHeight="1" x14ac:dyDescent="0.25">
      <c r="A86" s="115" t="s">
        <v>20</v>
      </c>
      <c r="B86" s="115"/>
      <c r="C86" s="115"/>
      <c r="D86" s="116"/>
      <c r="E86" s="115"/>
      <c r="F86" s="115"/>
      <c r="G86" s="115" t="s">
        <v>21</v>
      </c>
      <c r="H86" s="115"/>
      <c r="I86" s="115"/>
      <c r="J86" s="115"/>
    </row>
    <row r="87" spans="1:10" s="82" customFormat="1" x14ac:dyDescent="0.25"/>
    <row r="88" spans="1:10" s="82" customFormat="1" x14ac:dyDescent="0.25"/>
  </sheetData>
  <sheetProtection algorithmName="SHA-512" hashValue="SC8VdUms3GCrsYHjH0LqpSrd4Sy1INmr3UowEAEJeagKCK8/xWKNJCs5wQw4Mjj2mX/ADN4C7VdpCixqqNvRVA==" saltValue="Czn2b5IjnHddIaipQhUhMw==" spinCount="100000" sheet="1" formatCells="0" formatColumns="0" formatRows="0" insertColumns="0" insertRows="0" insertHyperlinks="0" deleteColumns="0" deleteRows="0" sort="0" autoFilter="0" pivotTables="0"/>
  <mergeCells count="21">
    <mergeCell ref="A76:J76"/>
    <mergeCell ref="A6:J6"/>
    <mergeCell ref="A10:J10"/>
    <mergeCell ref="A14:J14"/>
    <mergeCell ref="A23:J23"/>
    <mergeCell ref="A27:J27"/>
    <mergeCell ref="A30:J30"/>
    <mergeCell ref="A38:J38"/>
    <mergeCell ref="A45:J45"/>
    <mergeCell ref="A52:J52"/>
    <mergeCell ref="A62:J62"/>
    <mergeCell ref="A69:J69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  <headerFooter>
    <oddFooter>Страница  &amp;P из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A40D-3E49-4589-9E12-5885EA3F7F20}">
  <sheetPr codeName="Лист11">
    <pageSetUpPr fitToPage="1"/>
  </sheetPr>
  <dimension ref="A1:N92"/>
  <sheetViews>
    <sheetView tabSelected="1" zoomScaleNormal="100" workbookViewId="0">
      <pane ySplit="4" topLeftCell="A58" activePane="bottomLeft" state="frozen"/>
      <selection activeCell="J16" sqref="J16:J19"/>
      <selection pane="bottomLeft" activeCell="A14" sqref="A14:XFD14"/>
    </sheetView>
  </sheetViews>
  <sheetFormatPr defaultRowHeight="15" outlineLevelRow="1" x14ac:dyDescent="0.25"/>
  <cols>
    <col min="1" max="1" width="5" customWidth="1"/>
    <col min="2" max="2" width="22.425781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82"/>
      <c r="B1" s="82"/>
      <c r="C1" s="82"/>
      <c r="D1" s="82"/>
      <c r="E1" s="82"/>
      <c r="F1" s="82"/>
      <c r="G1" s="82"/>
      <c r="H1" s="82"/>
      <c r="I1" s="82"/>
      <c r="J1" s="83" t="s">
        <v>97</v>
      </c>
    </row>
    <row r="2" spans="1:14" ht="33.75" customHeight="1" x14ac:dyDescent="0.25">
      <c r="A2" s="256" t="s">
        <v>296</v>
      </c>
      <c r="B2" s="256"/>
      <c r="C2" s="256"/>
      <c r="D2" s="256"/>
      <c r="E2" s="256"/>
      <c r="F2" s="256"/>
      <c r="G2" s="256"/>
      <c r="H2" s="256"/>
      <c r="I2" s="256"/>
      <c r="J2" s="256"/>
    </row>
    <row r="3" spans="1:14" x14ac:dyDescent="0.25">
      <c r="A3" s="257" t="s">
        <v>0</v>
      </c>
      <c r="B3" s="258" t="s">
        <v>100</v>
      </c>
      <c r="C3" s="257" t="s">
        <v>1</v>
      </c>
      <c r="D3" s="260" t="s">
        <v>23</v>
      </c>
      <c r="E3" s="257" t="s">
        <v>153</v>
      </c>
      <c r="F3" s="257" t="s">
        <v>3</v>
      </c>
      <c r="G3" s="257"/>
      <c r="H3" s="261" t="s">
        <v>2</v>
      </c>
      <c r="I3" s="262"/>
      <c r="J3" s="260" t="s">
        <v>210</v>
      </c>
    </row>
    <row r="4" spans="1:14" ht="32.25" customHeight="1" x14ac:dyDescent="0.25">
      <c r="A4" s="257"/>
      <c r="B4" s="259"/>
      <c r="C4" s="257"/>
      <c r="D4" s="257"/>
      <c r="E4" s="257"/>
      <c r="F4" s="131" t="s">
        <v>0</v>
      </c>
      <c r="G4" s="131" t="s">
        <v>4</v>
      </c>
      <c r="H4" s="131" t="s">
        <v>0</v>
      </c>
      <c r="I4" s="131" t="s">
        <v>4</v>
      </c>
      <c r="J4" s="257"/>
    </row>
    <row r="5" spans="1:14" ht="14.25" customHeight="1" x14ac:dyDescent="0.25">
      <c r="A5" s="130">
        <v>1</v>
      </c>
      <c r="B5" s="130">
        <v>2</v>
      </c>
      <c r="C5" s="130">
        <v>3</v>
      </c>
      <c r="D5" s="130">
        <v>4</v>
      </c>
      <c r="E5" s="130">
        <v>5</v>
      </c>
      <c r="F5" s="130">
        <v>6</v>
      </c>
      <c r="G5" s="130">
        <v>7</v>
      </c>
      <c r="H5" s="130">
        <v>8</v>
      </c>
      <c r="I5" s="130">
        <v>9</v>
      </c>
      <c r="J5" s="130">
        <v>10</v>
      </c>
      <c r="M5" s="18"/>
    </row>
    <row r="6" spans="1:14" x14ac:dyDescent="0.25">
      <c r="A6" s="249" t="s">
        <v>5</v>
      </c>
      <c r="B6" s="249"/>
      <c r="C6" s="249"/>
      <c r="D6" s="249"/>
      <c r="E6" s="249"/>
      <c r="F6" s="249"/>
      <c r="G6" s="249"/>
      <c r="H6" s="249"/>
      <c r="I6" s="249"/>
      <c r="J6" s="249"/>
    </row>
    <row r="7" spans="1:14" x14ac:dyDescent="0.25">
      <c r="A7" s="77"/>
      <c r="B7" s="77"/>
      <c r="C7" s="117"/>
      <c r="D7" s="118"/>
      <c r="E7" s="123"/>
      <c r="F7" s="130"/>
      <c r="G7" s="130"/>
      <c r="H7" s="130"/>
      <c r="I7" s="130"/>
      <c r="J7" s="130"/>
    </row>
    <row r="8" spans="1:14" hidden="1" outlineLevel="1" x14ac:dyDescent="0.25">
      <c r="A8" s="94"/>
      <c r="B8" s="94"/>
      <c r="C8" s="119"/>
      <c r="D8" s="120"/>
      <c r="E8" s="121"/>
      <c r="F8" s="130"/>
      <c r="G8" s="130"/>
      <c r="H8" s="130"/>
      <c r="I8" s="130"/>
      <c r="J8" s="130"/>
    </row>
    <row r="9" spans="1:14" hidden="1" outlineLevel="1" x14ac:dyDescent="0.25">
      <c r="A9" s="94"/>
      <c r="B9" s="94"/>
      <c r="C9" s="119"/>
      <c r="D9" s="120"/>
      <c r="E9" s="121"/>
      <c r="F9" s="130"/>
      <c r="G9" s="130"/>
      <c r="H9" s="130"/>
      <c r="I9" s="130"/>
      <c r="J9" s="130"/>
    </row>
    <row r="10" spans="1:14" hidden="1" outlineLevel="1" x14ac:dyDescent="0.25">
      <c r="A10" s="94"/>
      <c r="B10" s="94"/>
      <c r="C10" s="119"/>
      <c r="D10" s="120"/>
      <c r="E10" s="121"/>
      <c r="F10" s="130"/>
      <c r="G10" s="130"/>
      <c r="H10" s="130"/>
      <c r="I10" s="130"/>
      <c r="J10" s="130"/>
    </row>
    <row r="11" spans="1:14" hidden="1" outlineLevel="1" x14ac:dyDescent="0.25">
      <c r="A11" s="94"/>
      <c r="B11" s="94"/>
      <c r="C11" s="119"/>
      <c r="D11" s="120"/>
      <c r="E11" s="121"/>
      <c r="F11" s="130"/>
      <c r="G11" s="130"/>
      <c r="H11" s="130"/>
      <c r="I11" s="130"/>
      <c r="J11" s="130"/>
    </row>
    <row r="12" spans="1:14" s="1" customFormat="1" collapsed="1" x14ac:dyDescent="0.25">
      <c r="A12" s="86" t="s">
        <v>17</v>
      </c>
      <c r="B12" s="87"/>
      <c r="C12" s="87" t="str">
        <f>"за "&amp;LOWER($A$6)</f>
        <v>за январь</v>
      </c>
      <c r="D12" s="88">
        <f>COUNTA(янв_пр)</f>
        <v>0</v>
      </c>
      <c r="E12" s="126">
        <f>SUM(янв_кол)</f>
        <v>0</v>
      </c>
      <c r="F12" s="90">
        <f>COUNTA(акт_вх_янв)+COUNTA(акт_отб_янв)</f>
        <v>0</v>
      </c>
      <c r="G12" s="91"/>
      <c r="H12" s="91"/>
      <c r="I12" s="91"/>
      <c r="J12" s="128">
        <f>SUM(кол_отб_янв)</f>
        <v>0</v>
      </c>
    </row>
    <row r="13" spans="1:14" x14ac:dyDescent="0.25">
      <c r="A13" s="250" t="s">
        <v>6</v>
      </c>
      <c r="B13" s="250"/>
      <c r="C13" s="250"/>
      <c r="D13" s="250"/>
      <c r="E13" s="250"/>
      <c r="F13" s="250"/>
      <c r="G13" s="250"/>
      <c r="H13" s="250"/>
      <c r="I13" s="250"/>
      <c r="J13" s="250"/>
      <c r="L13" s="1"/>
      <c r="M13" s="1"/>
      <c r="N13" s="1"/>
    </row>
    <row r="14" spans="1:14" x14ac:dyDescent="0.25">
      <c r="A14" s="108">
        <v>1</v>
      </c>
      <c r="B14" s="78" t="s">
        <v>56</v>
      </c>
      <c r="C14" s="79">
        <v>120.31399999999999</v>
      </c>
      <c r="D14" s="80">
        <v>43517</v>
      </c>
      <c r="E14" s="79">
        <v>6218</v>
      </c>
      <c r="F14" s="94"/>
      <c r="G14" s="94"/>
      <c r="H14" s="94"/>
      <c r="I14" s="94"/>
      <c r="J14" s="94"/>
      <c r="L14" s="1"/>
      <c r="M14" s="1"/>
      <c r="N14" s="1"/>
    </row>
    <row r="15" spans="1:14" hidden="1" outlineLevel="1" x14ac:dyDescent="0.25">
      <c r="A15" s="94"/>
      <c r="B15" s="94"/>
      <c r="C15" s="124"/>
      <c r="D15" s="120"/>
      <c r="E15" s="121"/>
      <c r="F15" s="94"/>
      <c r="G15" s="94"/>
      <c r="H15" s="94"/>
      <c r="I15" s="94"/>
      <c r="J15" s="94"/>
      <c r="L15" s="1"/>
      <c r="M15" s="1"/>
      <c r="N15" s="1"/>
    </row>
    <row r="16" spans="1:14" hidden="1" outlineLevel="1" x14ac:dyDescent="0.25">
      <c r="A16" s="94"/>
      <c r="B16" s="94"/>
      <c r="C16" s="124"/>
      <c r="D16" s="120"/>
      <c r="E16" s="121"/>
      <c r="F16" s="94"/>
      <c r="G16" s="94"/>
      <c r="H16" s="94"/>
      <c r="I16" s="94"/>
      <c r="J16" s="94"/>
      <c r="L16" s="1"/>
      <c r="M16" s="1"/>
      <c r="N16" s="1"/>
    </row>
    <row r="17" spans="1:14" hidden="1" outlineLevel="1" x14ac:dyDescent="0.25">
      <c r="A17" s="94"/>
      <c r="B17" s="94"/>
      <c r="C17" s="124"/>
      <c r="D17" s="120"/>
      <c r="E17" s="121"/>
      <c r="F17" s="94"/>
      <c r="G17" s="94"/>
      <c r="H17" s="94"/>
      <c r="I17" s="94"/>
      <c r="J17" s="94"/>
      <c r="L17" s="1"/>
      <c r="M17" s="70"/>
      <c r="N17" s="1"/>
    </row>
    <row r="18" spans="1:14" hidden="1" outlineLevel="1" x14ac:dyDescent="0.25">
      <c r="A18" s="94"/>
      <c r="B18" s="94"/>
      <c r="C18" s="124"/>
      <c r="D18" s="120"/>
      <c r="E18" s="121"/>
      <c r="F18" s="94"/>
      <c r="G18" s="94"/>
      <c r="H18" s="94"/>
      <c r="I18" s="94"/>
      <c r="J18" s="94"/>
      <c r="L18" s="1"/>
      <c r="M18" s="1"/>
      <c r="N18" s="1"/>
    </row>
    <row r="19" spans="1:14" collapsed="1" x14ac:dyDescent="0.25">
      <c r="A19" s="86" t="s">
        <v>17</v>
      </c>
      <c r="B19" s="87"/>
      <c r="C19" s="87" t="str">
        <f>"за "&amp;LOWER($A$13)</f>
        <v>за февраль</v>
      </c>
      <c r="D19" s="88">
        <f>COUNTA(фев_пр)</f>
        <v>1</v>
      </c>
      <c r="E19" s="126">
        <f>SUM(фев_кол)</f>
        <v>6218</v>
      </c>
      <c r="F19" s="90">
        <f>COUNTA(акт_вх_фев)+COUNTA(акт_отб_фев)</f>
        <v>0</v>
      </c>
      <c r="G19" s="91"/>
      <c r="H19" s="91"/>
      <c r="I19" s="91"/>
      <c r="J19" s="128">
        <f>SUM(кол_отб_фев)</f>
        <v>0</v>
      </c>
      <c r="L19" s="1"/>
      <c r="M19" s="1"/>
      <c r="N19" s="1"/>
    </row>
    <row r="20" spans="1:14" x14ac:dyDescent="0.25">
      <c r="A20" s="249" t="s">
        <v>7</v>
      </c>
      <c r="B20" s="249"/>
      <c r="C20" s="249"/>
      <c r="D20" s="249"/>
      <c r="E20" s="249"/>
      <c r="F20" s="249"/>
      <c r="G20" s="249"/>
      <c r="H20" s="249"/>
      <c r="I20" s="249"/>
      <c r="J20" s="249"/>
      <c r="L20" s="1"/>
      <c r="M20" s="1"/>
      <c r="N20" s="1"/>
    </row>
    <row r="21" spans="1:14" x14ac:dyDescent="0.25">
      <c r="A21" s="108">
        <v>2</v>
      </c>
      <c r="B21" s="98" t="s">
        <v>56</v>
      </c>
      <c r="C21" s="99" t="s">
        <v>163</v>
      </c>
      <c r="D21" s="100">
        <v>43539</v>
      </c>
      <c r="E21" s="99">
        <v>3130</v>
      </c>
      <c r="F21" s="94"/>
      <c r="G21" s="94"/>
      <c r="H21" s="94"/>
      <c r="I21" s="94"/>
      <c r="J21" s="94"/>
      <c r="L21" s="1"/>
      <c r="M21" s="1"/>
      <c r="N21" s="1"/>
    </row>
    <row r="22" spans="1:14" hidden="1" outlineLevel="1" x14ac:dyDescent="0.25">
      <c r="A22" s="94"/>
      <c r="B22" s="94"/>
      <c r="C22" s="119"/>
      <c r="D22" s="120"/>
      <c r="E22" s="94"/>
      <c r="F22" s="94"/>
      <c r="G22" s="94"/>
      <c r="H22" s="94"/>
      <c r="I22" s="94"/>
      <c r="J22" s="94"/>
      <c r="L22" s="1"/>
      <c r="M22" s="1"/>
      <c r="N22" s="1"/>
    </row>
    <row r="23" spans="1:14" hidden="1" outlineLevel="1" x14ac:dyDescent="0.25">
      <c r="A23" s="94"/>
      <c r="B23" s="94"/>
      <c r="C23" s="119"/>
      <c r="D23" s="120"/>
      <c r="E23" s="94"/>
      <c r="F23" s="94"/>
      <c r="G23" s="94"/>
      <c r="H23" s="94"/>
      <c r="I23" s="94"/>
      <c r="J23" s="94"/>
      <c r="L23" s="1"/>
      <c r="M23" s="1"/>
      <c r="N23" s="1"/>
    </row>
    <row r="24" spans="1:14" hidden="1" outlineLevel="1" x14ac:dyDescent="0.25">
      <c r="A24" s="94"/>
      <c r="B24" s="94"/>
      <c r="C24" s="119"/>
      <c r="D24" s="120"/>
      <c r="E24" s="94"/>
      <c r="F24" s="94"/>
      <c r="G24" s="94"/>
      <c r="H24" s="94"/>
      <c r="I24" s="94"/>
      <c r="J24" s="94"/>
      <c r="L24" s="1"/>
      <c r="M24" s="1"/>
      <c r="N24" s="1"/>
    </row>
    <row r="25" spans="1:14" hidden="1" outlineLevel="1" x14ac:dyDescent="0.25">
      <c r="A25" s="94"/>
      <c r="B25" s="94"/>
      <c r="C25" s="119"/>
      <c r="D25" s="120"/>
      <c r="E25" s="94"/>
      <c r="F25" s="94"/>
      <c r="G25" s="94"/>
      <c r="H25" s="94"/>
      <c r="I25" s="94"/>
      <c r="J25" s="94"/>
      <c r="L25" s="1"/>
      <c r="M25" s="1"/>
      <c r="N25" s="1"/>
    </row>
    <row r="26" spans="1:14" collapsed="1" x14ac:dyDescent="0.25">
      <c r="A26" s="86" t="s">
        <v>17</v>
      </c>
      <c r="B26" s="87"/>
      <c r="C26" s="87" t="str">
        <f>"за "&amp;LOWER($A$20)</f>
        <v>за март</v>
      </c>
      <c r="D26" s="88">
        <f>COUNTA(мрт_пр)</f>
        <v>1</v>
      </c>
      <c r="E26" s="126">
        <f>SUM(мрт_кол)</f>
        <v>3130</v>
      </c>
      <c r="F26" s="90">
        <f>COUNTA(акт_вх_мрт)+COUNTA(акт_отб_мрт)</f>
        <v>0</v>
      </c>
      <c r="G26" s="101"/>
      <c r="H26" s="101"/>
      <c r="I26" s="101"/>
      <c r="J26" s="128">
        <f>SUM(кол_отб_мрт)</f>
        <v>0</v>
      </c>
      <c r="L26" s="1"/>
      <c r="M26" s="1"/>
      <c r="N26" s="1"/>
    </row>
    <row r="27" spans="1:14" ht="21" customHeight="1" x14ac:dyDescent="0.25">
      <c r="A27" s="102" t="s">
        <v>17</v>
      </c>
      <c r="B27" s="103"/>
      <c r="C27" s="103" t="s">
        <v>18</v>
      </c>
      <c r="D27" s="104">
        <f>SUM(D12,D19,D26)</f>
        <v>2</v>
      </c>
      <c r="E27" s="127">
        <f>SUM(E12,E19,E26)</f>
        <v>9348</v>
      </c>
      <c r="F27" s="106">
        <f>SUM(F12,F19,F26)</f>
        <v>0</v>
      </c>
      <c r="G27" s="103"/>
      <c r="H27" s="103" t="str">
        <f>"Кп= "&amp;ROUNDDOWN((F27/D27)*100,1)&amp;"%"</f>
        <v>Кп= 0%</v>
      </c>
      <c r="I27" s="103" t="str">
        <f>"Км= "&amp;ROUNDDOWN((J27/E27)*100,1)&amp;"%"</f>
        <v>Км= 0%</v>
      </c>
      <c r="J27" s="129">
        <f>SUM(J12,J19,J26)</f>
        <v>0</v>
      </c>
      <c r="L27" s="1"/>
      <c r="M27" s="1"/>
      <c r="N27" s="1"/>
    </row>
    <row r="28" spans="1:14" ht="19.5" hidden="1" customHeight="1" outlineLevel="1" x14ac:dyDescent="0.25">
      <c r="A28" s="115" t="s">
        <v>20</v>
      </c>
      <c r="B28" s="115"/>
      <c r="C28" s="115"/>
      <c r="D28" s="116"/>
      <c r="E28" s="115"/>
      <c r="F28" s="115"/>
      <c r="G28" s="115" t="s">
        <v>21</v>
      </c>
      <c r="H28" s="115"/>
      <c r="I28" s="115"/>
      <c r="J28" s="115"/>
      <c r="L28" s="1"/>
      <c r="M28" s="1"/>
      <c r="N28" s="1"/>
    </row>
    <row r="29" spans="1:14" collapsed="1" x14ac:dyDescent="0.25">
      <c r="A29" s="251" t="s">
        <v>8</v>
      </c>
      <c r="B29" s="251"/>
      <c r="C29" s="251"/>
      <c r="D29" s="251"/>
      <c r="E29" s="251"/>
      <c r="F29" s="251"/>
      <c r="G29" s="251"/>
      <c r="H29" s="251"/>
      <c r="I29" s="251"/>
      <c r="J29" s="251"/>
      <c r="L29" s="1"/>
      <c r="M29" s="1"/>
      <c r="N29" s="1"/>
    </row>
    <row r="30" spans="1:14" x14ac:dyDescent="0.25">
      <c r="A30" s="155">
        <v>3</v>
      </c>
      <c r="B30" s="139" t="s">
        <v>56</v>
      </c>
      <c r="C30" s="145" t="s">
        <v>168</v>
      </c>
      <c r="D30" s="97">
        <v>43573</v>
      </c>
      <c r="E30" s="145">
        <v>4067</v>
      </c>
      <c r="F30" s="137"/>
      <c r="G30" s="137"/>
      <c r="H30" s="137"/>
      <c r="I30" s="137"/>
      <c r="J30" s="137"/>
      <c r="L30" s="1"/>
      <c r="M30" s="1"/>
      <c r="N30" s="1"/>
    </row>
    <row r="31" spans="1:14" outlineLevel="1" x14ac:dyDescent="0.25">
      <c r="A31" s="155">
        <v>4</v>
      </c>
      <c r="B31" s="139" t="s">
        <v>56</v>
      </c>
      <c r="C31" s="145" t="s">
        <v>172</v>
      </c>
      <c r="D31" s="97">
        <v>43578</v>
      </c>
      <c r="E31" s="145">
        <v>4470</v>
      </c>
      <c r="F31" s="137"/>
      <c r="G31" s="137"/>
      <c r="H31" s="137"/>
      <c r="I31" s="137"/>
      <c r="J31" s="137"/>
      <c r="L31" s="1"/>
      <c r="M31" s="1"/>
      <c r="N31" s="1"/>
    </row>
    <row r="32" spans="1:14" ht="30" outlineLevel="1" x14ac:dyDescent="0.25">
      <c r="A32" s="155">
        <v>5</v>
      </c>
      <c r="B32" s="139" t="s">
        <v>56</v>
      </c>
      <c r="C32" s="145" t="s">
        <v>174</v>
      </c>
      <c r="D32" s="97">
        <v>43579</v>
      </c>
      <c r="E32" s="145">
        <v>4500</v>
      </c>
      <c r="F32" s="137"/>
      <c r="G32" s="137"/>
      <c r="H32" s="137"/>
      <c r="I32" s="137"/>
      <c r="J32" s="137"/>
      <c r="L32" s="1"/>
      <c r="M32" s="1"/>
      <c r="N32" s="1"/>
    </row>
    <row r="33" spans="1:14" x14ac:dyDescent="0.25">
      <c r="A33" s="86" t="s">
        <v>17</v>
      </c>
      <c r="B33" s="87"/>
      <c r="C33" s="87" t="str">
        <f>"за "&amp;LOWER($A$29)</f>
        <v>за апрель</v>
      </c>
      <c r="D33" s="88">
        <f>COUNTA(апр_пр)</f>
        <v>3</v>
      </c>
      <c r="E33" s="126">
        <f>SUM(апр_кол)</f>
        <v>13037</v>
      </c>
      <c r="F33" s="90">
        <f>COUNTA(акт_вх_апр)+COUNTA(акт_отб_апр)</f>
        <v>0</v>
      </c>
      <c r="G33" s="101"/>
      <c r="H33" s="101"/>
      <c r="I33" s="101"/>
      <c r="J33" s="128">
        <f>SUM(кол_отб_апр)</f>
        <v>0</v>
      </c>
      <c r="L33" s="1"/>
      <c r="M33" s="1"/>
      <c r="N33" s="1"/>
    </row>
    <row r="34" spans="1:14" x14ac:dyDescent="0.25">
      <c r="A34" s="249" t="s">
        <v>9</v>
      </c>
      <c r="B34" s="249"/>
      <c r="C34" s="249"/>
      <c r="D34" s="249"/>
      <c r="E34" s="249"/>
      <c r="F34" s="249"/>
      <c r="G34" s="249"/>
      <c r="H34" s="249"/>
      <c r="I34" s="249"/>
      <c r="J34" s="249"/>
      <c r="L34" s="1"/>
      <c r="M34" s="1"/>
      <c r="N34" s="1"/>
    </row>
    <row r="35" spans="1:14" x14ac:dyDescent="0.25">
      <c r="A35" s="108">
        <v>6</v>
      </c>
      <c r="B35" s="139" t="s">
        <v>56</v>
      </c>
      <c r="C35" s="145" t="s">
        <v>191</v>
      </c>
      <c r="D35" s="97">
        <v>43593</v>
      </c>
      <c r="E35" s="145">
        <v>9849</v>
      </c>
      <c r="F35" s="136"/>
      <c r="G35" s="136"/>
      <c r="H35" s="136"/>
      <c r="I35" s="136"/>
      <c r="J35" s="136"/>
      <c r="L35" s="1"/>
      <c r="M35" s="1"/>
      <c r="N35" s="1"/>
    </row>
    <row r="36" spans="1:14" x14ac:dyDescent="0.25">
      <c r="A36" s="86" t="s">
        <v>17</v>
      </c>
      <c r="B36" s="87"/>
      <c r="C36" s="87" t="str">
        <f>"за "&amp;LOWER($A$34)</f>
        <v>за май</v>
      </c>
      <c r="D36" s="88">
        <f>COUNTA(май_пр)</f>
        <v>1</v>
      </c>
      <c r="E36" s="126">
        <f>SUM(май_кол)</f>
        <v>9849</v>
      </c>
      <c r="F36" s="90">
        <f>COUNTA(акт_вх_май)+COUNTA(акт_отб_май)</f>
        <v>0</v>
      </c>
      <c r="G36" s="101"/>
      <c r="H36" s="101"/>
      <c r="I36" s="101"/>
      <c r="J36" s="128">
        <f>SUM(кол_отб_май)</f>
        <v>0</v>
      </c>
    </row>
    <row r="37" spans="1:14" x14ac:dyDescent="0.25">
      <c r="A37" s="249" t="s">
        <v>10</v>
      </c>
      <c r="B37" s="249"/>
      <c r="C37" s="249"/>
      <c r="D37" s="249"/>
      <c r="E37" s="249"/>
      <c r="F37" s="249"/>
      <c r="G37" s="249"/>
      <c r="H37" s="249"/>
      <c r="I37" s="249"/>
      <c r="J37" s="249"/>
    </row>
    <row r="38" spans="1:14" x14ac:dyDescent="0.25">
      <c r="A38" s="108">
        <v>7</v>
      </c>
      <c r="B38" s="98" t="s">
        <v>56</v>
      </c>
      <c r="C38" s="112" t="s">
        <v>202</v>
      </c>
      <c r="D38" s="100">
        <v>43621</v>
      </c>
      <c r="E38" s="112">
        <v>6763</v>
      </c>
      <c r="F38" s="140"/>
      <c r="G38" s="140"/>
      <c r="H38" s="140"/>
      <c r="I38" s="140"/>
      <c r="J38" s="140"/>
    </row>
    <row r="39" spans="1:14" x14ac:dyDescent="0.25">
      <c r="A39" s="86" t="s">
        <v>17</v>
      </c>
      <c r="B39" s="87"/>
      <c r="C39" s="87" t="str">
        <f>"за "&amp;LOWER($A$37)</f>
        <v>за июнь</v>
      </c>
      <c r="D39" s="88">
        <f>COUNTA(июн_пр)</f>
        <v>1</v>
      </c>
      <c r="E39" s="126">
        <f>SUM(июн_кол)</f>
        <v>6763</v>
      </c>
      <c r="F39" s="90">
        <f>COUNTA(акт_вх_июн)+COUNTA(акт_отб_июн)</f>
        <v>0</v>
      </c>
      <c r="G39" s="101"/>
      <c r="H39" s="101"/>
      <c r="I39" s="101"/>
      <c r="J39" s="128">
        <f>SUM(кол_отб_июн)</f>
        <v>0</v>
      </c>
    </row>
    <row r="40" spans="1:14" ht="18.75" customHeight="1" x14ac:dyDescent="0.25">
      <c r="A40" s="102" t="s">
        <v>17</v>
      </c>
      <c r="B40" s="103"/>
      <c r="C40" s="103" t="s">
        <v>140</v>
      </c>
      <c r="D40" s="104">
        <f>SUM(D33,D36,D39)</f>
        <v>5</v>
      </c>
      <c r="E40" s="127">
        <f>SUM(E33,E36,E39)</f>
        <v>29649</v>
      </c>
      <c r="F40" s="106">
        <f>SUM(F33,F36,F39)</f>
        <v>0</v>
      </c>
      <c r="G40" s="103"/>
      <c r="H40" s="103" t="str">
        <f>"Кп= "&amp;ROUNDDOWN((F40/D40)*100,1)&amp;"%"</f>
        <v>Кп= 0%</v>
      </c>
      <c r="I40" s="103" t="str">
        <f>"Км= "&amp;ROUNDDOWN((J40/E40)*100,1)&amp;"%"</f>
        <v>Км= 0%</v>
      </c>
      <c r="J40" s="129">
        <f>SUM(J33,J36,J39)</f>
        <v>0</v>
      </c>
    </row>
    <row r="41" spans="1:14" ht="19.5" customHeight="1" x14ac:dyDescent="0.25">
      <c r="A41" s="102" t="s">
        <v>17</v>
      </c>
      <c r="B41" s="103"/>
      <c r="C41" s="103" t="s">
        <v>141</v>
      </c>
      <c r="D41" s="104">
        <f>SUM(D27,D40)</f>
        <v>7</v>
      </c>
      <c r="E41" s="127">
        <f>SUM(E40,E27)</f>
        <v>38997</v>
      </c>
      <c r="F41" s="106">
        <f>SUM(F40,F27)</f>
        <v>0</v>
      </c>
      <c r="G41" s="103"/>
      <c r="H41" s="103" t="str">
        <f>"Кп= "&amp;ROUNDDOWN((F41/D41)*100,1)&amp;"%"</f>
        <v>Кп= 0%</v>
      </c>
      <c r="I41" s="103" t="str">
        <f>"Км= "&amp;ROUNDDOWN((J41/E41)*100,1)&amp;"%"</f>
        <v>Км= 0%</v>
      </c>
      <c r="J41" s="129">
        <f>SUM(J40,J27)</f>
        <v>0</v>
      </c>
    </row>
    <row r="42" spans="1:14" ht="16.5" hidden="1" customHeight="1" outlineLevel="1" x14ac:dyDescent="0.25">
      <c r="A42" s="175" t="s">
        <v>212</v>
      </c>
      <c r="B42" s="175"/>
      <c r="C42" s="179"/>
      <c r="D42" s="184" t="s">
        <v>20</v>
      </c>
      <c r="E42" s="177"/>
      <c r="F42" s="177"/>
      <c r="G42" s="186" t="s">
        <v>21</v>
      </c>
      <c r="H42" s="177"/>
      <c r="I42" s="177"/>
      <c r="J42" s="178"/>
    </row>
    <row r="43" spans="1:14" ht="16.5" hidden="1" customHeight="1" outlineLevel="1" x14ac:dyDescent="0.25">
      <c r="A43" s="176" t="s">
        <v>213</v>
      </c>
      <c r="B43" s="176"/>
      <c r="C43" s="179"/>
      <c r="D43" s="185" t="s">
        <v>215</v>
      </c>
      <c r="E43" s="127"/>
      <c r="F43" s="106"/>
      <c r="G43" s="187" t="s">
        <v>217</v>
      </c>
      <c r="H43" s="103"/>
      <c r="I43" s="103"/>
      <c r="J43" s="129"/>
    </row>
    <row r="44" spans="1:14" ht="16.5" hidden="1" customHeight="1" outlineLevel="1" x14ac:dyDescent="0.25">
      <c r="A44" s="176" t="s">
        <v>214</v>
      </c>
      <c r="B44" s="180"/>
      <c r="C44" s="181"/>
      <c r="D44" s="177" t="s">
        <v>216</v>
      </c>
      <c r="E44" s="182"/>
      <c r="F44" s="182"/>
      <c r="G44" s="186" t="s">
        <v>218</v>
      </c>
      <c r="H44" s="182"/>
      <c r="I44" s="182"/>
      <c r="J44" s="183"/>
    </row>
    <row r="45" spans="1:14" collapsed="1" x14ac:dyDescent="0.25">
      <c r="A45" s="252" t="s">
        <v>11</v>
      </c>
      <c r="B45" s="252"/>
      <c r="C45" s="252"/>
      <c r="D45" s="252"/>
      <c r="E45" s="252"/>
      <c r="F45" s="252"/>
      <c r="G45" s="252"/>
      <c r="H45" s="252"/>
      <c r="I45" s="252"/>
      <c r="J45" s="252"/>
    </row>
    <row r="46" spans="1:14" x14ac:dyDescent="0.25">
      <c r="A46" s="108">
        <v>8</v>
      </c>
      <c r="B46" s="205" t="s">
        <v>56</v>
      </c>
      <c r="C46" s="206" t="s">
        <v>228</v>
      </c>
      <c r="D46" s="207">
        <v>43658</v>
      </c>
      <c r="E46" s="206">
        <v>7442</v>
      </c>
      <c r="F46" s="140"/>
      <c r="G46" s="140"/>
      <c r="H46" s="140"/>
      <c r="I46" s="140"/>
      <c r="J46" s="140"/>
    </row>
    <row r="47" spans="1:14" hidden="1" outlineLevel="1" x14ac:dyDescent="0.25">
      <c r="A47" s="32"/>
      <c r="B47" s="32"/>
      <c r="C47" s="32"/>
      <c r="D47" s="33"/>
      <c r="E47" s="32"/>
      <c r="F47" s="32"/>
      <c r="G47" s="32"/>
      <c r="H47" s="32"/>
      <c r="I47" s="32"/>
      <c r="J47" s="32"/>
    </row>
    <row r="48" spans="1:14" hidden="1" outlineLevel="1" x14ac:dyDescent="0.25">
      <c r="A48" s="32"/>
      <c r="B48" s="32"/>
      <c r="C48" s="32"/>
      <c r="D48" s="33"/>
      <c r="E48" s="32"/>
      <c r="F48" s="32"/>
      <c r="G48" s="32"/>
      <c r="H48" s="32"/>
      <c r="I48" s="32"/>
      <c r="J48" s="32"/>
    </row>
    <row r="49" spans="1:10" hidden="1" outlineLevel="1" x14ac:dyDescent="0.25">
      <c r="A49" s="32"/>
      <c r="B49" s="32"/>
      <c r="C49" s="32"/>
      <c r="D49" s="33"/>
      <c r="E49" s="32"/>
      <c r="F49" s="32"/>
      <c r="G49" s="32"/>
      <c r="H49" s="32"/>
      <c r="I49" s="32"/>
      <c r="J49" s="32"/>
    </row>
    <row r="50" spans="1:10" hidden="1" outlineLevel="1" x14ac:dyDescent="0.25">
      <c r="A50" s="32"/>
      <c r="B50" s="32"/>
      <c r="C50" s="32"/>
      <c r="D50" s="33"/>
      <c r="E50" s="32"/>
      <c r="F50" s="32"/>
      <c r="G50" s="32"/>
      <c r="H50" s="32"/>
      <c r="I50" s="32"/>
      <c r="J50" s="32"/>
    </row>
    <row r="51" spans="1:10" s="82" customFormat="1" collapsed="1" x14ac:dyDescent="0.25">
      <c r="A51" s="86" t="s">
        <v>17</v>
      </c>
      <c r="B51" s="87"/>
      <c r="C51" s="87" t="str">
        <f>"за "&amp;LOWER($A$45)</f>
        <v>за июль</v>
      </c>
      <c r="D51" s="88">
        <f>COUNTA(июл_пр)</f>
        <v>1</v>
      </c>
      <c r="E51" s="126">
        <f>SUM(июл_кол)</f>
        <v>7442</v>
      </c>
      <c r="F51" s="90">
        <f>COUNTA(акт_вх_июл)+COUNTA(акт_отб_июл)</f>
        <v>0</v>
      </c>
      <c r="G51" s="101"/>
      <c r="H51" s="101"/>
      <c r="I51" s="101"/>
      <c r="J51" s="128">
        <f>SUM(кол_отб_июл)</f>
        <v>0</v>
      </c>
    </row>
    <row r="52" spans="1:10" s="82" customFormat="1" x14ac:dyDescent="0.25">
      <c r="A52" s="249" t="s">
        <v>13</v>
      </c>
      <c r="B52" s="249"/>
      <c r="C52" s="249"/>
      <c r="D52" s="249"/>
      <c r="E52" s="249"/>
      <c r="F52" s="249"/>
      <c r="G52" s="249"/>
      <c r="H52" s="249"/>
      <c r="I52" s="249"/>
      <c r="J52" s="249"/>
    </row>
    <row r="53" spans="1:10" s="82" customFormat="1" x14ac:dyDescent="0.25">
      <c r="A53" s="108">
        <v>9</v>
      </c>
      <c r="B53" s="203" t="s">
        <v>56</v>
      </c>
      <c r="C53" s="145" t="s">
        <v>256</v>
      </c>
      <c r="D53" s="97">
        <v>43679</v>
      </c>
      <c r="E53" s="145">
        <v>7552</v>
      </c>
      <c r="F53" s="140"/>
      <c r="G53" s="140"/>
      <c r="H53" s="140"/>
      <c r="I53" s="140"/>
      <c r="J53" s="140"/>
    </row>
    <row r="54" spans="1:10" s="82" customFormat="1" hidden="1" outlineLevel="1" x14ac:dyDescent="0.25">
      <c r="A54" s="140"/>
      <c r="B54" s="140"/>
      <c r="C54" s="140"/>
      <c r="D54" s="156"/>
      <c r="E54" s="140"/>
      <c r="F54" s="140"/>
      <c r="G54" s="140"/>
      <c r="H54" s="140"/>
      <c r="I54" s="140"/>
      <c r="J54" s="140"/>
    </row>
    <row r="55" spans="1:10" s="82" customFormat="1" hidden="1" outlineLevel="1" x14ac:dyDescent="0.25">
      <c r="A55" s="140"/>
      <c r="B55" s="140"/>
      <c r="C55" s="140"/>
      <c r="D55" s="156"/>
      <c r="E55" s="140"/>
      <c r="F55" s="140"/>
      <c r="G55" s="140"/>
      <c r="H55" s="140"/>
      <c r="I55" s="140"/>
      <c r="J55" s="140"/>
    </row>
    <row r="56" spans="1:10" s="82" customFormat="1" hidden="1" outlineLevel="1" x14ac:dyDescent="0.25">
      <c r="A56" s="140"/>
      <c r="B56" s="140"/>
      <c r="C56" s="140"/>
      <c r="D56" s="156"/>
      <c r="E56" s="140"/>
      <c r="F56" s="140"/>
      <c r="G56" s="140"/>
      <c r="H56" s="140"/>
      <c r="I56" s="140"/>
      <c r="J56" s="140"/>
    </row>
    <row r="57" spans="1:10" s="82" customFormat="1" hidden="1" outlineLevel="1" x14ac:dyDescent="0.25">
      <c r="A57" s="140"/>
      <c r="B57" s="140"/>
      <c r="C57" s="140"/>
      <c r="D57" s="156"/>
      <c r="E57" s="140"/>
      <c r="F57" s="140"/>
      <c r="G57" s="140"/>
      <c r="H57" s="140"/>
      <c r="I57" s="140"/>
      <c r="J57" s="140"/>
    </row>
    <row r="58" spans="1:10" s="82" customFormat="1" collapsed="1" x14ac:dyDescent="0.25">
      <c r="A58" s="86" t="s">
        <v>17</v>
      </c>
      <c r="B58" s="87"/>
      <c r="C58" s="87" t="str">
        <f>"за "&amp;LOWER($A$52)</f>
        <v>за август</v>
      </c>
      <c r="D58" s="88">
        <f>COUNTA(авг_пр)</f>
        <v>1</v>
      </c>
      <c r="E58" s="126">
        <f>SUM(авг_кол)</f>
        <v>7552</v>
      </c>
      <c r="F58" s="90">
        <f>COUNTA(акт_вх_авг)+COUNTA(акт_отб_авг)</f>
        <v>0</v>
      </c>
      <c r="G58" s="101"/>
      <c r="H58" s="101"/>
      <c r="I58" s="101"/>
      <c r="J58" s="128">
        <f>SUM(кол_отб_авг)</f>
        <v>0</v>
      </c>
    </row>
    <row r="59" spans="1:10" s="82" customFormat="1" x14ac:dyDescent="0.25">
      <c r="A59" s="249" t="s">
        <v>12</v>
      </c>
      <c r="B59" s="249"/>
      <c r="C59" s="249"/>
      <c r="D59" s="249"/>
      <c r="E59" s="249"/>
      <c r="F59" s="249"/>
      <c r="G59" s="249"/>
      <c r="H59" s="249"/>
      <c r="I59" s="249"/>
      <c r="J59" s="249"/>
    </row>
    <row r="60" spans="1:10" s="82" customFormat="1" x14ac:dyDescent="0.25">
      <c r="A60" s="108">
        <v>10</v>
      </c>
      <c r="B60" s="98" t="s">
        <v>56</v>
      </c>
      <c r="C60" s="112" t="s">
        <v>264</v>
      </c>
      <c r="D60" s="100">
        <v>43713</v>
      </c>
      <c r="E60" s="112">
        <v>4408</v>
      </c>
      <c r="F60" s="140"/>
      <c r="G60" s="140"/>
      <c r="H60" s="140"/>
      <c r="I60" s="140"/>
      <c r="J60" s="140"/>
    </row>
    <row r="61" spans="1:10" s="82" customFormat="1" hidden="1" outlineLevel="1" x14ac:dyDescent="0.25">
      <c r="A61" s="140"/>
      <c r="B61" s="140"/>
      <c r="C61" s="140"/>
      <c r="D61" s="156"/>
      <c r="E61" s="140"/>
      <c r="F61" s="140"/>
      <c r="G61" s="140"/>
      <c r="H61" s="140"/>
      <c r="I61" s="140"/>
      <c r="J61" s="140"/>
    </row>
    <row r="62" spans="1:10" s="82" customFormat="1" hidden="1" outlineLevel="1" x14ac:dyDescent="0.25">
      <c r="A62" s="140"/>
      <c r="B62" s="140"/>
      <c r="C62" s="140"/>
      <c r="D62" s="156"/>
      <c r="E62" s="140"/>
      <c r="F62" s="140"/>
      <c r="G62" s="140"/>
      <c r="H62" s="140"/>
      <c r="I62" s="140"/>
      <c r="J62" s="140"/>
    </row>
    <row r="63" spans="1:10" s="82" customFormat="1" hidden="1" outlineLevel="1" x14ac:dyDescent="0.25">
      <c r="A63" s="140"/>
      <c r="B63" s="140"/>
      <c r="C63" s="140"/>
      <c r="D63" s="156"/>
      <c r="E63" s="140"/>
      <c r="F63" s="140"/>
      <c r="G63" s="140"/>
      <c r="H63" s="140"/>
      <c r="I63" s="140"/>
      <c r="J63" s="140"/>
    </row>
    <row r="64" spans="1:10" s="82" customFormat="1" hidden="1" outlineLevel="1" x14ac:dyDescent="0.25">
      <c r="A64" s="140"/>
      <c r="B64" s="140"/>
      <c r="C64" s="140"/>
      <c r="D64" s="156"/>
      <c r="E64" s="140"/>
      <c r="F64" s="140"/>
      <c r="G64" s="140"/>
      <c r="H64" s="140"/>
      <c r="I64" s="140"/>
      <c r="J64" s="140"/>
    </row>
    <row r="65" spans="1:10" s="82" customFormat="1" collapsed="1" x14ac:dyDescent="0.25">
      <c r="A65" s="86" t="s">
        <v>17</v>
      </c>
      <c r="B65" s="87"/>
      <c r="C65" s="87" t="str">
        <f>"за "&amp;LOWER($A$59)</f>
        <v>за сентябрь</v>
      </c>
      <c r="D65" s="88">
        <f>COUNTA(снт_пр)</f>
        <v>1</v>
      </c>
      <c r="E65" s="126">
        <f>SUM(снт_кол)</f>
        <v>4408</v>
      </c>
      <c r="F65" s="90">
        <f>COUNTA(акт_вх_снт)+COUNTA(акт_отб_снт)</f>
        <v>0</v>
      </c>
      <c r="G65" s="101"/>
      <c r="H65" s="101"/>
      <c r="I65" s="101"/>
      <c r="J65" s="128">
        <f>SUM(кол_отб_снт)</f>
        <v>0</v>
      </c>
    </row>
    <row r="66" spans="1:10" s="82" customFormat="1" ht="30" customHeight="1" x14ac:dyDescent="0.25">
      <c r="A66" s="102" t="s">
        <v>17</v>
      </c>
      <c r="B66" s="103"/>
      <c r="C66" s="103" t="s">
        <v>142</v>
      </c>
      <c r="D66" s="104">
        <f>SUM(D51,D58,D65)</f>
        <v>3</v>
      </c>
      <c r="E66" s="127">
        <f>SUM(E51,E58,E65)</f>
        <v>19402</v>
      </c>
      <c r="F66" s="106">
        <f>SUM(F51,F58,F65)</f>
        <v>0</v>
      </c>
      <c r="G66" s="103"/>
      <c r="H66" s="103" t="str">
        <f>"Кп= "&amp;ROUNDDOWN((F66/D66)*100,1)&amp;"%"</f>
        <v>Кп= 0%</v>
      </c>
      <c r="I66" s="103" t="str">
        <f>"Км= "&amp;ROUNDDOWN((J66/E66)*100,1)&amp;"%"</f>
        <v>Км= 0%</v>
      </c>
      <c r="J66" s="129">
        <f>SUM(J51,J58,J65)</f>
        <v>0</v>
      </c>
    </row>
    <row r="67" spans="1:10" s="82" customFormat="1" ht="30" customHeight="1" x14ac:dyDescent="0.25">
      <c r="A67" s="102" t="s">
        <v>17</v>
      </c>
      <c r="B67" s="103"/>
      <c r="C67" s="103" t="s">
        <v>144</v>
      </c>
      <c r="D67" s="104">
        <f>SUM(D41,D66)</f>
        <v>10</v>
      </c>
      <c r="E67" s="127">
        <f>SUM(E66,E41)</f>
        <v>58399</v>
      </c>
      <c r="F67" s="106">
        <f>SUM(F66,F41)</f>
        <v>0</v>
      </c>
      <c r="G67" s="103"/>
      <c r="H67" s="103" t="str">
        <f>"Кп= "&amp;ROUNDDOWN((F67/D67)*100,1)&amp;"%"</f>
        <v>Кп= 0%</v>
      </c>
      <c r="I67" s="103" t="str">
        <f>"Км= "&amp;ROUNDDOWN((J67/E67)*100,1)&amp;"%"</f>
        <v>Км= 0%</v>
      </c>
      <c r="J67" s="129">
        <f>SUM(J66,J41)</f>
        <v>0</v>
      </c>
    </row>
    <row r="68" spans="1:10" s="82" customFormat="1" ht="16.5" hidden="1" customHeight="1" outlineLevel="1" x14ac:dyDescent="0.25">
      <c r="A68" s="208" t="s">
        <v>212</v>
      </c>
      <c r="B68" s="208"/>
      <c r="C68" s="209"/>
      <c r="D68" s="210" t="s">
        <v>20</v>
      </c>
      <c r="E68" s="87"/>
      <c r="F68" s="87"/>
      <c r="G68" s="187" t="s">
        <v>21</v>
      </c>
      <c r="H68" s="87"/>
      <c r="I68" s="87"/>
      <c r="J68" s="211"/>
    </row>
    <row r="69" spans="1:10" ht="15" customHeight="1" collapsed="1" x14ac:dyDescent="0.25">
      <c r="A69" s="252" t="s">
        <v>14</v>
      </c>
      <c r="B69" s="252"/>
      <c r="C69" s="252"/>
      <c r="D69" s="252"/>
      <c r="E69" s="252"/>
      <c r="F69" s="252"/>
      <c r="G69" s="252"/>
      <c r="H69" s="252"/>
      <c r="I69" s="252"/>
      <c r="J69" s="252"/>
    </row>
    <row r="70" spans="1:10" s="82" customFormat="1" x14ac:dyDescent="0.25">
      <c r="A70" s="221">
        <v>11</v>
      </c>
      <c r="B70" s="220" t="s">
        <v>56</v>
      </c>
      <c r="C70" s="145" t="s">
        <v>280</v>
      </c>
      <c r="D70" s="97">
        <v>43755</v>
      </c>
      <c r="E70" s="145">
        <v>2100</v>
      </c>
      <c r="F70" s="140"/>
      <c r="G70" s="140"/>
      <c r="H70" s="140"/>
      <c r="I70" s="140"/>
      <c r="J70" s="140"/>
    </row>
    <row r="71" spans="1:10" s="82" customFormat="1" hidden="1" outlineLevel="1" x14ac:dyDescent="0.25">
      <c r="A71" s="140"/>
      <c r="B71" s="140"/>
      <c r="C71" s="140"/>
      <c r="D71" s="156"/>
      <c r="E71" s="140"/>
      <c r="F71" s="140"/>
      <c r="G71" s="140"/>
      <c r="H71" s="140"/>
      <c r="I71" s="140"/>
      <c r="J71" s="140"/>
    </row>
    <row r="72" spans="1:10" s="82" customFormat="1" hidden="1" outlineLevel="1" x14ac:dyDescent="0.25">
      <c r="A72" s="140"/>
      <c r="B72" s="140"/>
      <c r="C72" s="140"/>
      <c r="D72" s="156"/>
      <c r="E72" s="140"/>
      <c r="F72" s="140"/>
      <c r="G72" s="140"/>
      <c r="H72" s="140"/>
      <c r="I72" s="140"/>
      <c r="J72" s="140"/>
    </row>
    <row r="73" spans="1:10" s="82" customFormat="1" hidden="1" outlineLevel="1" x14ac:dyDescent="0.25">
      <c r="A73" s="140"/>
      <c r="B73" s="140"/>
      <c r="C73" s="140"/>
      <c r="D73" s="156"/>
      <c r="E73" s="140"/>
      <c r="F73" s="140"/>
      <c r="G73" s="140"/>
      <c r="H73" s="140"/>
      <c r="I73" s="140"/>
      <c r="J73" s="140"/>
    </row>
    <row r="74" spans="1:10" s="82" customFormat="1" hidden="1" outlineLevel="1" x14ac:dyDescent="0.25">
      <c r="A74" s="140"/>
      <c r="B74" s="140"/>
      <c r="C74" s="140"/>
      <c r="D74" s="156"/>
      <c r="E74" s="140"/>
      <c r="F74" s="140"/>
      <c r="G74" s="140"/>
      <c r="H74" s="140"/>
      <c r="I74" s="140"/>
      <c r="J74" s="140"/>
    </row>
    <row r="75" spans="1:10" s="82" customFormat="1" collapsed="1" x14ac:dyDescent="0.25">
      <c r="A75" s="86" t="s">
        <v>17</v>
      </c>
      <c r="B75" s="87"/>
      <c r="C75" s="87" t="str">
        <f>"за "&amp;LOWER($A$69)</f>
        <v>за октябрь</v>
      </c>
      <c r="D75" s="88">
        <f>COUNTA(окт_пр)</f>
        <v>1</v>
      </c>
      <c r="E75" s="126">
        <f>SUM(окт_кол)</f>
        <v>2100</v>
      </c>
      <c r="F75" s="90">
        <f>COUNTA(акт_вх_окт)+COUNTA(акт_отб_окт)</f>
        <v>0</v>
      </c>
      <c r="G75" s="101"/>
      <c r="H75" s="101"/>
      <c r="I75" s="101"/>
      <c r="J75" s="128">
        <f>SUM(кол_отб_окт)</f>
        <v>0</v>
      </c>
    </row>
    <row r="76" spans="1:10" s="82" customFormat="1" x14ac:dyDescent="0.25">
      <c r="A76" s="249" t="s">
        <v>15</v>
      </c>
      <c r="B76" s="249"/>
      <c r="C76" s="249"/>
      <c r="D76" s="249"/>
      <c r="E76" s="249"/>
      <c r="F76" s="249"/>
      <c r="G76" s="249"/>
      <c r="H76" s="249"/>
      <c r="I76" s="249"/>
      <c r="J76" s="249"/>
    </row>
    <row r="77" spans="1:10" s="82" customFormat="1" x14ac:dyDescent="0.25">
      <c r="A77" s="221">
        <v>12</v>
      </c>
      <c r="B77" s="220" t="s">
        <v>56</v>
      </c>
      <c r="C77" s="213">
        <v>39771</v>
      </c>
      <c r="D77" s="97">
        <v>43775</v>
      </c>
      <c r="E77" s="145">
        <v>3412</v>
      </c>
      <c r="F77" s="140"/>
      <c r="G77" s="140"/>
      <c r="H77" s="140"/>
      <c r="I77" s="140"/>
      <c r="J77" s="140"/>
    </row>
    <row r="78" spans="1:10" s="82" customFormat="1" hidden="1" outlineLevel="1" x14ac:dyDescent="0.25">
      <c r="A78" s="140"/>
      <c r="B78" s="140"/>
      <c r="C78" s="140"/>
      <c r="D78" s="156"/>
      <c r="E78" s="140"/>
      <c r="F78" s="140"/>
      <c r="G78" s="140"/>
      <c r="H78" s="140"/>
      <c r="I78" s="140"/>
      <c r="J78" s="140"/>
    </row>
    <row r="79" spans="1:10" s="82" customFormat="1" hidden="1" outlineLevel="1" x14ac:dyDescent="0.25">
      <c r="A79" s="140"/>
      <c r="B79" s="140"/>
      <c r="C79" s="140"/>
      <c r="D79" s="156"/>
      <c r="E79" s="140"/>
      <c r="F79" s="140"/>
      <c r="G79" s="140"/>
      <c r="H79" s="140"/>
      <c r="I79" s="140"/>
      <c r="J79" s="140"/>
    </row>
    <row r="80" spans="1:10" s="82" customFormat="1" hidden="1" outlineLevel="1" x14ac:dyDescent="0.25">
      <c r="A80" s="140"/>
      <c r="B80" s="140"/>
      <c r="C80" s="140"/>
      <c r="D80" s="156"/>
      <c r="E80" s="140"/>
      <c r="F80" s="140"/>
      <c r="G80" s="140"/>
      <c r="H80" s="140"/>
      <c r="I80" s="140"/>
      <c r="J80" s="140"/>
    </row>
    <row r="81" spans="1:10" s="82" customFormat="1" hidden="1" outlineLevel="1" x14ac:dyDescent="0.25">
      <c r="A81" s="140"/>
      <c r="B81" s="140"/>
      <c r="C81" s="140"/>
      <c r="D81" s="156"/>
      <c r="E81" s="140"/>
      <c r="F81" s="140"/>
      <c r="G81" s="140"/>
      <c r="H81" s="140"/>
      <c r="I81" s="140"/>
      <c r="J81" s="140"/>
    </row>
    <row r="82" spans="1:10" s="82" customFormat="1" collapsed="1" x14ac:dyDescent="0.25">
      <c r="A82" s="86" t="s">
        <v>17</v>
      </c>
      <c r="B82" s="87"/>
      <c r="C82" s="87" t="str">
        <f>"за "&amp;LOWER($A$76)</f>
        <v>за ноябрь</v>
      </c>
      <c r="D82" s="88">
        <f>COUNTA(нбр_пр)</f>
        <v>1</v>
      </c>
      <c r="E82" s="126">
        <f>SUM(нбр_кол)</f>
        <v>3412</v>
      </c>
      <c r="F82" s="90">
        <f>COUNTA(акт_вх_нбр)+COUNTA(акт_отб_нбр)</f>
        <v>0</v>
      </c>
      <c r="G82" s="101"/>
      <c r="H82" s="101"/>
      <c r="I82" s="101"/>
      <c r="J82" s="128">
        <f>SUM(кол_отб_нбр)</f>
        <v>0</v>
      </c>
    </row>
    <row r="83" spans="1:10" s="82" customFormat="1" x14ac:dyDescent="0.25">
      <c r="A83" s="249" t="s">
        <v>16</v>
      </c>
      <c r="B83" s="249"/>
      <c r="C83" s="249"/>
      <c r="D83" s="249"/>
      <c r="E83" s="249"/>
      <c r="F83" s="249"/>
      <c r="G83" s="249"/>
      <c r="H83" s="249"/>
      <c r="I83" s="249"/>
      <c r="J83" s="249"/>
    </row>
    <row r="84" spans="1:10" s="82" customFormat="1" x14ac:dyDescent="0.25">
      <c r="A84" s="221">
        <v>13</v>
      </c>
      <c r="B84" s="98" t="s">
        <v>56</v>
      </c>
      <c r="C84" s="222">
        <v>136590</v>
      </c>
      <c r="D84" s="100">
        <v>43810</v>
      </c>
      <c r="E84" s="112">
        <v>2546</v>
      </c>
      <c r="F84" s="140"/>
      <c r="G84" s="140"/>
      <c r="H84" s="140"/>
      <c r="I84" s="140"/>
      <c r="J84" s="140"/>
    </row>
    <row r="85" spans="1:10" s="82" customFormat="1" hidden="1" outlineLevel="1" x14ac:dyDescent="0.25">
      <c r="A85" s="140"/>
      <c r="B85" s="140"/>
      <c r="C85" s="140"/>
      <c r="D85" s="140"/>
      <c r="E85" s="140"/>
      <c r="F85" s="140"/>
      <c r="G85" s="140"/>
      <c r="H85" s="140"/>
      <c r="I85" s="140"/>
      <c r="J85" s="140"/>
    </row>
    <row r="86" spans="1:10" s="82" customFormat="1" hidden="1" outlineLevel="1" x14ac:dyDescent="0.25">
      <c r="A86" s="140"/>
      <c r="B86" s="140"/>
      <c r="C86" s="140"/>
      <c r="D86" s="140"/>
      <c r="E86" s="140"/>
      <c r="F86" s="140"/>
      <c r="G86" s="140"/>
      <c r="H86" s="140"/>
      <c r="I86" s="140"/>
      <c r="J86" s="140"/>
    </row>
    <row r="87" spans="1:10" s="82" customFormat="1" hidden="1" outlineLevel="1" x14ac:dyDescent="0.25">
      <c r="A87" s="140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s="82" customFormat="1" hidden="1" outlineLevel="1" x14ac:dyDescent="0.25">
      <c r="A88" s="140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s="82" customFormat="1" collapsed="1" x14ac:dyDescent="0.25">
      <c r="A89" s="86" t="s">
        <v>17</v>
      </c>
      <c r="B89" s="87"/>
      <c r="C89" s="87" t="str">
        <f>"за "&amp;LOWER($A$83)</f>
        <v>за декабрь</v>
      </c>
      <c r="D89" s="88">
        <f>COUNTA(дкб_пр)</f>
        <v>1</v>
      </c>
      <c r="E89" s="126">
        <f>SUM(дкб_кол)</f>
        <v>2546</v>
      </c>
      <c r="F89" s="90">
        <f>COUNTA(акт_вх_дкб)+COUNTA(акт_отб_дкб)</f>
        <v>0</v>
      </c>
      <c r="G89" s="101"/>
      <c r="H89" s="101"/>
      <c r="I89" s="101"/>
      <c r="J89" s="128">
        <f>SUM(кол_отб_дкб)</f>
        <v>0</v>
      </c>
    </row>
    <row r="90" spans="1:10" s="82" customFormat="1" ht="32.25" customHeight="1" x14ac:dyDescent="0.25">
      <c r="A90" s="102" t="s">
        <v>17</v>
      </c>
      <c r="B90" s="103"/>
      <c r="C90" s="103" t="s">
        <v>143</v>
      </c>
      <c r="D90" s="104">
        <f>SUM(D75,D82,D89)</f>
        <v>3</v>
      </c>
      <c r="E90" s="127">
        <f>SUM(E75,E82,E89)</f>
        <v>8058</v>
      </c>
      <c r="F90" s="106">
        <f>SUM(F75,F82,F89)</f>
        <v>0</v>
      </c>
      <c r="G90" s="103"/>
      <c r="H90" s="103" t="str">
        <f>"Кп= "&amp;ROUNDDOWN((F90/D90)*100,1)&amp;"%"</f>
        <v>Кп= 0%</v>
      </c>
      <c r="I90" s="103" t="str">
        <f>"Км= "&amp;ROUNDDOWN((J90/E90)*100,1)&amp;"%"</f>
        <v>Км= 0%</v>
      </c>
      <c r="J90" s="129">
        <f>SUM(J75,J82,J89)</f>
        <v>0</v>
      </c>
    </row>
    <row r="91" spans="1:10" s="82" customFormat="1" ht="27" customHeight="1" x14ac:dyDescent="0.25">
      <c r="A91" s="102" t="s">
        <v>17</v>
      </c>
      <c r="B91" s="103"/>
      <c r="C91" s="103" t="s">
        <v>145</v>
      </c>
      <c r="D91" s="104">
        <f>SUM(D90,D67)</f>
        <v>13</v>
      </c>
      <c r="E91" s="127">
        <f>SUM(E90,E67)</f>
        <v>66457</v>
      </c>
      <c r="F91" s="106">
        <f>SUM(F90,F67)</f>
        <v>0</v>
      </c>
      <c r="G91" s="103"/>
      <c r="H91" s="103" t="str">
        <f>"Кп= "&amp;ROUNDDOWN((F91/D91)*100,1)&amp;"%"</f>
        <v>Кп= 0%</v>
      </c>
      <c r="I91" s="103" t="str">
        <f>"Км= "&amp;ROUNDDOWN((J91/E91)*100,1)&amp;"%"</f>
        <v>Км= 0%</v>
      </c>
      <c r="J91" s="129">
        <f>SUM(J90,J67)</f>
        <v>0</v>
      </c>
    </row>
    <row r="92" spans="1:10" ht="26.25" customHeight="1" x14ac:dyDescent="0.25">
      <c r="A92" s="8" t="s">
        <v>20</v>
      </c>
      <c r="B92" s="8"/>
      <c r="C92" s="8"/>
      <c r="D92" s="9"/>
      <c r="E92" s="8"/>
      <c r="F92" s="8"/>
      <c r="G92" s="8" t="s">
        <v>21</v>
      </c>
      <c r="H92" s="8"/>
      <c r="I92" s="8"/>
      <c r="J92" s="8"/>
    </row>
  </sheetData>
  <sheetProtection algorithmName="SHA-512" hashValue="8/V7qegzqsf/ph12sFOFLJiHqlx+BCkY+7BSfTN6MNePcOGq5TJZK0Ih2Vt3hYKSAwlKuFpNXLsCITTW0vUEmA==" saltValue="6TGiXYG+dcejByGPRIqotQ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3:J83"/>
    <mergeCell ref="A6:J6"/>
    <mergeCell ref="A13:J13"/>
    <mergeCell ref="A20:J20"/>
    <mergeCell ref="A29:J29"/>
    <mergeCell ref="A34:J34"/>
    <mergeCell ref="A37:J37"/>
    <mergeCell ref="A45:J45"/>
    <mergeCell ref="A52:J52"/>
    <mergeCell ref="A59:J59"/>
    <mergeCell ref="A69:J69"/>
    <mergeCell ref="A76:J7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landscape" r:id="rId1"/>
  <headerFooter>
    <oddFooter>Страница  &amp;P из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N103"/>
  <sheetViews>
    <sheetView zoomScaleNormal="100" workbookViewId="0">
      <pane ySplit="4" topLeftCell="A5" activePane="bottomLeft" state="frozen"/>
      <selection activeCell="A2" sqref="A2:J2"/>
      <selection pane="bottomLeft" activeCell="G110" sqref="G110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4"/>
      <c r="B1" s="34"/>
      <c r="C1" s="34"/>
      <c r="D1" s="34"/>
      <c r="E1" s="34"/>
      <c r="F1" s="34"/>
      <c r="G1" s="34"/>
      <c r="H1" s="34"/>
      <c r="I1" s="34"/>
      <c r="J1" s="46" t="s">
        <v>97</v>
      </c>
    </row>
    <row r="2" spans="1:14" ht="33.75" customHeight="1" x14ac:dyDescent="0.4">
      <c r="A2" s="282" t="s">
        <v>98</v>
      </c>
      <c r="B2" s="282"/>
      <c r="C2" s="282"/>
      <c r="D2" s="282"/>
      <c r="E2" s="282"/>
      <c r="F2" s="282"/>
      <c r="G2" s="282"/>
      <c r="H2" s="282"/>
      <c r="I2" s="282"/>
      <c r="J2" s="282"/>
    </row>
    <row r="3" spans="1:14" x14ac:dyDescent="0.25">
      <c r="A3" s="284" t="s">
        <v>0</v>
      </c>
      <c r="B3" s="287" t="s">
        <v>100</v>
      </c>
      <c r="C3" s="284" t="s">
        <v>1</v>
      </c>
      <c r="D3" s="283" t="s">
        <v>23</v>
      </c>
      <c r="E3" s="284" t="s">
        <v>99</v>
      </c>
      <c r="F3" s="284" t="s">
        <v>3</v>
      </c>
      <c r="G3" s="284"/>
      <c r="H3" s="285" t="s">
        <v>2</v>
      </c>
      <c r="I3" s="286"/>
      <c r="J3" s="283" t="s">
        <v>96</v>
      </c>
    </row>
    <row r="4" spans="1:14" ht="32.25" customHeight="1" x14ac:dyDescent="0.25">
      <c r="A4" s="284"/>
      <c r="B4" s="288"/>
      <c r="C4" s="284"/>
      <c r="D4" s="284"/>
      <c r="E4" s="284"/>
      <c r="F4" s="10" t="s">
        <v>0</v>
      </c>
      <c r="G4" s="10" t="s">
        <v>4</v>
      </c>
      <c r="H4" s="10" t="s">
        <v>0</v>
      </c>
      <c r="I4" s="10" t="s">
        <v>4</v>
      </c>
      <c r="J4" s="284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30">
        <f>COUNTA(янв_пр)</f>
        <v>0</v>
      </c>
      <c r="E12" s="25">
        <f>SUM(янв_кол)</f>
        <v>0</v>
      </c>
      <c r="F12" s="26">
        <f>COUNTA(акт_вх_янв)+COUNTA(акт_отб_янв)</f>
        <v>0</v>
      </c>
      <c r="G12" s="11"/>
      <c r="H12" s="11"/>
      <c r="I12" s="11"/>
      <c r="J12" s="27">
        <f>SUM(кол_отб_янв)</f>
        <v>0</v>
      </c>
    </row>
    <row r="13" spans="1:14" x14ac:dyDescent="0.25">
      <c r="A13" s="251" t="s">
        <v>6</v>
      </c>
      <c r="B13" s="251"/>
      <c r="C13" s="251"/>
      <c r="D13" s="251"/>
      <c r="E13" s="251"/>
      <c r="F13" s="251"/>
      <c r="G13" s="251"/>
      <c r="H13" s="251"/>
      <c r="I13" s="251"/>
      <c r="J13" s="251"/>
      <c r="L13" s="1"/>
      <c r="M13" s="1"/>
      <c r="N13" s="1"/>
    </row>
    <row r="14" spans="1:14" x14ac:dyDescent="0.25">
      <c r="A14" s="12"/>
      <c r="B14" s="12"/>
      <c r="C14" s="28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9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9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9"/>
      <c r="D17" s="3"/>
      <c r="E17" s="4"/>
      <c r="F17" s="2"/>
      <c r="G17" s="2"/>
      <c r="H17" s="2"/>
      <c r="I17" s="2"/>
      <c r="J17" s="2"/>
      <c r="L17" s="1"/>
      <c r="M17" s="70"/>
      <c r="N17" s="1"/>
    </row>
    <row r="18" spans="1:14" hidden="1" outlineLevel="1" x14ac:dyDescent="0.25">
      <c r="A18" s="2"/>
      <c r="B18" s="2"/>
      <c r="C18" s="29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30">
        <f>COUNTA(фев_пр)</f>
        <v>0</v>
      </c>
      <c r="E19" s="25">
        <f>SUM(фев_кол)</f>
        <v>0</v>
      </c>
      <c r="F19" s="26">
        <f>COUNTA(акт_вх_фев)+COUNTA(акт_отб_фев)</f>
        <v>0</v>
      </c>
      <c r="G19" s="11"/>
      <c r="H19" s="11"/>
      <c r="I19" s="11"/>
      <c r="J19" s="27">
        <f>SUM(кол_отб_фев)</f>
        <v>0</v>
      </c>
      <c r="L19" s="1"/>
      <c r="M19" s="1"/>
      <c r="N19" s="1"/>
    </row>
    <row r="20" spans="1:14" x14ac:dyDescent="0.25">
      <c r="A20" s="252" t="s">
        <v>7</v>
      </c>
      <c r="B20" s="252"/>
      <c r="C20" s="252"/>
      <c r="D20" s="252"/>
      <c r="E20" s="252"/>
      <c r="F20" s="252"/>
      <c r="G20" s="252"/>
      <c r="H20" s="252"/>
      <c r="I20" s="252"/>
      <c r="J20" s="252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30">
        <f>COUNTA(мрт_пр)</f>
        <v>0</v>
      </c>
      <c r="E26" s="25">
        <f>SUM(мрт_кол)</f>
        <v>0</v>
      </c>
      <c r="F26" s="26">
        <f>COUNTA(акт_вх_мрт)+COUNTA(акт_отб_мрт)</f>
        <v>0</v>
      </c>
      <c r="G26" s="45"/>
      <c r="H26" s="45"/>
      <c r="I26" s="45"/>
      <c r="J26" s="27">
        <f>SUM(кол_отб_мрт)</f>
        <v>0</v>
      </c>
      <c r="L26" s="1"/>
      <c r="M26" s="1"/>
      <c r="N26" s="1"/>
    </row>
    <row r="27" spans="1:14" ht="31.5" customHeight="1" x14ac:dyDescent="0.25">
      <c r="A27" s="39" t="s">
        <v>17</v>
      </c>
      <c r="B27" s="40"/>
      <c r="C27" s="40" t="s">
        <v>18</v>
      </c>
      <c r="D27" s="41">
        <f>SUM(D12,D19,D26)</f>
        <v>0</v>
      </c>
      <c r="E27" s="42">
        <f>SUM(E12,E19,E26)</f>
        <v>0</v>
      </c>
      <c r="F27" s="43">
        <f>SUM(F12,F19,F26)</f>
        <v>0</v>
      </c>
      <c r="G27" s="40"/>
      <c r="H27" s="40" t="e">
        <f>"Кп= "&amp;ROUNDDOWN((F27/D27)*100,1)&amp;"%"</f>
        <v>#DIV/0!</v>
      </c>
      <c r="I27" s="40" t="e">
        <f>"Км= "&amp;ROUNDDOWN((J27/E27)*100,2)&amp;"%"</f>
        <v>#DIV/0!</v>
      </c>
      <c r="J27" s="44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251" t="s">
        <v>8</v>
      </c>
      <c r="B30" s="251"/>
      <c r="C30" s="251"/>
      <c r="D30" s="251"/>
      <c r="E30" s="251"/>
      <c r="F30" s="251"/>
      <c r="G30" s="251"/>
      <c r="H30" s="251"/>
      <c r="I30" s="251"/>
      <c r="J30" s="251"/>
      <c r="L30" s="1"/>
      <c r="M30" s="1"/>
      <c r="N30" s="1"/>
    </row>
    <row r="31" spans="1:14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L31" s="1"/>
      <c r="M31" s="1"/>
      <c r="N31" s="1"/>
    </row>
    <row r="32" spans="1:14" hidden="1" outlineLevel="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L32" s="1"/>
      <c r="M32" s="1"/>
      <c r="N32" s="1"/>
    </row>
    <row r="33" spans="1:14" hidden="1" outlineLevel="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L33" s="1"/>
      <c r="M33" s="1"/>
      <c r="N33" s="1"/>
    </row>
    <row r="34" spans="1:14" hidden="1" outlineLevel="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L34" s="1"/>
      <c r="M34" s="1"/>
      <c r="N34" s="1"/>
    </row>
    <row r="35" spans="1:14" hidden="1" outlineLevel="1" x14ac:dyDescent="0.25">
      <c r="A35" s="32"/>
      <c r="B35" s="32"/>
      <c r="C35" s="32"/>
      <c r="D35" s="33"/>
      <c r="E35" s="32"/>
      <c r="F35" s="32"/>
      <c r="G35" s="32"/>
      <c r="H35" s="32"/>
      <c r="I35" s="32"/>
      <c r="J35" s="32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30">
        <f>COUNTA(апр_пр)</f>
        <v>0</v>
      </c>
      <c r="E36" s="25">
        <f>SUM(апр_кол)</f>
        <v>0</v>
      </c>
      <c r="F36" s="26">
        <f>COUNTA(акт_вх_апр)+COUNTA(акт_отб_апр)</f>
        <v>0</v>
      </c>
      <c r="G36" s="45"/>
      <c r="H36" s="45"/>
      <c r="I36" s="45"/>
      <c r="J36" s="27">
        <f>SUM(кол_отб_апр)</f>
        <v>0</v>
      </c>
      <c r="L36" s="1"/>
      <c r="M36" s="1"/>
      <c r="N36" s="1"/>
    </row>
    <row r="37" spans="1:14" x14ac:dyDescent="0.25">
      <c r="A37" s="252" t="s">
        <v>9</v>
      </c>
      <c r="B37" s="252"/>
      <c r="C37" s="252"/>
      <c r="D37" s="252"/>
      <c r="E37" s="252"/>
      <c r="F37" s="252"/>
      <c r="G37" s="252"/>
      <c r="H37" s="252"/>
      <c r="I37" s="252"/>
      <c r="J37" s="252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L39" s="1"/>
      <c r="M39" s="1"/>
      <c r="N39" s="1"/>
    </row>
    <row r="40" spans="1:14" hidden="1" outlineLevel="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L40" s="1"/>
      <c r="M40" s="1"/>
      <c r="N40" s="1"/>
    </row>
    <row r="41" spans="1:14" hidden="1" outlineLevel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L41" s="1"/>
      <c r="M41" s="1"/>
      <c r="N41" s="1"/>
    </row>
    <row r="42" spans="1:14" hidden="1" outlineLevel="1" x14ac:dyDescent="0.25">
      <c r="A42" s="35"/>
      <c r="B42" s="35"/>
      <c r="C42" s="35"/>
      <c r="D42" s="36"/>
      <c r="E42" s="35"/>
      <c r="F42" s="35"/>
      <c r="G42" s="35"/>
      <c r="H42" s="35"/>
      <c r="I42" s="35"/>
      <c r="J42" s="35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30">
        <f>COUNTA(май_пр)</f>
        <v>0</v>
      </c>
      <c r="E43" s="25">
        <f>SUM(май_кол)</f>
        <v>0</v>
      </c>
      <c r="F43" s="26">
        <f>COUNTA(акт_вх_май)+COUNTA(акт_отб_май)</f>
        <v>0</v>
      </c>
      <c r="G43" s="45"/>
      <c r="H43" s="45"/>
      <c r="I43" s="45"/>
      <c r="J43" s="27">
        <f>SUM(кол_отб_май)</f>
        <v>0</v>
      </c>
    </row>
    <row r="44" spans="1:14" x14ac:dyDescent="0.25">
      <c r="A44" s="252" t="s">
        <v>10</v>
      </c>
      <c r="B44" s="252"/>
      <c r="C44" s="252"/>
      <c r="D44" s="252"/>
      <c r="E44" s="252"/>
      <c r="F44" s="252"/>
      <c r="G44" s="252"/>
      <c r="H44" s="252"/>
      <c r="I44" s="252"/>
      <c r="J44" s="252"/>
    </row>
    <row r="45" spans="1:14" x14ac:dyDescent="0.25">
      <c r="A45" s="32"/>
      <c r="B45" s="32"/>
      <c r="C45" s="32"/>
      <c r="D45" s="33"/>
      <c r="E45" s="32"/>
      <c r="F45" s="32"/>
      <c r="G45" s="32"/>
      <c r="H45" s="32"/>
      <c r="I45" s="32"/>
      <c r="J45" s="32"/>
    </row>
    <row r="46" spans="1:14" hidden="1" outlineLevel="1" x14ac:dyDescent="0.25">
      <c r="A46" s="32"/>
      <c r="B46" s="32"/>
      <c r="C46" s="32"/>
      <c r="D46" s="33"/>
      <c r="E46" s="32"/>
      <c r="F46" s="32"/>
      <c r="G46" s="32"/>
      <c r="H46" s="32"/>
      <c r="I46" s="32"/>
      <c r="J46" s="32"/>
    </row>
    <row r="47" spans="1:14" hidden="1" outlineLevel="1" x14ac:dyDescent="0.25">
      <c r="A47" s="32"/>
      <c r="B47" s="32"/>
      <c r="C47" s="32"/>
      <c r="D47" s="33"/>
      <c r="E47" s="32"/>
      <c r="F47" s="32"/>
      <c r="G47" s="32"/>
      <c r="H47" s="32"/>
      <c r="I47" s="32"/>
      <c r="J47" s="32"/>
    </row>
    <row r="48" spans="1:14" hidden="1" outlineLevel="1" x14ac:dyDescent="0.25">
      <c r="A48" s="32"/>
      <c r="B48" s="32"/>
      <c r="C48" s="32"/>
      <c r="D48" s="33"/>
      <c r="E48" s="32"/>
      <c r="F48" s="32"/>
      <c r="G48" s="32"/>
      <c r="H48" s="32"/>
      <c r="I48" s="32"/>
      <c r="J48" s="32"/>
    </row>
    <row r="49" spans="1:10" hidden="1" outlineLevel="1" x14ac:dyDescent="0.25">
      <c r="A49" s="32"/>
      <c r="B49" s="32"/>
      <c r="C49" s="32"/>
      <c r="D49" s="33"/>
      <c r="E49" s="32"/>
      <c r="F49" s="32"/>
      <c r="G49" s="32"/>
      <c r="H49" s="32"/>
      <c r="I49" s="32"/>
      <c r="J49" s="32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30">
        <f>COUNTA(июн_пр)</f>
        <v>0</v>
      </c>
      <c r="E50" s="25">
        <f>SUM(июн_кол)</f>
        <v>0</v>
      </c>
      <c r="F50" s="26">
        <f>COUNTA(акт_вх_июн)+COUNTA(акт_отб_июн)</f>
        <v>0</v>
      </c>
      <c r="G50" s="45"/>
      <c r="H50" s="45"/>
      <c r="I50" s="45"/>
      <c r="J50" s="27">
        <f>SUM(кол_отб_июн)</f>
        <v>0</v>
      </c>
    </row>
    <row r="51" spans="1:10" ht="31.5" customHeight="1" x14ac:dyDescent="0.25">
      <c r="A51" s="39" t="s">
        <v>17</v>
      </c>
      <c r="B51" s="40"/>
      <c r="C51" s="40" t="s">
        <v>140</v>
      </c>
      <c r="D51" s="41">
        <f>SUM(D36,D43,D50)</f>
        <v>0</v>
      </c>
      <c r="E51" s="42">
        <f>SUM(E36,E43,E50)</f>
        <v>0</v>
      </c>
      <c r="F51" s="43">
        <f>SUM(F36,F43,F50)</f>
        <v>0</v>
      </c>
      <c r="G51" s="40"/>
      <c r="H51" s="40" t="e">
        <f>"Кп= "&amp;ROUNDDOWN((F51/D51)*100,1)&amp;"%"</f>
        <v>#DIV/0!</v>
      </c>
      <c r="I51" s="40" t="e">
        <f>"Км= "&amp;ROUNDDOWN((J51/E51)*100,2)&amp;"%"</f>
        <v>#DIV/0!</v>
      </c>
      <c r="J51" s="44">
        <f>SUM(J36,J43,J50)</f>
        <v>0</v>
      </c>
    </row>
    <row r="52" spans="1:10" ht="31.5" customHeight="1" x14ac:dyDescent="0.25">
      <c r="A52" s="39" t="s">
        <v>17</v>
      </c>
      <c r="B52" s="40"/>
      <c r="C52" s="40" t="s">
        <v>141</v>
      </c>
      <c r="D52" s="41">
        <f>SUM(D27,D51)</f>
        <v>0</v>
      </c>
      <c r="E52" s="42">
        <f>SUM(E51,E27)</f>
        <v>0</v>
      </c>
      <c r="F52" s="43">
        <f>SUM(F51,F27)</f>
        <v>0</v>
      </c>
      <c r="G52" s="40"/>
      <c r="H52" s="40" t="e">
        <f>"Кп= "&amp;ROUNDDOWN((F52/D52)*100,1)&amp;"%"</f>
        <v>#DIV/0!</v>
      </c>
      <c r="I52" s="40" t="e">
        <f>"Км= "&amp;ROUNDDOWN((J52/E52)*100,2)&amp;"%"</f>
        <v>#DIV/0!</v>
      </c>
      <c r="J52" s="44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252" t="s">
        <v>11</v>
      </c>
      <c r="B55" s="252"/>
      <c r="C55" s="252"/>
      <c r="D55" s="252"/>
      <c r="E55" s="252"/>
      <c r="F55" s="252"/>
      <c r="G55" s="252"/>
      <c r="H55" s="252"/>
      <c r="I55" s="252"/>
      <c r="J55" s="252"/>
    </row>
    <row r="56" spans="1:10" x14ac:dyDescent="0.25">
      <c r="A56" s="32"/>
      <c r="B56" s="32"/>
      <c r="C56" s="32"/>
      <c r="D56" s="33"/>
      <c r="E56" s="32"/>
      <c r="F56" s="32"/>
      <c r="G56" s="32"/>
      <c r="H56" s="32"/>
      <c r="I56" s="32"/>
      <c r="J56" s="32"/>
    </row>
    <row r="57" spans="1:10" hidden="1" outlineLevel="1" x14ac:dyDescent="0.25">
      <c r="A57" s="32"/>
      <c r="B57" s="32"/>
      <c r="C57" s="32"/>
      <c r="D57" s="33"/>
      <c r="E57" s="32"/>
      <c r="F57" s="32"/>
      <c r="G57" s="32"/>
      <c r="H57" s="32"/>
      <c r="I57" s="32"/>
      <c r="J57" s="32"/>
    </row>
    <row r="58" spans="1:10" hidden="1" outlineLevel="1" x14ac:dyDescent="0.25">
      <c r="A58" s="32"/>
      <c r="B58" s="32"/>
      <c r="C58" s="32"/>
      <c r="D58" s="33"/>
      <c r="E58" s="32"/>
      <c r="F58" s="32"/>
      <c r="G58" s="32"/>
      <c r="H58" s="32"/>
      <c r="I58" s="32"/>
      <c r="J58" s="32"/>
    </row>
    <row r="59" spans="1:10" hidden="1" outlineLevel="1" x14ac:dyDescent="0.25">
      <c r="A59" s="32"/>
      <c r="B59" s="32"/>
      <c r="C59" s="32"/>
      <c r="D59" s="33"/>
      <c r="E59" s="32"/>
      <c r="F59" s="32"/>
      <c r="G59" s="32"/>
      <c r="H59" s="32"/>
      <c r="I59" s="32"/>
      <c r="J59" s="32"/>
    </row>
    <row r="60" spans="1:10" hidden="1" outlineLevel="1" x14ac:dyDescent="0.25">
      <c r="A60" s="32"/>
      <c r="B60" s="32"/>
      <c r="C60" s="32"/>
      <c r="D60" s="33"/>
      <c r="E60" s="32"/>
      <c r="F60" s="32"/>
      <c r="G60" s="32"/>
      <c r="H60" s="32"/>
      <c r="I60" s="32"/>
      <c r="J60" s="32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30">
        <f>COUNTA(июл_пр)</f>
        <v>0</v>
      </c>
      <c r="E61" s="25">
        <f>SUM(июл_кол)</f>
        <v>0</v>
      </c>
      <c r="F61" s="26">
        <f>COUNTA(акт_вх_июл)+COUNTA(акт_отб_июл)</f>
        <v>0</v>
      </c>
      <c r="G61" s="45"/>
      <c r="H61" s="45"/>
      <c r="I61" s="45"/>
      <c r="J61" s="27">
        <f>SUM(кол_отб_июл)</f>
        <v>0</v>
      </c>
    </row>
    <row r="62" spans="1:10" x14ac:dyDescent="0.25">
      <c r="A62" s="252" t="s">
        <v>13</v>
      </c>
      <c r="B62" s="252"/>
      <c r="C62" s="252"/>
      <c r="D62" s="252"/>
      <c r="E62" s="252"/>
      <c r="F62" s="252"/>
      <c r="G62" s="252"/>
      <c r="H62" s="252"/>
      <c r="I62" s="252"/>
      <c r="J62" s="252"/>
    </row>
    <row r="63" spans="1:10" x14ac:dyDescent="0.25">
      <c r="A63" s="32"/>
      <c r="B63" s="32"/>
      <c r="C63" s="32"/>
      <c r="D63" s="33"/>
      <c r="E63" s="32"/>
      <c r="F63" s="32"/>
      <c r="G63" s="32"/>
      <c r="H63" s="32"/>
      <c r="I63" s="32"/>
      <c r="J63" s="32"/>
    </row>
    <row r="64" spans="1:10" hidden="1" outlineLevel="1" x14ac:dyDescent="0.25">
      <c r="A64" s="32"/>
      <c r="B64" s="32"/>
      <c r="C64" s="32"/>
      <c r="D64" s="33"/>
      <c r="E64" s="32"/>
      <c r="F64" s="32"/>
      <c r="G64" s="32"/>
      <c r="H64" s="32"/>
      <c r="I64" s="32"/>
      <c r="J64" s="32"/>
    </row>
    <row r="65" spans="1:10" hidden="1" outlineLevel="1" x14ac:dyDescent="0.25">
      <c r="A65" s="32"/>
      <c r="B65" s="32"/>
      <c r="C65" s="32"/>
      <c r="D65" s="33"/>
      <c r="E65" s="32"/>
      <c r="F65" s="32"/>
      <c r="G65" s="32"/>
      <c r="H65" s="32"/>
      <c r="I65" s="32"/>
      <c r="J65" s="32"/>
    </row>
    <row r="66" spans="1:10" hidden="1" outlineLevel="1" x14ac:dyDescent="0.25">
      <c r="A66" s="32"/>
      <c r="B66" s="32"/>
      <c r="C66" s="32"/>
      <c r="D66" s="33"/>
      <c r="E66" s="32"/>
      <c r="F66" s="32"/>
      <c r="G66" s="32"/>
      <c r="H66" s="32"/>
      <c r="I66" s="32"/>
      <c r="J66" s="32"/>
    </row>
    <row r="67" spans="1:10" hidden="1" outlineLevel="1" x14ac:dyDescent="0.25">
      <c r="A67" s="32"/>
      <c r="B67" s="32"/>
      <c r="C67" s="32"/>
      <c r="D67" s="33"/>
      <c r="E67" s="32"/>
      <c r="F67" s="32"/>
      <c r="G67" s="32"/>
      <c r="H67" s="32"/>
      <c r="I67" s="32"/>
      <c r="J67" s="32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30">
        <f>COUNTA(авг_пр)</f>
        <v>0</v>
      </c>
      <c r="E68" s="25">
        <f>SUM(авг_кол)</f>
        <v>0</v>
      </c>
      <c r="F68" s="26">
        <f>COUNTA(акт_вх_авг)+COUNTA(акт_отб_авг)</f>
        <v>0</v>
      </c>
      <c r="G68" s="45"/>
      <c r="H68" s="45"/>
      <c r="I68" s="45"/>
      <c r="J68" s="27">
        <f>SUM(кол_отб_авг)</f>
        <v>0</v>
      </c>
    </row>
    <row r="69" spans="1:10" x14ac:dyDescent="0.25">
      <c r="A69" s="252" t="s">
        <v>12</v>
      </c>
      <c r="B69" s="252"/>
      <c r="C69" s="252"/>
      <c r="D69" s="252"/>
      <c r="E69" s="252"/>
      <c r="F69" s="252"/>
      <c r="G69" s="252"/>
      <c r="H69" s="252"/>
      <c r="I69" s="252"/>
      <c r="J69" s="252"/>
    </row>
    <row r="70" spans="1:10" x14ac:dyDescent="0.25">
      <c r="A70" s="32"/>
      <c r="B70" s="32"/>
      <c r="C70" s="32"/>
      <c r="D70" s="33"/>
      <c r="E70" s="32"/>
      <c r="F70" s="32"/>
      <c r="G70" s="32"/>
      <c r="H70" s="32"/>
      <c r="I70" s="32"/>
      <c r="J70" s="32"/>
    </row>
    <row r="71" spans="1:10" hidden="1" outlineLevel="1" x14ac:dyDescent="0.25">
      <c r="A71" s="32"/>
      <c r="B71" s="32"/>
      <c r="C71" s="32"/>
      <c r="D71" s="33"/>
      <c r="E71" s="32"/>
      <c r="F71" s="32"/>
      <c r="G71" s="32"/>
      <c r="H71" s="32"/>
      <c r="I71" s="32"/>
      <c r="J71" s="32"/>
    </row>
    <row r="72" spans="1:10" hidden="1" outlineLevel="1" x14ac:dyDescent="0.25">
      <c r="A72" s="32"/>
      <c r="B72" s="32"/>
      <c r="C72" s="32"/>
      <c r="D72" s="33"/>
      <c r="E72" s="32"/>
      <c r="F72" s="32"/>
      <c r="G72" s="32"/>
      <c r="H72" s="32"/>
      <c r="I72" s="32"/>
      <c r="J72" s="32"/>
    </row>
    <row r="73" spans="1:10" hidden="1" outlineLevel="1" x14ac:dyDescent="0.25">
      <c r="A73" s="32"/>
      <c r="B73" s="32"/>
      <c r="C73" s="32"/>
      <c r="D73" s="33"/>
      <c r="E73" s="32"/>
      <c r="F73" s="32"/>
      <c r="G73" s="32"/>
      <c r="H73" s="32"/>
      <c r="I73" s="32"/>
      <c r="J73" s="32"/>
    </row>
    <row r="74" spans="1:10" hidden="1" outlineLevel="1" x14ac:dyDescent="0.25">
      <c r="A74" s="32"/>
      <c r="B74" s="32"/>
      <c r="C74" s="32"/>
      <c r="D74" s="33"/>
      <c r="E74" s="32"/>
      <c r="F74" s="32"/>
      <c r="G74" s="32"/>
      <c r="H74" s="32"/>
      <c r="I74" s="32"/>
      <c r="J74" s="32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30">
        <f>COUNTA(снт_пр)</f>
        <v>0</v>
      </c>
      <c r="E75" s="25">
        <f>SUM(снт_кол)</f>
        <v>0</v>
      </c>
      <c r="F75" s="26">
        <f>COUNTA(акт_вх_снт)+COUNTA(акт_отб_снт)</f>
        <v>0</v>
      </c>
      <c r="G75" s="45"/>
      <c r="H75" s="45"/>
      <c r="I75" s="45"/>
      <c r="J75" s="27">
        <f>SUM(кол_отб_снт)</f>
        <v>0</v>
      </c>
    </row>
    <row r="76" spans="1:10" ht="30" customHeight="1" x14ac:dyDescent="0.25">
      <c r="A76" s="39" t="s">
        <v>17</v>
      </c>
      <c r="B76" s="40"/>
      <c r="C76" s="40" t="s">
        <v>142</v>
      </c>
      <c r="D76" s="41">
        <f>SUM(D61,D68,D75)</f>
        <v>0</v>
      </c>
      <c r="E76" s="42">
        <f>SUM(E61,E68,E75)</f>
        <v>0</v>
      </c>
      <c r="F76" s="43">
        <f>SUM(F61,F68,F75)</f>
        <v>0</v>
      </c>
      <c r="G76" s="40"/>
      <c r="H76" s="40" t="e">
        <f>"Кп= "&amp;ROUNDDOWN((F76/D76)*100,1)&amp;"%"</f>
        <v>#DIV/0!</v>
      </c>
      <c r="I76" s="40" t="e">
        <f>"Км= "&amp;ROUNDDOWN((J76/E76)*100,2)&amp;"%"</f>
        <v>#DIV/0!</v>
      </c>
      <c r="J76" s="44">
        <f>SUM(J61,J68,J75)</f>
        <v>0</v>
      </c>
    </row>
    <row r="77" spans="1:10" ht="30" customHeight="1" x14ac:dyDescent="0.25">
      <c r="A77" s="39" t="s">
        <v>17</v>
      </c>
      <c r="B77" s="40"/>
      <c r="C77" s="40" t="s">
        <v>144</v>
      </c>
      <c r="D77" s="41">
        <f>SUM(D52,D76)</f>
        <v>0</v>
      </c>
      <c r="E77" s="42">
        <f>SUM(E76,E52)</f>
        <v>0</v>
      </c>
      <c r="F77" s="43">
        <f>SUM(F76,F52)</f>
        <v>0</v>
      </c>
      <c r="G77" s="40"/>
      <c r="H77" s="40" t="e">
        <f>"Кп= "&amp;ROUNDDOWN((F77/D77)*100,1)&amp;"%"</f>
        <v>#DIV/0!</v>
      </c>
      <c r="I77" s="40" t="e">
        <f>"Км= "&amp;ROUNDDOWN((J77/E77)*100,2)&amp;"%"</f>
        <v>#DIV/0!</v>
      </c>
      <c r="J77" s="44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252" t="s">
        <v>14</v>
      </c>
      <c r="B80" s="252"/>
      <c r="C80" s="252"/>
      <c r="D80" s="252"/>
      <c r="E80" s="252"/>
      <c r="F80" s="252"/>
      <c r="G80" s="252"/>
      <c r="H80" s="252"/>
      <c r="I80" s="252"/>
      <c r="J80" s="252"/>
    </row>
    <row r="81" spans="1:10" x14ac:dyDescent="0.25">
      <c r="A81" s="32"/>
      <c r="B81" s="32"/>
      <c r="C81" s="32"/>
      <c r="D81" s="33"/>
      <c r="E81" s="32"/>
      <c r="F81" s="32"/>
      <c r="G81" s="32"/>
      <c r="H81" s="32"/>
      <c r="I81" s="32"/>
      <c r="J81" s="32"/>
    </row>
    <row r="82" spans="1:10" hidden="1" outlineLevel="1" x14ac:dyDescent="0.25">
      <c r="A82" s="32"/>
      <c r="B82" s="32"/>
      <c r="C82" s="32"/>
      <c r="D82" s="33"/>
      <c r="E82" s="32"/>
      <c r="F82" s="32"/>
      <c r="G82" s="32"/>
      <c r="H82" s="32"/>
      <c r="I82" s="32"/>
      <c r="J82" s="32"/>
    </row>
    <row r="83" spans="1:10" hidden="1" outlineLevel="1" x14ac:dyDescent="0.25">
      <c r="A83" s="32"/>
      <c r="B83" s="32"/>
      <c r="C83" s="32"/>
      <c r="D83" s="33"/>
      <c r="E83" s="32"/>
      <c r="F83" s="32"/>
      <c r="G83" s="32"/>
      <c r="H83" s="32"/>
      <c r="I83" s="32"/>
      <c r="J83" s="32"/>
    </row>
    <row r="84" spans="1:10" hidden="1" outlineLevel="1" x14ac:dyDescent="0.25">
      <c r="A84" s="32"/>
      <c r="B84" s="32"/>
      <c r="C84" s="32"/>
      <c r="D84" s="33"/>
      <c r="E84" s="32"/>
      <c r="F84" s="32"/>
      <c r="G84" s="32"/>
      <c r="H84" s="32"/>
      <c r="I84" s="32"/>
      <c r="J84" s="32"/>
    </row>
    <row r="85" spans="1:10" hidden="1" outlineLevel="1" x14ac:dyDescent="0.25">
      <c r="A85" s="32"/>
      <c r="B85" s="32"/>
      <c r="C85" s="32"/>
      <c r="D85" s="33"/>
      <c r="E85" s="32"/>
      <c r="F85" s="32"/>
      <c r="G85" s="32"/>
      <c r="H85" s="32"/>
      <c r="I85" s="32"/>
      <c r="J85" s="32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30">
        <f>COUNTA(окт_пр)</f>
        <v>0</v>
      </c>
      <c r="E86" s="25">
        <f>SUM(окт_кол)</f>
        <v>0</v>
      </c>
      <c r="F86" s="26">
        <f>COUNTA(акт_вх_окт)+COUNTA(акт_отб_окт)</f>
        <v>0</v>
      </c>
      <c r="G86" s="45"/>
      <c r="H86" s="45"/>
      <c r="I86" s="45"/>
      <c r="J86" s="27">
        <f>SUM(кол_отб_окт)</f>
        <v>0</v>
      </c>
    </row>
    <row r="87" spans="1:10" x14ac:dyDescent="0.25">
      <c r="A87" s="252" t="s">
        <v>15</v>
      </c>
      <c r="B87" s="252"/>
      <c r="C87" s="252"/>
      <c r="D87" s="252"/>
      <c r="E87" s="252"/>
      <c r="F87" s="252"/>
      <c r="G87" s="252"/>
      <c r="H87" s="252"/>
      <c r="I87" s="252"/>
      <c r="J87" s="252"/>
    </row>
    <row r="88" spans="1:10" x14ac:dyDescent="0.25">
      <c r="A88" s="32"/>
      <c r="B88" s="32"/>
      <c r="C88" s="32"/>
      <c r="D88" s="33"/>
      <c r="E88" s="32"/>
      <c r="F88" s="32"/>
      <c r="G88" s="32"/>
      <c r="H88" s="32"/>
      <c r="I88" s="32"/>
      <c r="J88" s="32"/>
    </row>
    <row r="89" spans="1:10" hidden="1" outlineLevel="1" x14ac:dyDescent="0.25">
      <c r="A89" s="32"/>
      <c r="B89" s="32"/>
      <c r="C89" s="32"/>
      <c r="D89" s="33"/>
      <c r="E89" s="32"/>
      <c r="F89" s="32"/>
      <c r="G89" s="32"/>
      <c r="H89" s="32"/>
      <c r="I89" s="32"/>
      <c r="J89" s="32"/>
    </row>
    <row r="90" spans="1:10" hidden="1" outlineLevel="1" x14ac:dyDescent="0.25">
      <c r="A90" s="32"/>
      <c r="B90" s="32"/>
      <c r="C90" s="32"/>
      <c r="D90" s="33"/>
      <c r="E90" s="32"/>
      <c r="F90" s="32"/>
      <c r="G90" s="32"/>
      <c r="H90" s="32"/>
      <c r="I90" s="32"/>
      <c r="J90" s="32"/>
    </row>
    <row r="91" spans="1:10" hidden="1" outlineLevel="1" x14ac:dyDescent="0.25">
      <c r="A91" s="32"/>
      <c r="B91" s="32"/>
      <c r="C91" s="32"/>
      <c r="D91" s="33"/>
      <c r="E91" s="32"/>
      <c r="F91" s="32"/>
      <c r="G91" s="32"/>
      <c r="H91" s="32"/>
      <c r="I91" s="32"/>
      <c r="J91" s="32"/>
    </row>
    <row r="92" spans="1:10" hidden="1" outlineLevel="1" x14ac:dyDescent="0.25">
      <c r="A92" s="32"/>
      <c r="B92" s="32"/>
      <c r="C92" s="32"/>
      <c r="D92" s="33"/>
      <c r="E92" s="32"/>
      <c r="F92" s="32"/>
      <c r="G92" s="32"/>
      <c r="H92" s="32"/>
      <c r="I92" s="32"/>
      <c r="J92" s="32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30">
        <f>COUNTA(нбр_пр)</f>
        <v>0</v>
      </c>
      <c r="E93" s="25">
        <f>SUM(нбр_кол)</f>
        <v>0</v>
      </c>
      <c r="F93" s="26">
        <f>COUNTA(акт_вх_нбр)+COUNTA(акт_отб_нбр)</f>
        <v>0</v>
      </c>
      <c r="G93" s="45"/>
      <c r="H93" s="45"/>
      <c r="I93" s="45"/>
      <c r="J93" s="27">
        <f>SUM(кол_отб_нбр)</f>
        <v>0</v>
      </c>
    </row>
    <row r="94" spans="1:10" x14ac:dyDescent="0.25">
      <c r="A94" s="252" t="s">
        <v>16</v>
      </c>
      <c r="B94" s="252"/>
      <c r="C94" s="252"/>
      <c r="D94" s="252"/>
      <c r="E94" s="252"/>
      <c r="F94" s="252"/>
      <c r="G94" s="252"/>
      <c r="H94" s="252"/>
      <c r="I94" s="252"/>
      <c r="J94" s="252"/>
    </row>
    <row r="95" spans="1:10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</row>
    <row r="96" spans="1:10" hidden="1" outlineLevel="1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</row>
    <row r="97" spans="1:10" hidden="1" outlineLevel="1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</row>
    <row r="98" spans="1:10" hidden="1" outlineLevel="1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</row>
    <row r="99" spans="1:10" hidden="1" outlineLevel="1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30">
        <f>COUNTA(дкб_пр)</f>
        <v>0</v>
      </c>
      <c r="E100" s="25">
        <f>SUM(дкб_кол)</f>
        <v>0</v>
      </c>
      <c r="F100" s="26">
        <f>COUNTA(акт_вх_дкб)+COUNTA(акт_отб_дкб)</f>
        <v>0</v>
      </c>
      <c r="G100" s="45"/>
      <c r="H100" s="45"/>
      <c r="I100" s="45"/>
      <c r="J100" s="27">
        <f>SUM(кол_отб_дкб)</f>
        <v>0</v>
      </c>
    </row>
    <row r="101" spans="1:10" ht="32.25" customHeight="1" x14ac:dyDescent="0.25">
      <c r="A101" s="39" t="s">
        <v>17</v>
      </c>
      <c r="B101" s="40"/>
      <c r="C101" s="40" t="s">
        <v>143</v>
      </c>
      <c r="D101" s="41">
        <f>SUM(D86,D93,D100)</f>
        <v>0</v>
      </c>
      <c r="E101" s="42">
        <f>SUM(E86,E93,E100)</f>
        <v>0</v>
      </c>
      <c r="F101" s="43">
        <f>SUM(F86,F93,F100)</f>
        <v>0</v>
      </c>
      <c r="G101" s="40"/>
      <c r="H101" s="40" t="e">
        <f>"Кп= "&amp;ROUNDDOWN((F101/D101)*100,1)&amp;"%"</f>
        <v>#DIV/0!</v>
      </c>
      <c r="I101" s="40" t="e">
        <f>"Км= "&amp;ROUNDDOWN((J101/E101)*100,2)&amp;"%"</f>
        <v>#DIV/0!</v>
      </c>
      <c r="J101" s="44">
        <f>SUM(J86,J93,J100)</f>
        <v>0</v>
      </c>
    </row>
    <row r="102" spans="1:10" ht="27" customHeight="1" x14ac:dyDescent="0.25">
      <c r="A102" s="39" t="s">
        <v>17</v>
      </c>
      <c r="B102" s="40"/>
      <c r="C102" s="40" t="s">
        <v>145</v>
      </c>
      <c r="D102" s="41">
        <f>SUM(D101,D77)</f>
        <v>0</v>
      </c>
      <c r="E102" s="42">
        <f>SUM(E101,E77)</f>
        <v>0</v>
      </c>
      <c r="F102" s="43">
        <f>SUM(F101,F77)</f>
        <v>0</v>
      </c>
      <c r="G102" s="40"/>
      <c r="H102" s="40" t="e">
        <f>"Кп= "&amp;ROUNDDOWN((F102/D102)*100,1)&amp;"%"</f>
        <v>#DIV/0!</v>
      </c>
      <c r="I102" s="40" t="e">
        <f>"Км= "&amp;ROUNDDOWN((J102/E102)*100,2)&amp;"%"</f>
        <v>#DIV/0!</v>
      </c>
      <c r="J102" s="44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3MxSAXAfrcGmWIyUOK0UxpBBcPrCSbvCBFpy4fdLtlbUruRk2oWllcOYgzkSA2AQmyUpFs76XJuwVd6zTlhZkg==" saltValue="4cRKGfvt1uifnpglX93dSQ==" spinCount="100000" sheet="1" formatCells="0" formatColumns="0" formatRows="0" insertColumns="0" insertRows="0" insertHyperlinks="0" deleteColumns="0" deleteRows="0" sort="0" autoFilter="0" pivotTables="0"/>
  <mergeCells count="21">
    <mergeCell ref="A69:J69"/>
    <mergeCell ref="A87:J87"/>
    <mergeCell ref="A62:J62"/>
    <mergeCell ref="A94:J94"/>
    <mergeCell ref="A80:J80"/>
    <mergeCell ref="A30:J30"/>
    <mergeCell ref="A37:J37"/>
    <mergeCell ref="A44:J44"/>
    <mergeCell ref="A55:J55"/>
    <mergeCell ref="A6:J6"/>
    <mergeCell ref="A13:J13"/>
    <mergeCell ref="A20:J20"/>
    <mergeCell ref="A2:J2"/>
    <mergeCell ref="J3:J4"/>
    <mergeCell ref="F3:G3"/>
    <mergeCell ref="A3:A4"/>
    <mergeCell ref="C3:C4"/>
    <mergeCell ref="D3:D4"/>
    <mergeCell ref="E3:E4"/>
    <mergeCell ref="H3:I3"/>
    <mergeCell ref="B3:B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47F-DEC5-4FDF-87E2-2A329A5CE20B}">
  <sheetPr codeName="Лист12"/>
  <dimension ref="A1:N103"/>
  <sheetViews>
    <sheetView zoomScaleNormal="100" workbookViewId="0">
      <pane ySplit="4" topLeftCell="A80" activePane="bottomLeft" state="frozen"/>
      <selection activeCell="A2" sqref="A2:J2"/>
      <selection pane="bottomLeft" activeCell="F31" sqref="F31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4"/>
      <c r="B1" s="34"/>
      <c r="C1" s="34"/>
      <c r="D1" s="34"/>
      <c r="E1" s="34"/>
      <c r="F1" s="34"/>
      <c r="G1" s="34"/>
      <c r="H1" s="34"/>
      <c r="I1" s="34"/>
      <c r="J1" s="46" t="s">
        <v>97</v>
      </c>
    </row>
    <row r="2" spans="1:14" ht="33.75" customHeight="1" x14ac:dyDescent="0.4">
      <c r="A2" s="282" t="s">
        <v>98</v>
      </c>
      <c r="B2" s="282"/>
      <c r="C2" s="282"/>
      <c r="D2" s="282"/>
      <c r="E2" s="282"/>
      <c r="F2" s="282"/>
      <c r="G2" s="282"/>
      <c r="H2" s="282"/>
      <c r="I2" s="282"/>
      <c r="J2" s="282"/>
    </row>
    <row r="3" spans="1:14" x14ac:dyDescent="0.25">
      <c r="A3" s="284" t="s">
        <v>0</v>
      </c>
      <c r="B3" s="287" t="s">
        <v>100</v>
      </c>
      <c r="C3" s="284" t="s">
        <v>1</v>
      </c>
      <c r="D3" s="283" t="s">
        <v>23</v>
      </c>
      <c r="E3" s="284" t="s">
        <v>153</v>
      </c>
      <c r="F3" s="284" t="s">
        <v>3</v>
      </c>
      <c r="G3" s="284"/>
      <c r="H3" s="285" t="s">
        <v>2</v>
      </c>
      <c r="I3" s="286"/>
      <c r="J3" s="283" t="s">
        <v>210</v>
      </c>
    </row>
    <row r="4" spans="1:14" ht="32.25" customHeight="1" x14ac:dyDescent="0.25">
      <c r="A4" s="284"/>
      <c r="B4" s="288"/>
      <c r="C4" s="284"/>
      <c r="D4" s="284"/>
      <c r="E4" s="284"/>
      <c r="F4" s="150" t="s">
        <v>0</v>
      </c>
      <c r="G4" s="150" t="s">
        <v>4</v>
      </c>
      <c r="H4" s="150" t="s">
        <v>0</v>
      </c>
      <c r="I4" s="150" t="s">
        <v>4</v>
      </c>
      <c r="J4" s="284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252" t="s">
        <v>5</v>
      </c>
      <c r="B6" s="252"/>
      <c r="C6" s="252"/>
      <c r="D6" s="252"/>
      <c r="E6" s="252"/>
      <c r="F6" s="252"/>
      <c r="G6" s="252"/>
      <c r="H6" s="252"/>
      <c r="I6" s="252"/>
      <c r="J6" s="252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30">
        <f>COUNTA(янв_пр)</f>
        <v>0</v>
      </c>
      <c r="E12" s="151">
        <f>SUM(янв_кол)</f>
        <v>0</v>
      </c>
      <c r="F12" s="26">
        <f>COUNTA(акт_вх_янв)+COUNTA(акт_отб_янв)</f>
        <v>0</v>
      </c>
      <c r="G12" s="11"/>
      <c r="H12" s="11"/>
      <c r="I12" s="11"/>
      <c r="J12" s="152">
        <f>SUM(кол_отб_янв)</f>
        <v>0</v>
      </c>
    </row>
    <row r="13" spans="1:14" x14ac:dyDescent="0.25">
      <c r="A13" s="251" t="s">
        <v>6</v>
      </c>
      <c r="B13" s="251"/>
      <c r="C13" s="251"/>
      <c r="D13" s="251"/>
      <c r="E13" s="251"/>
      <c r="F13" s="251"/>
      <c r="G13" s="251"/>
      <c r="H13" s="251"/>
      <c r="I13" s="251"/>
      <c r="J13" s="251"/>
      <c r="L13" s="1"/>
      <c r="M13" s="1"/>
      <c r="N13" s="1"/>
    </row>
    <row r="14" spans="1:14" x14ac:dyDescent="0.25">
      <c r="A14" s="12"/>
      <c r="B14" s="12"/>
      <c r="C14" s="28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9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9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9"/>
      <c r="D17" s="3"/>
      <c r="E17" s="4"/>
      <c r="F17" s="2"/>
      <c r="G17" s="2"/>
      <c r="H17" s="2"/>
      <c r="I17" s="2"/>
      <c r="J17" s="2"/>
      <c r="L17" s="1"/>
      <c r="M17" s="70"/>
      <c r="N17" s="1"/>
    </row>
    <row r="18" spans="1:14" hidden="1" outlineLevel="1" x14ac:dyDescent="0.25">
      <c r="A18" s="2"/>
      <c r="B18" s="2"/>
      <c r="C18" s="29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30">
        <f>COUNTA(фев_пр)</f>
        <v>0</v>
      </c>
      <c r="E19" s="151">
        <f>SUM(фев_кол)</f>
        <v>0</v>
      </c>
      <c r="F19" s="26">
        <f>COUNTA(акт_вх_фев)+COUNTA(акт_отб_фев)</f>
        <v>0</v>
      </c>
      <c r="G19" s="11"/>
      <c r="H19" s="11"/>
      <c r="I19" s="11"/>
      <c r="J19" s="152">
        <f>SUM(кол_отб_фев)</f>
        <v>0</v>
      </c>
      <c r="L19" s="1"/>
      <c r="M19" s="1"/>
      <c r="N19" s="1"/>
    </row>
    <row r="20" spans="1:14" x14ac:dyDescent="0.25">
      <c r="A20" s="252" t="s">
        <v>7</v>
      </c>
      <c r="B20" s="252"/>
      <c r="C20" s="252"/>
      <c r="D20" s="252"/>
      <c r="E20" s="252"/>
      <c r="F20" s="252"/>
      <c r="G20" s="252"/>
      <c r="H20" s="252"/>
      <c r="I20" s="252"/>
      <c r="J20" s="252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30">
        <f>COUNTA(мрт_пр)</f>
        <v>0</v>
      </c>
      <c r="E26" s="151">
        <f>SUM(мрт_кол)</f>
        <v>0</v>
      </c>
      <c r="F26" s="26">
        <f>COUNTA(акт_вх_мрт)+COUNTA(акт_отб_мрт)</f>
        <v>0</v>
      </c>
      <c r="G26" s="45"/>
      <c r="H26" s="45"/>
      <c r="I26" s="45"/>
      <c r="J26" s="152">
        <f>SUM(кол_отб_мрт)</f>
        <v>0</v>
      </c>
      <c r="L26" s="1"/>
      <c r="M26" s="1"/>
      <c r="N26" s="1"/>
    </row>
    <row r="27" spans="1:14" ht="31.5" customHeight="1" x14ac:dyDescent="0.25">
      <c r="A27" s="39" t="s">
        <v>17</v>
      </c>
      <c r="B27" s="40"/>
      <c r="C27" s="40" t="s">
        <v>18</v>
      </c>
      <c r="D27" s="41">
        <f>SUM(D12,D19,D26)</f>
        <v>0</v>
      </c>
      <c r="E27" s="153">
        <f>SUM(E12,E19,E26)</f>
        <v>0</v>
      </c>
      <c r="F27" s="43">
        <f>SUM(F12,F19,F26)</f>
        <v>0</v>
      </c>
      <c r="G27" s="40"/>
      <c r="H27" s="40" t="e">
        <f>"Кп= "&amp;ROUNDDOWN((F27/D27)*100,1)&amp;"%"</f>
        <v>#DIV/0!</v>
      </c>
      <c r="I27" s="40" t="e">
        <f>"Км= "&amp;ROUNDDOWN((J27/E27)*100,2)&amp;"%"</f>
        <v>#DIV/0!</v>
      </c>
      <c r="J27" s="154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251" t="s">
        <v>8</v>
      </c>
      <c r="B30" s="251"/>
      <c r="C30" s="251"/>
      <c r="D30" s="251"/>
      <c r="E30" s="251"/>
      <c r="F30" s="251"/>
      <c r="G30" s="251"/>
      <c r="H30" s="251"/>
      <c r="I30" s="251"/>
      <c r="J30" s="251"/>
      <c r="L30" s="1"/>
      <c r="M30" s="1"/>
      <c r="N30" s="1"/>
    </row>
    <row r="31" spans="1:14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L31" s="1"/>
      <c r="M31" s="1"/>
      <c r="N31" s="1"/>
    </row>
    <row r="32" spans="1:14" hidden="1" outlineLevel="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L32" s="1"/>
      <c r="M32" s="1"/>
      <c r="N32" s="1"/>
    </row>
    <row r="33" spans="1:14" hidden="1" outlineLevel="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L33" s="1"/>
      <c r="M33" s="1"/>
      <c r="N33" s="1"/>
    </row>
    <row r="34" spans="1:14" hidden="1" outlineLevel="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L34" s="1"/>
      <c r="M34" s="1"/>
      <c r="N34" s="1"/>
    </row>
    <row r="35" spans="1:14" hidden="1" outlineLevel="1" x14ac:dyDescent="0.25">
      <c r="A35" s="32"/>
      <c r="B35" s="32"/>
      <c r="C35" s="32"/>
      <c r="D35" s="33"/>
      <c r="E35" s="32"/>
      <c r="F35" s="32"/>
      <c r="G35" s="32"/>
      <c r="H35" s="32"/>
      <c r="I35" s="32"/>
      <c r="J35" s="32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30">
        <f>COUNTA(апр_пр)</f>
        <v>0</v>
      </c>
      <c r="E36" s="151">
        <f>SUM(апр_кол)</f>
        <v>0</v>
      </c>
      <c r="F36" s="26">
        <f>COUNTA(акт_вх_апр)+COUNTA(акт_отб_апр)</f>
        <v>0</v>
      </c>
      <c r="G36" s="45"/>
      <c r="H36" s="45"/>
      <c r="I36" s="45"/>
      <c r="J36" s="152">
        <f>SUM(кол_отб_апр)</f>
        <v>0</v>
      </c>
      <c r="L36" s="1"/>
      <c r="M36" s="1"/>
      <c r="N36" s="1"/>
    </row>
    <row r="37" spans="1:14" x14ac:dyDescent="0.25">
      <c r="A37" s="252" t="s">
        <v>9</v>
      </c>
      <c r="B37" s="252"/>
      <c r="C37" s="252"/>
      <c r="D37" s="252"/>
      <c r="E37" s="252"/>
      <c r="F37" s="252"/>
      <c r="G37" s="252"/>
      <c r="H37" s="252"/>
      <c r="I37" s="252"/>
      <c r="J37" s="252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L39" s="1"/>
      <c r="M39" s="1"/>
      <c r="N39" s="1"/>
    </row>
    <row r="40" spans="1:14" hidden="1" outlineLevel="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L40" s="1"/>
      <c r="M40" s="1"/>
      <c r="N40" s="1"/>
    </row>
    <row r="41" spans="1:14" hidden="1" outlineLevel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L41" s="1"/>
      <c r="M41" s="1"/>
      <c r="N41" s="1"/>
    </row>
    <row r="42" spans="1:14" hidden="1" outlineLevel="1" x14ac:dyDescent="0.25">
      <c r="A42" s="35"/>
      <c r="B42" s="35"/>
      <c r="C42" s="35"/>
      <c r="D42" s="36"/>
      <c r="E42" s="35"/>
      <c r="F42" s="35"/>
      <c r="G42" s="35"/>
      <c r="H42" s="35"/>
      <c r="I42" s="35"/>
      <c r="J42" s="35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30">
        <f>COUNTA(май_пр)</f>
        <v>0</v>
      </c>
      <c r="E43" s="151">
        <f>SUM(май_кол)</f>
        <v>0</v>
      </c>
      <c r="F43" s="26">
        <f>COUNTA(акт_вх_май)+COUNTA(акт_отб_май)</f>
        <v>0</v>
      </c>
      <c r="G43" s="45"/>
      <c r="H43" s="45"/>
      <c r="I43" s="45"/>
      <c r="J43" s="152">
        <f>SUM(кол_отб_май)</f>
        <v>0</v>
      </c>
    </row>
    <row r="44" spans="1:14" x14ac:dyDescent="0.25">
      <c r="A44" s="252" t="s">
        <v>10</v>
      </c>
      <c r="B44" s="252"/>
      <c r="C44" s="252"/>
      <c r="D44" s="252"/>
      <c r="E44" s="252"/>
      <c r="F44" s="252"/>
      <c r="G44" s="252"/>
      <c r="H44" s="252"/>
      <c r="I44" s="252"/>
      <c r="J44" s="252"/>
    </row>
    <row r="45" spans="1:14" x14ac:dyDescent="0.25">
      <c r="A45" s="32"/>
      <c r="B45" s="32"/>
      <c r="C45" s="32"/>
      <c r="D45" s="33"/>
      <c r="E45" s="32"/>
      <c r="F45" s="32"/>
      <c r="G45" s="32"/>
      <c r="H45" s="32"/>
      <c r="I45" s="32"/>
      <c r="J45" s="32"/>
    </row>
    <row r="46" spans="1:14" hidden="1" outlineLevel="1" x14ac:dyDescent="0.25">
      <c r="A46" s="32"/>
      <c r="B46" s="32"/>
      <c r="C46" s="32"/>
      <c r="D46" s="33"/>
      <c r="E46" s="32"/>
      <c r="F46" s="32"/>
      <c r="G46" s="32"/>
      <c r="H46" s="32"/>
      <c r="I46" s="32"/>
      <c r="J46" s="32"/>
    </row>
    <row r="47" spans="1:14" hidden="1" outlineLevel="1" x14ac:dyDescent="0.25">
      <c r="A47" s="32"/>
      <c r="B47" s="32"/>
      <c r="C47" s="32"/>
      <c r="D47" s="33"/>
      <c r="E47" s="32"/>
      <c r="F47" s="32"/>
      <c r="G47" s="32"/>
      <c r="H47" s="32"/>
      <c r="I47" s="32"/>
      <c r="J47" s="32"/>
    </row>
    <row r="48" spans="1:14" hidden="1" outlineLevel="1" x14ac:dyDescent="0.25">
      <c r="A48" s="32"/>
      <c r="B48" s="32"/>
      <c r="C48" s="32"/>
      <c r="D48" s="33"/>
      <c r="E48" s="32"/>
      <c r="F48" s="32"/>
      <c r="G48" s="32"/>
      <c r="H48" s="32"/>
      <c r="I48" s="32"/>
      <c r="J48" s="32"/>
    </row>
    <row r="49" spans="1:10" hidden="1" outlineLevel="1" x14ac:dyDescent="0.25">
      <c r="A49" s="32"/>
      <c r="B49" s="32"/>
      <c r="C49" s="32"/>
      <c r="D49" s="33"/>
      <c r="E49" s="32"/>
      <c r="F49" s="32"/>
      <c r="G49" s="32"/>
      <c r="H49" s="32"/>
      <c r="I49" s="32"/>
      <c r="J49" s="32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30">
        <f>COUNTA(июн_пр)</f>
        <v>0</v>
      </c>
      <c r="E50" s="151">
        <f>SUM(июн_кол)</f>
        <v>0</v>
      </c>
      <c r="F50" s="26">
        <f>COUNTA(акт_вх_июн)+COUNTA(акт_отб_июн)</f>
        <v>0</v>
      </c>
      <c r="G50" s="45"/>
      <c r="H50" s="45"/>
      <c r="I50" s="45"/>
      <c r="J50" s="152">
        <f>SUM(кол_отб_июн)</f>
        <v>0</v>
      </c>
    </row>
    <row r="51" spans="1:10" ht="31.5" customHeight="1" x14ac:dyDescent="0.25">
      <c r="A51" s="39" t="s">
        <v>17</v>
      </c>
      <c r="B51" s="40"/>
      <c r="C51" s="40" t="s">
        <v>140</v>
      </c>
      <c r="D51" s="41">
        <f>SUM(D36,D43,D50)</f>
        <v>0</v>
      </c>
      <c r="E51" s="153">
        <f>SUM(E36,E43,E50)</f>
        <v>0</v>
      </c>
      <c r="F51" s="43">
        <f>SUM(F36,F43,F50)</f>
        <v>0</v>
      </c>
      <c r="G51" s="40"/>
      <c r="H51" s="40" t="e">
        <f>"Кп= "&amp;ROUNDDOWN((F51/D51)*100,1)&amp;"%"</f>
        <v>#DIV/0!</v>
      </c>
      <c r="I51" s="40" t="e">
        <f>"Км= "&amp;ROUNDDOWN((J51/E51)*100,2)&amp;"%"</f>
        <v>#DIV/0!</v>
      </c>
      <c r="J51" s="154">
        <f>SUM(J36,J43,J50)</f>
        <v>0</v>
      </c>
    </row>
    <row r="52" spans="1:10" ht="31.5" customHeight="1" x14ac:dyDescent="0.25">
      <c r="A52" s="39" t="s">
        <v>17</v>
      </c>
      <c r="B52" s="40"/>
      <c r="C52" s="40" t="s">
        <v>141</v>
      </c>
      <c r="D52" s="41">
        <f>SUM(D27,D51)</f>
        <v>0</v>
      </c>
      <c r="E52" s="153">
        <f>SUM(E51,E27)</f>
        <v>0</v>
      </c>
      <c r="F52" s="43">
        <f>SUM(F51,F27)</f>
        <v>0</v>
      </c>
      <c r="G52" s="40"/>
      <c r="H52" s="40" t="e">
        <f>"Кп= "&amp;ROUNDDOWN((F52/D52)*100,1)&amp;"%"</f>
        <v>#DIV/0!</v>
      </c>
      <c r="I52" s="40" t="e">
        <f>"Км= "&amp;ROUNDDOWN((J52/E52)*100,2)&amp;"%"</f>
        <v>#DIV/0!</v>
      </c>
      <c r="J52" s="154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252" t="s">
        <v>11</v>
      </c>
      <c r="B55" s="252"/>
      <c r="C55" s="252"/>
      <c r="D55" s="252"/>
      <c r="E55" s="252"/>
      <c r="F55" s="252"/>
      <c r="G55" s="252"/>
      <c r="H55" s="252"/>
      <c r="I55" s="252"/>
      <c r="J55" s="252"/>
    </row>
    <row r="56" spans="1:10" x14ac:dyDescent="0.25">
      <c r="A56" s="32"/>
      <c r="B56" s="32"/>
      <c r="C56" s="32"/>
      <c r="D56" s="33"/>
      <c r="E56" s="32"/>
      <c r="F56" s="32"/>
      <c r="G56" s="32"/>
      <c r="H56" s="32"/>
      <c r="I56" s="32"/>
      <c r="J56" s="32"/>
    </row>
    <row r="57" spans="1:10" hidden="1" outlineLevel="1" x14ac:dyDescent="0.25">
      <c r="A57" s="32"/>
      <c r="B57" s="32"/>
      <c r="C57" s="32"/>
      <c r="D57" s="33"/>
      <c r="E57" s="32"/>
      <c r="F57" s="32"/>
      <c r="G57" s="32"/>
      <c r="H57" s="32"/>
      <c r="I57" s="32"/>
      <c r="J57" s="32"/>
    </row>
    <row r="58" spans="1:10" hidden="1" outlineLevel="1" x14ac:dyDescent="0.25">
      <c r="A58" s="32"/>
      <c r="B58" s="32"/>
      <c r="C58" s="32"/>
      <c r="D58" s="33"/>
      <c r="E58" s="32"/>
      <c r="F58" s="32"/>
      <c r="G58" s="32"/>
      <c r="H58" s="32"/>
      <c r="I58" s="32"/>
      <c r="J58" s="32"/>
    </row>
    <row r="59" spans="1:10" hidden="1" outlineLevel="1" x14ac:dyDescent="0.25">
      <c r="A59" s="32"/>
      <c r="B59" s="32"/>
      <c r="C59" s="32"/>
      <c r="D59" s="33"/>
      <c r="E59" s="32"/>
      <c r="F59" s="32"/>
      <c r="G59" s="32"/>
      <c r="H59" s="32"/>
      <c r="I59" s="32"/>
      <c r="J59" s="32"/>
    </row>
    <row r="60" spans="1:10" hidden="1" outlineLevel="1" x14ac:dyDescent="0.25">
      <c r="A60" s="32"/>
      <c r="B60" s="32"/>
      <c r="C60" s="32"/>
      <c r="D60" s="33"/>
      <c r="E60" s="32"/>
      <c r="F60" s="32"/>
      <c r="G60" s="32"/>
      <c r="H60" s="32"/>
      <c r="I60" s="32"/>
      <c r="J60" s="32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30">
        <f>COUNTA(июл_пр)</f>
        <v>0</v>
      </c>
      <c r="E61" s="151">
        <f>SUM(июл_кол)</f>
        <v>0</v>
      </c>
      <c r="F61" s="26">
        <f>COUNTA(акт_вх_июл)+COUNTA(акт_отб_июл)</f>
        <v>0</v>
      </c>
      <c r="G61" s="45"/>
      <c r="H61" s="45"/>
      <c r="I61" s="45"/>
      <c r="J61" s="152">
        <f>SUM(кол_отб_июл)</f>
        <v>0</v>
      </c>
    </row>
    <row r="62" spans="1:10" x14ac:dyDescent="0.25">
      <c r="A62" s="252" t="s">
        <v>13</v>
      </c>
      <c r="B62" s="252"/>
      <c r="C62" s="252"/>
      <c r="D62" s="252"/>
      <c r="E62" s="252"/>
      <c r="F62" s="252"/>
      <c r="G62" s="252"/>
      <c r="H62" s="252"/>
      <c r="I62" s="252"/>
      <c r="J62" s="252"/>
    </row>
    <row r="63" spans="1:10" x14ac:dyDescent="0.25">
      <c r="A63" s="32"/>
      <c r="B63" s="32"/>
      <c r="C63" s="32"/>
      <c r="D63" s="33"/>
      <c r="E63" s="32"/>
      <c r="F63" s="32"/>
      <c r="G63" s="32"/>
      <c r="H63" s="32"/>
      <c r="I63" s="32"/>
      <c r="J63" s="32"/>
    </row>
    <row r="64" spans="1:10" hidden="1" outlineLevel="1" x14ac:dyDescent="0.25">
      <c r="A64" s="32"/>
      <c r="B64" s="32"/>
      <c r="C64" s="32"/>
      <c r="D64" s="33"/>
      <c r="E64" s="32"/>
      <c r="F64" s="32"/>
      <c r="G64" s="32"/>
      <c r="H64" s="32"/>
      <c r="I64" s="32"/>
      <c r="J64" s="32"/>
    </row>
    <row r="65" spans="1:10" hidden="1" outlineLevel="1" x14ac:dyDescent="0.25">
      <c r="A65" s="32"/>
      <c r="B65" s="32"/>
      <c r="C65" s="32"/>
      <c r="D65" s="33"/>
      <c r="E65" s="32"/>
      <c r="F65" s="32"/>
      <c r="G65" s="32"/>
      <c r="H65" s="32"/>
      <c r="I65" s="32"/>
      <c r="J65" s="32"/>
    </row>
    <row r="66" spans="1:10" hidden="1" outlineLevel="1" x14ac:dyDescent="0.25">
      <c r="A66" s="32"/>
      <c r="B66" s="32"/>
      <c r="C66" s="32"/>
      <c r="D66" s="33"/>
      <c r="E66" s="32"/>
      <c r="F66" s="32"/>
      <c r="G66" s="32"/>
      <c r="H66" s="32"/>
      <c r="I66" s="32"/>
      <c r="J66" s="32"/>
    </row>
    <row r="67" spans="1:10" hidden="1" outlineLevel="1" x14ac:dyDescent="0.25">
      <c r="A67" s="32"/>
      <c r="B67" s="32"/>
      <c r="C67" s="32"/>
      <c r="D67" s="33"/>
      <c r="E67" s="32"/>
      <c r="F67" s="32"/>
      <c r="G67" s="32"/>
      <c r="H67" s="32"/>
      <c r="I67" s="32"/>
      <c r="J67" s="32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30">
        <f>COUNTA(авг_пр)</f>
        <v>0</v>
      </c>
      <c r="E68" s="151">
        <f>SUM(авг_кол)</f>
        <v>0</v>
      </c>
      <c r="F68" s="26">
        <f>COUNTA(акт_вх_авг)+COUNTA(акт_отб_авг)</f>
        <v>0</v>
      </c>
      <c r="G68" s="45"/>
      <c r="H68" s="45"/>
      <c r="I68" s="45"/>
      <c r="J68" s="152">
        <f>SUM(кол_отб_авг)</f>
        <v>0</v>
      </c>
    </row>
    <row r="69" spans="1:10" x14ac:dyDescent="0.25">
      <c r="A69" s="252" t="s">
        <v>12</v>
      </c>
      <c r="B69" s="252"/>
      <c r="C69" s="252"/>
      <c r="D69" s="252"/>
      <c r="E69" s="252"/>
      <c r="F69" s="252"/>
      <c r="G69" s="252"/>
      <c r="H69" s="252"/>
      <c r="I69" s="252"/>
      <c r="J69" s="252"/>
    </row>
    <row r="70" spans="1:10" x14ac:dyDescent="0.25">
      <c r="A70" s="32"/>
      <c r="B70" s="32"/>
      <c r="C70" s="32"/>
      <c r="D70" s="33"/>
      <c r="E70" s="32"/>
      <c r="F70" s="32"/>
      <c r="G70" s="32"/>
      <c r="H70" s="32"/>
      <c r="I70" s="32"/>
      <c r="J70" s="32"/>
    </row>
    <row r="71" spans="1:10" hidden="1" outlineLevel="1" x14ac:dyDescent="0.25">
      <c r="A71" s="32"/>
      <c r="B71" s="32"/>
      <c r="C71" s="32"/>
      <c r="D71" s="33"/>
      <c r="E71" s="32"/>
      <c r="F71" s="32"/>
      <c r="G71" s="32"/>
      <c r="H71" s="32"/>
      <c r="I71" s="32"/>
      <c r="J71" s="32"/>
    </row>
    <row r="72" spans="1:10" hidden="1" outlineLevel="1" x14ac:dyDescent="0.25">
      <c r="A72" s="32"/>
      <c r="B72" s="32"/>
      <c r="C72" s="32"/>
      <c r="D72" s="33"/>
      <c r="E72" s="32"/>
      <c r="F72" s="32"/>
      <c r="G72" s="32"/>
      <c r="H72" s="32"/>
      <c r="I72" s="32"/>
      <c r="J72" s="32"/>
    </row>
    <row r="73" spans="1:10" hidden="1" outlineLevel="1" x14ac:dyDescent="0.25">
      <c r="A73" s="32"/>
      <c r="B73" s="32"/>
      <c r="C73" s="32"/>
      <c r="D73" s="33"/>
      <c r="E73" s="32"/>
      <c r="F73" s="32"/>
      <c r="G73" s="32"/>
      <c r="H73" s="32"/>
      <c r="I73" s="32"/>
      <c r="J73" s="32"/>
    </row>
    <row r="74" spans="1:10" hidden="1" outlineLevel="1" x14ac:dyDescent="0.25">
      <c r="A74" s="32"/>
      <c r="B74" s="32"/>
      <c r="C74" s="32"/>
      <c r="D74" s="33"/>
      <c r="E74" s="32"/>
      <c r="F74" s="32"/>
      <c r="G74" s="32"/>
      <c r="H74" s="32"/>
      <c r="I74" s="32"/>
      <c r="J74" s="32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30">
        <f>COUNTA(снт_пр)</f>
        <v>0</v>
      </c>
      <c r="E75" s="151">
        <f>SUM(снт_кол)</f>
        <v>0</v>
      </c>
      <c r="F75" s="26">
        <f>COUNTA(акт_вх_снт)+COUNTA(акт_отб_снт)</f>
        <v>0</v>
      </c>
      <c r="G75" s="45"/>
      <c r="H75" s="45"/>
      <c r="I75" s="45"/>
      <c r="J75" s="152">
        <f>SUM(кол_отб_снт)</f>
        <v>0</v>
      </c>
    </row>
    <row r="76" spans="1:10" ht="30" customHeight="1" x14ac:dyDescent="0.25">
      <c r="A76" s="39" t="s">
        <v>17</v>
      </c>
      <c r="B76" s="40"/>
      <c r="C76" s="40" t="s">
        <v>142</v>
      </c>
      <c r="D76" s="41">
        <f>SUM(D61,D68,D75)</f>
        <v>0</v>
      </c>
      <c r="E76" s="153">
        <f>SUM(E61,E68,E75)</f>
        <v>0</v>
      </c>
      <c r="F76" s="43">
        <f>SUM(F61,F68,F75)</f>
        <v>0</v>
      </c>
      <c r="G76" s="40"/>
      <c r="H76" s="40" t="e">
        <f>"Кп= "&amp;ROUNDDOWN((F76/D76)*100,1)&amp;"%"</f>
        <v>#DIV/0!</v>
      </c>
      <c r="I76" s="40" t="e">
        <f>"Км= "&amp;ROUNDDOWN((J76/E76)*100,2)&amp;"%"</f>
        <v>#DIV/0!</v>
      </c>
      <c r="J76" s="154">
        <f>SUM(J61,J68,J75)</f>
        <v>0</v>
      </c>
    </row>
    <row r="77" spans="1:10" ht="30" customHeight="1" x14ac:dyDescent="0.25">
      <c r="A77" s="39" t="s">
        <v>17</v>
      </c>
      <c r="B77" s="40"/>
      <c r="C77" s="40" t="s">
        <v>144</v>
      </c>
      <c r="D77" s="41">
        <f>SUM(D52,D76)</f>
        <v>0</v>
      </c>
      <c r="E77" s="153">
        <f>SUM(E76,E52)</f>
        <v>0</v>
      </c>
      <c r="F77" s="43">
        <f>SUM(F76,F52)</f>
        <v>0</v>
      </c>
      <c r="G77" s="40"/>
      <c r="H77" s="40" t="e">
        <f>"Кп= "&amp;ROUNDDOWN((F77/D77)*100,1)&amp;"%"</f>
        <v>#DIV/0!</v>
      </c>
      <c r="I77" s="40" t="e">
        <f>"Км= "&amp;ROUNDDOWN((J77/E77)*100,2)&amp;"%"</f>
        <v>#DIV/0!</v>
      </c>
      <c r="J77" s="154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252" t="s">
        <v>14</v>
      </c>
      <c r="B80" s="252"/>
      <c r="C80" s="252"/>
      <c r="D80" s="252"/>
      <c r="E80" s="252"/>
      <c r="F80" s="252"/>
      <c r="G80" s="252"/>
      <c r="H80" s="252"/>
      <c r="I80" s="252"/>
      <c r="J80" s="252"/>
    </row>
    <row r="81" spans="1:10" x14ac:dyDescent="0.25">
      <c r="A81" s="32"/>
      <c r="B81" s="32"/>
      <c r="C81" s="32"/>
      <c r="D81" s="33"/>
      <c r="E81" s="32"/>
      <c r="F81" s="32"/>
      <c r="G81" s="32"/>
      <c r="H81" s="32"/>
      <c r="I81" s="32"/>
      <c r="J81" s="32"/>
    </row>
    <row r="82" spans="1:10" hidden="1" outlineLevel="1" x14ac:dyDescent="0.25">
      <c r="A82" s="32"/>
      <c r="B82" s="32"/>
      <c r="C82" s="32"/>
      <c r="D82" s="33"/>
      <c r="E82" s="32"/>
      <c r="F82" s="32"/>
      <c r="G82" s="32"/>
      <c r="H82" s="32"/>
      <c r="I82" s="32"/>
      <c r="J82" s="32"/>
    </row>
    <row r="83" spans="1:10" hidden="1" outlineLevel="1" x14ac:dyDescent="0.25">
      <c r="A83" s="32"/>
      <c r="B83" s="32"/>
      <c r="C83" s="32"/>
      <c r="D83" s="33"/>
      <c r="E83" s="32"/>
      <c r="F83" s="32"/>
      <c r="G83" s="32"/>
      <c r="H83" s="32"/>
      <c r="I83" s="32"/>
      <c r="J83" s="32"/>
    </row>
    <row r="84" spans="1:10" hidden="1" outlineLevel="1" x14ac:dyDescent="0.25">
      <c r="A84" s="32"/>
      <c r="B84" s="32"/>
      <c r="C84" s="32"/>
      <c r="D84" s="33"/>
      <c r="E84" s="32"/>
      <c r="F84" s="32"/>
      <c r="G84" s="32"/>
      <c r="H84" s="32"/>
      <c r="I84" s="32"/>
      <c r="J84" s="32"/>
    </row>
    <row r="85" spans="1:10" hidden="1" outlineLevel="1" x14ac:dyDescent="0.25">
      <c r="A85" s="32"/>
      <c r="B85" s="32"/>
      <c r="C85" s="32"/>
      <c r="D85" s="33"/>
      <c r="E85" s="32"/>
      <c r="F85" s="32"/>
      <c r="G85" s="32"/>
      <c r="H85" s="32"/>
      <c r="I85" s="32"/>
      <c r="J85" s="32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30">
        <f>COUNTA(окт_пр)</f>
        <v>0</v>
      </c>
      <c r="E86" s="151">
        <f>SUM(окт_кол)</f>
        <v>0</v>
      </c>
      <c r="F86" s="26">
        <f>COUNTA(акт_вх_окт)+COUNTA(акт_отб_окт)</f>
        <v>0</v>
      </c>
      <c r="G86" s="45"/>
      <c r="H86" s="45"/>
      <c r="I86" s="45"/>
      <c r="J86" s="152">
        <f>SUM(кол_отб_окт)</f>
        <v>0</v>
      </c>
    </row>
    <row r="87" spans="1:10" x14ac:dyDescent="0.25">
      <c r="A87" s="252" t="s">
        <v>15</v>
      </c>
      <c r="B87" s="252"/>
      <c r="C87" s="252"/>
      <c r="D87" s="252"/>
      <c r="E87" s="252"/>
      <c r="F87" s="252"/>
      <c r="G87" s="252"/>
      <c r="H87" s="252"/>
      <c r="I87" s="252"/>
      <c r="J87" s="252"/>
    </row>
    <row r="88" spans="1:10" x14ac:dyDescent="0.25">
      <c r="A88" s="32"/>
      <c r="B88" s="32"/>
      <c r="C88" s="32"/>
      <c r="D88" s="33"/>
      <c r="E88" s="32"/>
      <c r="F88" s="32"/>
      <c r="G88" s="32"/>
      <c r="H88" s="32"/>
      <c r="I88" s="32"/>
      <c r="J88" s="32"/>
    </row>
    <row r="89" spans="1:10" hidden="1" outlineLevel="1" x14ac:dyDescent="0.25">
      <c r="A89" s="32"/>
      <c r="B89" s="32"/>
      <c r="C89" s="32"/>
      <c r="D89" s="33"/>
      <c r="E89" s="32"/>
      <c r="F89" s="32"/>
      <c r="G89" s="32"/>
      <c r="H89" s="32"/>
      <c r="I89" s="32"/>
      <c r="J89" s="32"/>
    </row>
    <row r="90" spans="1:10" hidden="1" outlineLevel="1" x14ac:dyDescent="0.25">
      <c r="A90" s="32"/>
      <c r="B90" s="32"/>
      <c r="C90" s="32"/>
      <c r="D90" s="33"/>
      <c r="E90" s="32"/>
      <c r="F90" s="32"/>
      <c r="G90" s="32"/>
      <c r="H90" s="32"/>
      <c r="I90" s="32"/>
      <c r="J90" s="32"/>
    </row>
    <row r="91" spans="1:10" hidden="1" outlineLevel="1" x14ac:dyDescent="0.25">
      <c r="A91" s="32"/>
      <c r="B91" s="32"/>
      <c r="C91" s="32"/>
      <c r="D91" s="33"/>
      <c r="E91" s="32"/>
      <c r="F91" s="32"/>
      <c r="G91" s="32"/>
      <c r="H91" s="32"/>
      <c r="I91" s="32"/>
      <c r="J91" s="32"/>
    </row>
    <row r="92" spans="1:10" hidden="1" outlineLevel="1" x14ac:dyDescent="0.25">
      <c r="A92" s="32"/>
      <c r="B92" s="32"/>
      <c r="C92" s="32"/>
      <c r="D92" s="33"/>
      <c r="E92" s="32"/>
      <c r="F92" s="32"/>
      <c r="G92" s="32"/>
      <c r="H92" s="32"/>
      <c r="I92" s="32"/>
      <c r="J92" s="32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30">
        <f>COUNTA(нбр_пр)</f>
        <v>0</v>
      </c>
      <c r="E93" s="151">
        <f>SUM(нбр_кол)</f>
        <v>0</v>
      </c>
      <c r="F93" s="26">
        <f>COUNTA(акт_вх_нбр)+COUNTA(акт_отб_нбр)</f>
        <v>0</v>
      </c>
      <c r="G93" s="45"/>
      <c r="H93" s="45"/>
      <c r="I93" s="45"/>
      <c r="J93" s="152">
        <f>SUM(кол_отб_нбр)</f>
        <v>0</v>
      </c>
    </row>
    <row r="94" spans="1:10" x14ac:dyDescent="0.25">
      <c r="A94" s="252" t="s">
        <v>16</v>
      </c>
      <c r="B94" s="252"/>
      <c r="C94" s="252"/>
      <c r="D94" s="252"/>
      <c r="E94" s="252"/>
      <c r="F94" s="252"/>
      <c r="G94" s="252"/>
      <c r="H94" s="252"/>
      <c r="I94" s="252"/>
      <c r="J94" s="252"/>
    </row>
    <row r="95" spans="1:10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</row>
    <row r="96" spans="1:10" hidden="1" outlineLevel="1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</row>
    <row r="97" spans="1:10" hidden="1" outlineLevel="1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</row>
    <row r="98" spans="1:10" hidden="1" outlineLevel="1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</row>
    <row r="99" spans="1:10" hidden="1" outlineLevel="1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30">
        <f>COUNTA(дкб_пр)</f>
        <v>0</v>
      </c>
      <c r="E100" s="151">
        <f>SUM(дкб_кол)</f>
        <v>0</v>
      </c>
      <c r="F100" s="26">
        <f>COUNTA(акт_вх_дкб)+COUNTA(акт_отб_дкб)</f>
        <v>0</v>
      </c>
      <c r="G100" s="45"/>
      <c r="H100" s="45"/>
      <c r="I100" s="45"/>
      <c r="J100" s="152">
        <f>SUM(кол_отб_дкб)</f>
        <v>0</v>
      </c>
    </row>
    <row r="101" spans="1:10" ht="32.25" customHeight="1" x14ac:dyDescent="0.25">
      <c r="A101" s="39" t="s">
        <v>17</v>
      </c>
      <c r="B101" s="40"/>
      <c r="C101" s="40" t="s">
        <v>143</v>
      </c>
      <c r="D101" s="41">
        <f>SUM(D86,D93,D100)</f>
        <v>0</v>
      </c>
      <c r="E101" s="153">
        <f>SUM(E86,E93,E100)</f>
        <v>0</v>
      </c>
      <c r="F101" s="43">
        <f>SUM(F86,F93,F100)</f>
        <v>0</v>
      </c>
      <c r="G101" s="40"/>
      <c r="H101" s="40" t="e">
        <f>"Кп= "&amp;ROUNDDOWN((F101/D101)*100,1)&amp;"%"</f>
        <v>#DIV/0!</v>
      </c>
      <c r="I101" s="40" t="e">
        <f>"Км= "&amp;ROUNDDOWN((J101/E101)*100,2)&amp;"%"</f>
        <v>#DIV/0!</v>
      </c>
      <c r="J101" s="154">
        <f>SUM(J86,J93,J100)</f>
        <v>0</v>
      </c>
    </row>
    <row r="102" spans="1:10" ht="27" customHeight="1" x14ac:dyDescent="0.25">
      <c r="A102" s="39" t="s">
        <v>17</v>
      </c>
      <c r="B102" s="40"/>
      <c r="C102" s="40" t="s">
        <v>145</v>
      </c>
      <c r="D102" s="41">
        <f>SUM(D101,D77)</f>
        <v>0</v>
      </c>
      <c r="E102" s="153">
        <f>SUM(E101,E77)</f>
        <v>0</v>
      </c>
      <c r="F102" s="43">
        <f>SUM(F101,F77)</f>
        <v>0</v>
      </c>
      <c r="G102" s="40"/>
      <c r="H102" s="40" t="e">
        <f>"Кп= "&amp;ROUNDDOWN((F102/D102)*100,1)&amp;"%"</f>
        <v>#DIV/0!</v>
      </c>
      <c r="I102" s="40" t="e">
        <f>"Км= "&amp;ROUNDDOWN((J102/E102)*100,2)&amp;"%"</f>
        <v>#DIV/0!</v>
      </c>
      <c r="J102" s="154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2QEaHzOQ0QBDMAxEavmpxsuXHji6SFh7YQ/3qbDO/u8IguarinqwoWN3XStYRDfBpMpAznNc85S2u3QO929qXQ==" saltValue="hvG+Aek1M+Qz7YnI4HdNqw==" spinCount="100000" sheet="1" formatCells="0" formatColumns="0" formatRows="0" insertColumns="0" insertRows="0" insertHyperlinks="0" deleteColumns="0" deleteRows="0" sort="0" autoFilter="0" pivotTables="0"/>
  <mergeCells count="21">
    <mergeCell ref="A94:J94"/>
    <mergeCell ref="A6:J6"/>
    <mergeCell ref="A13:J13"/>
    <mergeCell ref="A20:J20"/>
    <mergeCell ref="A30:J30"/>
    <mergeCell ref="A37:J37"/>
    <mergeCell ref="A44:J44"/>
    <mergeCell ref="A55:J55"/>
    <mergeCell ref="A62:J62"/>
    <mergeCell ref="A69:J69"/>
    <mergeCell ref="A80:J80"/>
    <mergeCell ref="A87:J87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E2B33-BB71-4B8A-AA06-E69B185DB9EE}">
  <sheetPr codeName="Лист3"/>
  <dimension ref="A1:B33"/>
  <sheetViews>
    <sheetView workbookViewId="0">
      <selection activeCell="A2" sqref="A2"/>
    </sheetView>
  </sheetViews>
  <sheetFormatPr defaultRowHeight="15" x14ac:dyDescent="0.25"/>
  <cols>
    <col min="1" max="1" width="45.140625" customWidth="1"/>
    <col min="2" max="2" width="9.140625" style="23"/>
    <col min="4" max="4" width="47.140625" customWidth="1"/>
    <col min="6" max="6" width="10.28515625" bestFit="1" customWidth="1"/>
    <col min="9" max="9" width="9.140625" customWidth="1"/>
    <col min="10" max="10" width="8.42578125" customWidth="1"/>
    <col min="11" max="11" width="35.5703125" customWidth="1"/>
  </cols>
  <sheetData>
    <row r="1" spans="1:2" x14ac:dyDescent="0.25">
      <c r="A1" s="21" t="s">
        <v>41</v>
      </c>
      <c r="B1" s="22" t="s">
        <v>40</v>
      </c>
    </row>
    <row r="2" spans="1:2" x14ac:dyDescent="0.25">
      <c r="A2" s="24" t="s">
        <v>34</v>
      </c>
      <c r="B2" s="23" t="s">
        <v>43</v>
      </c>
    </row>
    <row r="3" spans="1:2" x14ac:dyDescent="0.25">
      <c r="A3" s="24" t="s">
        <v>36</v>
      </c>
      <c r="B3" s="23" t="s">
        <v>44</v>
      </c>
    </row>
    <row r="4" spans="1:2" x14ac:dyDescent="0.25">
      <c r="A4" t="s">
        <v>35</v>
      </c>
      <c r="B4" s="23" t="s">
        <v>45</v>
      </c>
    </row>
    <row r="5" spans="1:2" x14ac:dyDescent="0.25">
      <c r="A5" t="s">
        <v>33</v>
      </c>
      <c r="B5" s="23" t="s">
        <v>46</v>
      </c>
    </row>
    <row r="6" spans="1:2" x14ac:dyDescent="0.25">
      <c r="A6" t="s">
        <v>31</v>
      </c>
      <c r="B6" s="23" t="s">
        <v>47</v>
      </c>
    </row>
    <row r="7" spans="1:2" x14ac:dyDescent="0.25">
      <c r="A7" t="s">
        <v>32</v>
      </c>
      <c r="B7" s="23" t="s">
        <v>48</v>
      </c>
    </row>
    <row r="8" spans="1:2" x14ac:dyDescent="0.25">
      <c r="A8" t="s">
        <v>37</v>
      </c>
      <c r="B8" s="23" t="s">
        <v>49</v>
      </c>
    </row>
    <row r="9" spans="1:2" x14ac:dyDescent="0.25">
      <c r="A9" t="s">
        <v>38</v>
      </c>
      <c r="B9" s="23" t="s">
        <v>50</v>
      </c>
    </row>
    <row r="10" spans="1:2" x14ac:dyDescent="0.25">
      <c r="A10" t="s">
        <v>39</v>
      </c>
      <c r="B10" s="23" t="s">
        <v>51</v>
      </c>
    </row>
    <row r="11" spans="1:2" x14ac:dyDescent="0.25">
      <c r="A11" t="s">
        <v>53</v>
      </c>
      <c r="B11" s="23" t="s">
        <v>52</v>
      </c>
    </row>
    <row r="12" spans="1:2" x14ac:dyDescent="0.25">
      <c r="A12" t="s">
        <v>54</v>
      </c>
      <c r="B12" s="23" t="s">
        <v>74</v>
      </c>
    </row>
    <row r="13" spans="1:2" x14ac:dyDescent="0.25">
      <c r="A13" t="s">
        <v>55</v>
      </c>
      <c r="B13" s="23" t="s">
        <v>75</v>
      </c>
    </row>
    <row r="14" spans="1:2" x14ac:dyDescent="0.25">
      <c r="A14" t="s">
        <v>56</v>
      </c>
      <c r="B14" s="23" t="s">
        <v>76</v>
      </c>
    </row>
    <row r="15" spans="1:2" x14ac:dyDescent="0.25">
      <c r="A15" t="s">
        <v>57</v>
      </c>
      <c r="B15" s="23" t="s">
        <v>77</v>
      </c>
    </row>
    <row r="16" spans="1:2" x14ac:dyDescent="0.25">
      <c r="A16" t="s">
        <v>58</v>
      </c>
      <c r="B16" s="23" t="s">
        <v>78</v>
      </c>
    </row>
    <row r="17" spans="1:2" x14ac:dyDescent="0.25">
      <c r="A17" t="s">
        <v>59</v>
      </c>
      <c r="B17" s="23" t="s">
        <v>79</v>
      </c>
    </row>
    <row r="18" spans="1:2" x14ac:dyDescent="0.25">
      <c r="A18" t="s">
        <v>60</v>
      </c>
      <c r="B18" s="23" t="s">
        <v>80</v>
      </c>
    </row>
    <row r="19" spans="1:2" x14ac:dyDescent="0.25">
      <c r="A19" t="s">
        <v>61</v>
      </c>
      <c r="B19" s="23" t="s">
        <v>81</v>
      </c>
    </row>
    <row r="20" spans="1:2" x14ac:dyDescent="0.25">
      <c r="A20" t="s">
        <v>62</v>
      </c>
      <c r="B20" s="23" t="s">
        <v>82</v>
      </c>
    </row>
    <row r="21" spans="1:2" x14ac:dyDescent="0.25">
      <c r="A21" t="s">
        <v>63</v>
      </c>
      <c r="B21" s="23" t="s">
        <v>83</v>
      </c>
    </row>
    <row r="22" spans="1:2" x14ac:dyDescent="0.25">
      <c r="A22" t="s">
        <v>64</v>
      </c>
      <c r="B22" s="23" t="s">
        <v>84</v>
      </c>
    </row>
    <row r="23" spans="1:2" x14ac:dyDescent="0.25">
      <c r="A23" t="s">
        <v>65</v>
      </c>
      <c r="B23" s="23" t="s">
        <v>85</v>
      </c>
    </row>
    <row r="24" spans="1:2" x14ac:dyDescent="0.25">
      <c r="A24" t="s">
        <v>66</v>
      </c>
      <c r="B24" s="23" t="s">
        <v>86</v>
      </c>
    </row>
    <row r="25" spans="1:2" x14ac:dyDescent="0.25">
      <c r="A25" t="s">
        <v>67</v>
      </c>
      <c r="B25" s="23" t="s">
        <v>87</v>
      </c>
    </row>
    <row r="26" spans="1:2" x14ac:dyDescent="0.25">
      <c r="A26" t="s">
        <v>68</v>
      </c>
      <c r="B26" s="23" t="s">
        <v>88</v>
      </c>
    </row>
    <row r="27" spans="1:2" x14ac:dyDescent="0.25">
      <c r="A27" t="s">
        <v>69</v>
      </c>
      <c r="B27" s="23" t="s">
        <v>89</v>
      </c>
    </row>
    <row r="28" spans="1:2" x14ac:dyDescent="0.25">
      <c r="A28" t="s">
        <v>70</v>
      </c>
      <c r="B28" s="23" t="s">
        <v>90</v>
      </c>
    </row>
    <row r="29" spans="1:2" x14ac:dyDescent="0.25">
      <c r="A29" t="s">
        <v>71</v>
      </c>
      <c r="B29" s="23" t="s">
        <v>91</v>
      </c>
    </row>
    <row r="30" spans="1:2" x14ac:dyDescent="0.25">
      <c r="A30" t="s">
        <v>72</v>
      </c>
      <c r="B30" s="23" t="s">
        <v>92</v>
      </c>
    </row>
    <row r="31" spans="1:2" x14ac:dyDescent="0.25">
      <c r="A31" t="s">
        <v>73</v>
      </c>
      <c r="B31" s="23" t="s">
        <v>93</v>
      </c>
    </row>
    <row r="32" spans="1:2" x14ac:dyDescent="0.25">
      <c r="A32" t="s">
        <v>240</v>
      </c>
      <c r="B32" s="23" t="s">
        <v>94</v>
      </c>
    </row>
    <row r="33" spans="1:2" x14ac:dyDescent="0.25">
      <c r="A33" t="s">
        <v>42</v>
      </c>
      <c r="B33" s="23" t="s">
        <v>95</v>
      </c>
    </row>
  </sheetData>
  <sheetProtection algorithmName="SHA-512" hashValue="nuQS+4EAwJxP883jJ1JitfjKV3TCXjH7ca2tTiV5ybY5noctXhxxieznUG4fSHljNTahdUSxktK5xomFr5UAdw==" saltValue="rr9imKjJQvfrqIFljwCN4g==" spinCount="100000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F14" xr:uid="{465CEC08-1E5F-444D-8647-98AFB6673940}">
      <formula1>INDIRECT("Таблица1[Наименование]")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D7D02-FD48-4A7F-8912-13FE6D378E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602</vt:i4>
      </vt:variant>
    </vt:vector>
  </HeadingPairs>
  <TitlesOfParts>
    <vt:vector size="614" baseType="lpstr">
      <vt:lpstr>Журнал входного контроля</vt:lpstr>
      <vt:lpstr>Мастика 2019</vt:lpstr>
      <vt:lpstr>ПВХ 2019</vt:lpstr>
      <vt:lpstr>ПВХ липкое 2019</vt:lpstr>
      <vt:lpstr>Антиадгезив 2019</vt:lpstr>
      <vt:lpstr>Праймер ПЛ-М 2019</vt:lpstr>
      <vt:lpstr>Шпули 2019</vt:lpstr>
      <vt:lpstr>Пакеты 2019</vt:lpstr>
      <vt:lpstr>Коробки 2019</vt:lpstr>
      <vt:lpstr>Шаблон (кг.)</vt:lpstr>
      <vt:lpstr>Шаблон (шт.)</vt:lpstr>
      <vt:lpstr>База данных</vt:lpstr>
      <vt:lpstr>'Антиадгезив 2019'!авг_кол</vt:lpstr>
      <vt:lpstr>'Коробки 2019'!авг_кол</vt:lpstr>
      <vt:lpstr>'Мастика 2019'!авг_кол</vt:lpstr>
      <vt:lpstr>'Пакеты 2019'!авг_кол</vt:lpstr>
      <vt:lpstr>'ПВХ 2019'!авг_кол</vt:lpstr>
      <vt:lpstr>'ПВХ липкое 2019'!авг_кол</vt:lpstr>
      <vt:lpstr>'Праймер ПЛ-М 2019'!авг_кол</vt:lpstr>
      <vt:lpstr>'Шаблон (шт.)'!авг_кол</vt:lpstr>
      <vt:lpstr>'Шпули 2019'!авг_кол</vt:lpstr>
      <vt:lpstr>авг_кол</vt:lpstr>
      <vt:lpstr>'Антиадгезив 2019'!авг_пр</vt:lpstr>
      <vt:lpstr>'Коробки 2019'!авг_пр</vt:lpstr>
      <vt:lpstr>'Мастика 2019'!авг_пр</vt:lpstr>
      <vt:lpstr>'Пакеты 2019'!авг_пр</vt:lpstr>
      <vt:lpstr>'ПВХ 2019'!авг_пр</vt:lpstr>
      <vt:lpstr>'ПВХ липкое 2019'!авг_пр</vt:lpstr>
      <vt:lpstr>'Праймер ПЛ-М 2019'!авг_пр</vt:lpstr>
      <vt:lpstr>'Шаблон (шт.)'!авг_пр</vt:lpstr>
      <vt:lpstr>'Шпули 2019'!авг_пр</vt:lpstr>
      <vt:lpstr>авг_пр</vt:lpstr>
      <vt:lpstr>'Антиадгезив 2019'!акт_вх_авг</vt:lpstr>
      <vt:lpstr>'Коробки 2019'!акт_вх_авг</vt:lpstr>
      <vt:lpstr>'Мастика 2019'!акт_вх_авг</vt:lpstr>
      <vt:lpstr>'Пакеты 2019'!акт_вх_авг</vt:lpstr>
      <vt:lpstr>'ПВХ 2019'!акт_вх_авг</vt:lpstr>
      <vt:lpstr>'ПВХ липкое 2019'!акт_вх_авг</vt:lpstr>
      <vt:lpstr>'Праймер ПЛ-М 2019'!акт_вх_авг</vt:lpstr>
      <vt:lpstr>'Шаблон (шт.)'!акт_вх_авг</vt:lpstr>
      <vt:lpstr>'Шпули 2019'!акт_вх_авг</vt:lpstr>
      <vt:lpstr>акт_вх_авг</vt:lpstr>
      <vt:lpstr>'Антиадгезив 2019'!акт_вх_апр</vt:lpstr>
      <vt:lpstr>'Коробки 2019'!акт_вх_апр</vt:lpstr>
      <vt:lpstr>'Мастика 2019'!акт_вх_апр</vt:lpstr>
      <vt:lpstr>'Пакеты 2019'!акт_вх_апр</vt:lpstr>
      <vt:lpstr>'ПВХ 2019'!акт_вх_апр</vt:lpstr>
      <vt:lpstr>'ПВХ липкое 2019'!акт_вх_апр</vt:lpstr>
      <vt:lpstr>'Праймер ПЛ-М 2019'!акт_вх_апр</vt:lpstr>
      <vt:lpstr>'Шаблон (шт.)'!акт_вх_апр</vt:lpstr>
      <vt:lpstr>'Шпули 2019'!акт_вх_апр</vt:lpstr>
      <vt:lpstr>акт_вх_апр</vt:lpstr>
      <vt:lpstr>'Антиадгезив 2019'!акт_вх_дкб</vt:lpstr>
      <vt:lpstr>'Коробки 2019'!акт_вх_дкб</vt:lpstr>
      <vt:lpstr>'Мастика 2019'!акт_вх_дкб</vt:lpstr>
      <vt:lpstr>'Пакеты 2019'!акт_вх_дкб</vt:lpstr>
      <vt:lpstr>'ПВХ 2019'!акт_вх_дкб</vt:lpstr>
      <vt:lpstr>'ПВХ липкое 2019'!акт_вх_дкб</vt:lpstr>
      <vt:lpstr>'Праймер ПЛ-М 2019'!акт_вх_дкб</vt:lpstr>
      <vt:lpstr>'Шаблон (шт.)'!акт_вх_дкб</vt:lpstr>
      <vt:lpstr>'Шпули 2019'!акт_вх_дкб</vt:lpstr>
      <vt:lpstr>акт_вх_дкб</vt:lpstr>
      <vt:lpstr>'Антиадгезив 2019'!акт_вх_июл</vt:lpstr>
      <vt:lpstr>'Коробки 2019'!акт_вх_июл</vt:lpstr>
      <vt:lpstr>'Мастика 2019'!акт_вх_июл</vt:lpstr>
      <vt:lpstr>'Пакеты 2019'!акт_вх_июл</vt:lpstr>
      <vt:lpstr>'ПВХ 2019'!акт_вх_июл</vt:lpstr>
      <vt:lpstr>'ПВХ липкое 2019'!акт_вх_июл</vt:lpstr>
      <vt:lpstr>'Праймер ПЛ-М 2019'!акт_вх_июл</vt:lpstr>
      <vt:lpstr>'Шаблон (шт.)'!акт_вх_июл</vt:lpstr>
      <vt:lpstr>'Шпули 2019'!акт_вх_июл</vt:lpstr>
      <vt:lpstr>акт_вх_июл</vt:lpstr>
      <vt:lpstr>'Антиадгезив 2019'!акт_вх_июн</vt:lpstr>
      <vt:lpstr>'Коробки 2019'!акт_вх_июн</vt:lpstr>
      <vt:lpstr>'Мастика 2019'!акт_вх_июн</vt:lpstr>
      <vt:lpstr>'Пакеты 2019'!акт_вх_июн</vt:lpstr>
      <vt:lpstr>'ПВХ 2019'!акт_вх_июн</vt:lpstr>
      <vt:lpstr>'ПВХ липкое 2019'!акт_вх_июн</vt:lpstr>
      <vt:lpstr>'Праймер ПЛ-М 2019'!акт_вх_июн</vt:lpstr>
      <vt:lpstr>'Шаблон (шт.)'!акт_вх_июн</vt:lpstr>
      <vt:lpstr>'Шпули 2019'!акт_вх_июн</vt:lpstr>
      <vt:lpstr>акт_вх_июн</vt:lpstr>
      <vt:lpstr>'Антиадгезив 2019'!акт_вх_май</vt:lpstr>
      <vt:lpstr>'Коробки 2019'!акт_вх_май</vt:lpstr>
      <vt:lpstr>'Мастика 2019'!акт_вх_май</vt:lpstr>
      <vt:lpstr>'Пакеты 2019'!акт_вх_май</vt:lpstr>
      <vt:lpstr>'ПВХ 2019'!акт_вх_май</vt:lpstr>
      <vt:lpstr>'ПВХ липкое 2019'!акт_вх_май</vt:lpstr>
      <vt:lpstr>'Праймер ПЛ-М 2019'!акт_вх_май</vt:lpstr>
      <vt:lpstr>'Шаблон (шт.)'!акт_вх_май</vt:lpstr>
      <vt:lpstr>'Шпули 2019'!акт_вх_май</vt:lpstr>
      <vt:lpstr>акт_вх_май</vt:lpstr>
      <vt:lpstr>'Антиадгезив 2019'!акт_вх_мрт</vt:lpstr>
      <vt:lpstr>'Коробки 2019'!акт_вх_мрт</vt:lpstr>
      <vt:lpstr>'Мастика 2019'!акт_вх_мрт</vt:lpstr>
      <vt:lpstr>'Пакеты 2019'!акт_вх_мрт</vt:lpstr>
      <vt:lpstr>'ПВХ 2019'!акт_вх_мрт</vt:lpstr>
      <vt:lpstr>'ПВХ липкое 2019'!акт_вх_мрт</vt:lpstr>
      <vt:lpstr>'Праймер ПЛ-М 2019'!акт_вх_мрт</vt:lpstr>
      <vt:lpstr>'Шаблон (шт.)'!акт_вх_мрт</vt:lpstr>
      <vt:lpstr>'Шпули 2019'!акт_вх_мрт</vt:lpstr>
      <vt:lpstr>акт_вх_мрт</vt:lpstr>
      <vt:lpstr>'Антиадгезив 2019'!акт_вх_нбр</vt:lpstr>
      <vt:lpstr>'Коробки 2019'!акт_вх_нбр</vt:lpstr>
      <vt:lpstr>'Мастика 2019'!акт_вх_нбр</vt:lpstr>
      <vt:lpstr>'Пакеты 2019'!акт_вх_нбр</vt:lpstr>
      <vt:lpstr>'ПВХ 2019'!акт_вх_нбр</vt:lpstr>
      <vt:lpstr>'ПВХ липкое 2019'!акт_вх_нбр</vt:lpstr>
      <vt:lpstr>'Праймер ПЛ-М 2019'!акт_вх_нбр</vt:lpstr>
      <vt:lpstr>'Шаблон (шт.)'!акт_вх_нбр</vt:lpstr>
      <vt:lpstr>'Шпули 2019'!акт_вх_нбр</vt:lpstr>
      <vt:lpstr>акт_вх_нбр</vt:lpstr>
      <vt:lpstr>'Антиадгезив 2019'!акт_вх_окт</vt:lpstr>
      <vt:lpstr>'Коробки 2019'!акт_вх_окт</vt:lpstr>
      <vt:lpstr>'Мастика 2019'!акт_вх_окт</vt:lpstr>
      <vt:lpstr>'Пакеты 2019'!акт_вх_окт</vt:lpstr>
      <vt:lpstr>'ПВХ 2019'!акт_вх_окт</vt:lpstr>
      <vt:lpstr>'ПВХ липкое 2019'!акт_вх_окт</vt:lpstr>
      <vt:lpstr>'Праймер ПЛ-М 2019'!акт_вх_окт</vt:lpstr>
      <vt:lpstr>'Шаблон (шт.)'!акт_вх_окт</vt:lpstr>
      <vt:lpstr>'Шпули 2019'!акт_вх_окт</vt:lpstr>
      <vt:lpstr>акт_вх_окт</vt:lpstr>
      <vt:lpstr>'Антиадгезив 2019'!акт_вх_снт</vt:lpstr>
      <vt:lpstr>'Коробки 2019'!акт_вх_снт</vt:lpstr>
      <vt:lpstr>'Мастика 2019'!акт_вх_снт</vt:lpstr>
      <vt:lpstr>'Пакеты 2019'!акт_вх_снт</vt:lpstr>
      <vt:lpstr>'ПВХ 2019'!акт_вх_снт</vt:lpstr>
      <vt:lpstr>'ПВХ липкое 2019'!акт_вх_снт</vt:lpstr>
      <vt:lpstr>'Праймер ПЛ-М 2019'!акт_вх_снт</vt:lpstr>
      <vt:lpstr>'Шаблон (шт.)'!акт_вх_снт</vt:lpstr>
      <vt:lpstr>'Шпули 2019'!акт_вх_снт</vt:lpstr>
      <vt:lpstr>акт_вх_снт</vt:lpstr>
      <vt:lpstr>'Антиадгезив 2019'!акт_вх_фев</vt:lpstr>
      <vt:lpstr>'Коробки 2019'!акт_вх_фев</vt:lpstr>
      <vt:lpstr>'Мастика 2019'!акт_вх_фев</vt:lpstr>
      <vt:lpstr>'Пакеты 2019'!акт_вх_фев</vt:lpstr>
      <vt:lpstr>'ПВХ 2019'!акт_вх_фев</vt:lpstr>
      <vt:lpstr>'ПВХ липкое 2019'!акт_вх_фев</vt:lpstr>
      <vt:lpstr>'Праймер ПЛ-М 2019'!акт_вх_фев</vt:lpstr>
      <vt:lpstr>'Шаблон (шт.)'!акт_вх_фев</vt:lpstr>
      <vt:lpstr>'Шпули 2019'!акт_вх_фев</vt:lpstr>
      <vt:lpstr>акт_вх_фев</vt:lpstr>
      <vt:lpstr>'Антиадгезив 2019'!акт_вх_янв</vt:lpstr>
      <vt:lpstr>'Коробки 2019'!акт_вх_янв</vt:lpstr>
      <vt:lpstr>'Мастика 2019'!акт_вх_янв</vt:lpstr>
      <vt:lpstr>'Пакеты 2019'!акт_вх_янв</vt:lpstr>
      <vt:lpstr>'ПВХ 2019'!акт_вх_янв</vt:lpstr>
      <vt:lpstr>'ПВХ липкое 2019'!акт_вх_янв</vt:lpstr>
      <vt:lpstr>'Праймер ПЛ-М 2019'!акт_вх_янв</vt:lpstr>
      <vt:lpstr>'Шаблон (шт.)'!акт_вх_янв</vt:lpstr>
      <vt:lpstr>'Шпули 2019'!акт_вх_янв</vt:lpstr>
      <vt:lpstr>акт_вх_янв</vt:lpstr>
      <vt:lpstr>'Антиадгезив 2019'!акт_отб_авг</vt:lpstr>
      <vt:lpstr>'Коробки 2019'!акт_отб_авг</vt:lpstr>
      <vt:lpstr>'Мастика 2019'!акт_отб_авг</vt:lpstr>
      <vt:lpstr>'Пакеты 2019'!акт_отб_авг</vt:lpstr>
      <vt:lpstr>'ПВХ 2019'!акт_отб_авг</vt:lpstr>
      <vt:lpstr>'ПВХ липкое 2019'!акт_отб_авг</vt:lpstr>
      <vt:lpstr>'Праймер ПЛ-М 2019'!акт_отб_авг</vt:lpstr>
      <vt:lpstr>'Шаблон (шт.)'!акт_отб_авг</vt:lpstr>
      <vt:lpstr>'Шпули 2019'!акт_отб_авг</vt:lpstr>
      <vt:lpstr>акт_отб_авг</vt:lpstr>
      <vt:lpstr>'Антиадгезив 2019'!акт_отб_апр</vt:lpstr>
      <vt:lpstr>'Коробки 2019'!акт_отб_апр</vt:lpstr>
      <vt:lpstr>'Мастика 2019'!акт_отб_апр</vt:lpstr>
      <vt:lpstr>'Пакеты 2019'!акт_отб_апр</vt:lpstr>
      <vt:lpstr>'ПВХ 2019'!акт_отб_апр</vt:lpstr>
      <vt:lpstr>'ПВХ липкое 2019'!акт_отб_апр</vt:lpstr>
      <vt:lpstr>'Праймер ПЛ-М 2019'!акт_отб_апр</vt:lpstr>
      <vt:lpstr>'Шаблон (шт.)'!акт_отб_апр</vt:lpstr>
      <vt:lpstr>'Шпули 2019'!акт_отб_апр</vt:lpstr>
      <vt:lpstr>акт_отб_апр</vt:lpstr>
      <vt:lpstr>'Антиадгезив 2019'!акт_отб_дкб</vt:lpstr>
      <vt:lpstr>'Коробки 2019'!акт_отб_дкб</vt:lpstr>
      <vt:lpstr>'Мастика 2019'!акт_отб_дкб</vt:lpstr>
      <vt:lpstr>'Пакеты 2019'!акт_отб_дкб</vt:lpstr>
      <vt:lpstr>'ПВХ 2019'!акт_отб_дкб</vt:lpstr>
      <vt:lpstr>'ПВХ липкое 2019'!акт_отб_дкб</vt:lpstr>
      <vt:lpstr>'Праймер ПЛ-М 2019'!акт_отб_дкб</vt:lpstr>
      <vt:lpstr>'Шаблон (шт.)'!акт_отб_дкб</vt:lpstr>
      <vt:lpstr>'Шпули 2019'!акт_отб_дкб</vt:lpstr>
      <vt:lpstr>акт_отб_дкб</vt:lpstr>
      <vt:lpstr>'Антиадгезив 2019'!акт_отб_июл</vt:lpstr>
      <vt:lpstr>'Коробки 2019'!акт_отб_июл</vt:lpstr>
      <vt:lpstr>'Мастика 2019'!акт_отб_июл</vt:lpstr>
      <vt:lpstr>'Пакеты 2019'!акт_отб_июл</vt:lpstr>
      <vt:lpstr>'ПВХ 2019'!акт_отб_июл</vt:lpstr>
      <vt:lpstr>'ПВХ липкое 2019'!акт_отб_июл</vt:lpstr>
      <vt:lpstr>'Праймер ПЛ-М 2019'!акт_отб_июл</vt:lpstr>
      <vt:lpstr>'Шаблон (шт.)'!акт_отб_июл</vt:lpstr>
      <vt:lpstr>'Шпули 2019'!акт_отб_июл</vt:lpstr>
      <vt:lpstr>акт_отб_июл</vt:lpstr>
      <vt:lpstr>'Антиадгезив 2019'!акт_отб_июн</vt:lpstr>
      <vt:lpstr>'Коробки 2019'!акт_отб_июн</vt:lpstr>
      <vt:lpstr>'Мастика 2019'!акт_отб_июн</vt:lpstr>
      <vt:lpstr>'Пакеты 2019'!акт_отб_июн</vt:lpstr>
      <vt:lpstr>'ПВХ 2019'!акт_отб_июн</vt:lpstr>
      <vt:lpstr>'ПВХ липкое 2019'!акт_отб_июн</vt:lpstr>
      <vt:lpstr>'Праймер ПЛ-М 2019'!акт_отб_июн</vt:lpstr>
      <vt:lpstr>'Шаблон (шт.)'!акт_отб_июн</vt:lpstr>
      <vt:lpstr>'Шпули 2019'!акт_отб_июн</vt:lpstr>
      <vt:lpstr>акт_отб_июн</vt:lpstr>
      <vt:lpstr>'Антиадгезив 2019'!акт_отб_май</vt:lpstr>
      <vt:lpstr>'Коробки 2019'!акт_отб_май</vt:lpstr>
      <vt:lpstr>'Мастика 2019'!акт_отб_май</vt:lpstr>
      <vt:lpstr>'Пакеты 2019'!акт_отб_май</vt:lpstr>
      <vt:lpstr>'ПВХ 2019'!акт_отб_май</vt:lpstr>
      <vt:lpstr>'ПВХ липкое 2019'!акт_отб_май</vt:lpstr>
      <vt:lpstr>'Праймер ПЛ-М 2019'!акт_отб_май</vt:lpstr>
      <vt:lpstr>'Шаблон (шт.)'!акт_отб_май</vt:lpstr>
      <vt:lpstr>'Шпули 2019'!акт_отб_май</vt:lpstr>
      <vt:lpstr>акт_отб_май</vt:lpstr>
      <vt:lpstr>'Антиадгезив 2019'!акт_отб_мрт</vt:lpstr>
      <vt:lpstr>'Коробки 2019'!акт_отб_мрт</vt:lpstr>
      <vt:lpstr>'Мастика 2019'!акт_отб_мрт</vt:lpstr>
      <vt:lpstr>'Пакеты 2019'!акт_отб_мрт</vt:lpstr>
      <vt:lpstr>'ПВХ 2019'!акт_отб_мрт</vt:lpstr>
      <vt:lpstr>'ПВХ липкое 2019'!акт_отб_мрт</vt:lpstr>
      <vt:lpstr>'Праймер ПЛ-М 2019'!акт_отб_мрт</vt:lpstr>
      <vt:lpstr>'Шаблон (шт.)'!акт_отб_мрт</vt:lpstr>
      <vt:lpstr>'Шпули 2019'!акт_отб_мрт</vt:lpstr>
      <vt:lpstr>акт_отб_мрт</vt:lpstr>
      <vt:lpstr>'Антиадгезив 2019'!акт_отб_нбр</vt:lpstr>
      <vt:lpstr>'Коробки 2019'!акт_отб_нбр</vt:lpstr>
      <vt:lpstr>'Мастика 2019'!акт_отб_нбр</vt:lpstr>
      <vt:lpstr>'Пакеты 2019'!акт_отб_нбр</vt:lpstr>
      <vt:lpstr>'ПВХ 2019'!акт_отб_нбр</vt:lpstr>
      <vt:lpstr>'ПВХ липкое 2019'!акт_отб_нбр</vt:lpstr>
      <vt:lpstr>'Праймер ПЛ-М 2019'!акт_отб_нбр</vt:lpstr>
      <vt:lpstr>'Шаблон (шт.)'!акт_отб_нбр</vt:lpstr>
      <vt:lpstr>'Шпули 2019'!акт_отб_нбр</vt:lpstr>
      <vt:lpstr>акт_отб_нбр</vt:lpstr>
      <vt:lpstr>'Антиадгезив 2019'!акт_отб_окт</vt:lpstr>
      <vt:lpstr>'Коробки 2019'!акт_отб_окт</vt:lpstr>
      <vt:lpstr>'Мастика 2019'!акт_отб_окт</vt:lpstr>
      <vt:lpstr>'Пакеты 2019'!акт_отб_окт</vt:lpstr>
      <vt:lpstr>'ПВХ 2019'!акт_отб_окт</vt:lpstr>
      <vt:lpstr>'ПВХ липкое 2019'!акт_отб_окт</vt:lpstr>
      <vt:lpstr>'Праймер ПЛ-М 2019'!акт_отб_окт</vt:lpstr>
      <vt:lpstr>'Шаблон (шт.)'!акт_отб_окт</vt:lpstr>
      <vt:lpstr>'Шпули 2019'!акт_отб_окт</vt:lpstr>
      <vt:lpstr>акт_отб_окт</vt:lpstr>
      <vt:lpstr>'Антиадгезив 2019'!акт_отб_снт</vt:lpstr>
      <vt:lpstr>'Коробки 2019'!акт_отб_снт</vt:lpstr>
      <vt:lpstr>'Мастика 2019'!акт_отб_снт</vt:lpstr>
      <vt:lpstr>'Пакеты 2019'!акт_отб_снт</vt:lpstr>
      <vt:lpstr>'ПВХ 2019'!акт_отб_снт</vt:lpstr>
      <vt:lpstr>'ПВХ липкое 2019'!акт_отб_снт</vt:lpstr>
      <vt:lpstr>'Праймер ПЛ-М 2019'!акт_отб_снт</vt:lpstr>
      <vt:lpstr>'Шаблон (шт.)'!акт_отб_снт</vt:lpstr>
      <vt:lpstr>'Шпули 2019'!акт_отб_снт</vt:lpstr>
      <vt:lpstr>акт_отб_снт</vt:lpstr>
      <vt:lpstr>'Антиадгезив 2019'!акт_отб_фев</vt:lpstr>
      <vt:lpstr>'Коробки 2019'!акт_отб_фев</vt:lpstr>
      <vt:lpstr>'Мастика 2019'!акт_отб_фев</vt:lpstr>
      <vt:lpstr>'Пакеты 2019'!акт_отб_фев</vt:lpstr>
      <vt:lpstr>'ПВХ 2019'!акт_отб_фев</vt:lpstr>
      <vt:lpstr>'ПВХ липкое 2019'!акт_отб_фев</vt:lpstr>
      <vt:lpstr>'Праймер ПЛ-М 2019'!акт_отб_фев</vt:lpstr>
      <vt:lpstr>'Шаблон (шт.)'!акт_отб_фев</vt:lpstr>
      <vt:lpstr>'Шпули 2019'!акт_отб_фев</vt:lpstr>
      <vt:lpstr>акт_отб_фев</vt:lpstr>
      <vt:lpstr>'Антиадгезив 2019'!акт_отб_янв</vt:lpstr>
      <vt:lpstr>'Коробки 2019'!акт_отб_янв</vt:lpstr>
      <vt:lpstr>'Мастика 2019'!акт_отб_янв</vt:lpstr>
      <vt:lpstr>'Пакеты 2019'!акт_отб_янв</vt:lpstr>
      <vt:lpstr>'ПВХ 2019'!акт_отб_янв</vt:lpstr>
      <vt:lpstr>'ПВХ липкое 2019'!акт_отб_янв</vt:lpstr>
      <vt:lpstr>'Праймер ПЛ-М 2019'!акт_отб_янв</vt:lpstr>
      <vt:lpstr>'Шаблон (шт.)'!акт_отб_янв</vt:lpstr>
      <vt:lpstr>'Шпули 2019'!акт_отб_янв</vt:lpstr>
      <vt:lpstr>акт_отб_янв</vt:lpstr>
      <vt:lpstr>'Антиадгезив 2019'!апр_кол</vt:lpstr>
      <vt:lpstr>'Коробки 2019'!апр_кол</vt:lpstr>
      <vt:lpstr>'Мастика 2019'!апр_кол</vt:lpstr>
      <vt:lpstr>'Пакеты 2019'!апр_кол</vt:lpstr>
      <vt:lpstr>'ПВХ 2019'!апр_кол</vt:lpstr>
      <vt:lpstr>'ПВХ липкое 2019'!апр_кол</vt:lpstr>
      <vt:lpstr>'Праймер ПЛ-М 2019'!апр_кол</vt:lpstr>
      <vt:lpstr>'Шаблон (шт.)'!апр_кол</vt:lpstr>
      <vt:lpstr>'Шпули 2019'!апр_кол</vt:lpstr>
      <vt:lpstr>апр_кол</vt:lpstr>
      <vt:lpstr>'Антиадгезив 2019'!апр_пр</vt:lpstr>
      <vt:lpstr>'Коробки 2019'!апр_пр</vt:lpstr>
      <vt:lpstr>'Мастика 2019'!апр_пр</vt:lpstr>
      <vt:lpstr>'Пакеты 2019'!апр_пр</vt:lpstr>
      <vt:lpstr>'ПВХ 2019'!апр_пр</vt:lpstr>
      <vt:lpstr>'ПВХ липкое 2019'!апр_пр</vt:lpstr>
      <vt:lpstr>'Праймер ПЛ-М 2019'!апр_пр</vt:lpstr>
      <vt:lpstr>'Шаблон (шт.)'!апр_пр</vt:lpstr>
      <vt:lpstr>'Шпули 2019'!апр_пр</vt:lpstr>
      <vt:lpstr>апр_пр</vt:lpstr>
      <vt:lpstr>'Антиадгезив 2019'!дкб_кол</vt:lpstr>
      <vt:lpstr>'Коробки 2019'!дкб_кол</vt:lpstr>
      <vt:lpstr>'Мастика 2019'!дкб_кол</vt:lpstr>
      <vt:lpstr>'Пакеты 2019'!дкб_кол</vt:lpstr>
      <vt:lpstr>'ПВХ 2019'!дкб_кол</vt:lpstr>
      <vt:lpstr>'ПВХ липкое 2019'!дкб_кол</vt:lpstr>
      <vt:lpstr>'Праймер ПЛ-М 2019'!дкб_кол</vt:lpstr>
      <vt:lpstr>'Шаблон (шт.)'!дкб_кол</vt:lpstr>
      <vt:lpstr>'Шпули 2019'!дкб_кол</vt:lpstr>
      <vt:lpstr>дкб_кол</vt:lpstr>
      <vt:lpstr>'Антиадгезив 2019'!дкб_пр</vt:lpstr>
      <vt:lpstr>'Коробки 2019'!дкб_пр</vt:lpstr>
      <vt:lpstr>'Мастика 2019'!дкб_пр</vt:lpstr>
      <vt:lpstr>'Пакеты 2019'!дкб_пр</vt:lpstr>
      <vt:lpstr>'ПВХ 2019'!дкб_пр</vt:lpstr>
      <vt:lpstr>'ПВХ липкое 2019'!дкб_пр</vt:lpstr>
      <vt:lpstr>'Праймер ПЛ-М 2019'!дкб_пр</vt:lpstr>
      <vt:lpstr>'Шаблон (шт.)'!дкб_пр</vt:lpstr>
      <vt:lpstr>'Шпули 2019'!дкб_пр</vt:lpstr>
      <vt:lpstr>дкб_пр</vt:lpstr>
      <vt:lpstr>'Антиадгезив 2019'!июл_кол</vt:lpstr>
      <vt:lpstr>'Коробки 2019'!июл_кол</vt:lpstr>
      <vt:lpstr>'Мастика 2019'!июл_кол</vt:lpstr>
      <vt:lpstr>'Пакеты 2019'!июл_кол</vt:lpstr>
      <vt:lpstr>'ПВХ 2019'!июл_кол</vt:lpstr>
      <vt:lpstr>'ПВХ липкое 2019'!июл_кол</vt:lpstr>
      <vt:lpstr>'Праймер ПЛ-М 2019'!июл_кол</vt:lpstr>
      <vt:lpstr>'Шаблон (шт.)'!июл_кол</vt:lpstr>
      <vt:lpstr>'Шпули 2019'!июл_кол</vt:lpstr>
      <vt:lpstr>июл_кол</vt:lpstr>
      <vt:lpstr>'Антиадгезив 2019'!июл_пр</vt:lpstr>
      <vt:lpstr>'Коробки 2019'!июл_пр</vt:lpstr>
      <vt:lpstr>'Мастика 2019'!июл_пр</vt:lpstr>
      <vt:lpstr>'Пакеты 2019'!июл_пр</vt:lpstr>
      <vt:lpstr>'ПВХ 2019'!июл_пр</vt:lpstr>
      <vt:lpstr>'ПВХ липкое 2019'!июл_пр</vt:lpstr>
      <vt:lpstr>'Праймер ПЛ-М 2019'!июл_пр</vt:lpstr>
      <vt:lpstr>'Шаблон (шт.)'!июл_пр</vt:lpstr>
      <vt:lpstr>'Шпули 2019'!июл_пр</vt:lpstr>
      <vt:lpstr>июл_пр</vt:lpstr>
      <vt:lpstr>июлл_кол</vt:lpstr>
      <vt:lpstr>июлл_пр</vt:lpstr>
      <vt:lpstr>'Антиадгезив 2019'!июн_кол</vt:lpstr>
      <vt:lpstr>'Коробки 2019'!июн_кол</vt:lpstr>
      <vt:lpstr>'Мастика 2019'!июн_кол</vt:lpstr>
      <vt:lpstr>'Пакеты 2019'!июн_кол</vt:lpstr>
      <vt:lpstr>'ПВХ 2019'!июн_кол</vt:lpstr>
      <vt:lpstr>'ПВХ липкое 2019'!июн_кол</vt:lpstr>
      <vt:lpstr>'Праймер ПЛ-М 2019'!июн_кол</vt:lpstr>
      <vt:lpstr>'Шаблон (шт.)'!июн_кол</vt:lpstr>
      <vt:lpstr>'Шпули 2019'!июн_кол</vt:lpstr>
      <vt:lpstr>июн_кол</vt:lpstr>
      <vt:lpstr>'Антиадгезив 2019'!июн_пр</vt:lpstr>
      <vt:lpstr>'Коробки 2019'!июн_пр</vt:lpstr>
      <vt:lpstr>'Мастика 2019'!июн_пр</vt:lpstr>
      <vt:lpstr>'Пакеты 2019'!июн_пр</vt:lpstr>
      <vt:lpstr>'ПВХ 2019'!июн_пр</vt:lpstr>
      <vt:lpstr>'ПВХ липкое 2019'!июн_пр</vt:lpstr>
      <vt:lpstr>'Праймер ПЛ-М 2019'!июн_пр</vt:lpstr>
      <vt:lpstr>'Шаблон (шт.)'!июн_пр</vt:lpstr>
      <vt:lpstr>'Шпули 2019'!июн_пр</vt:lpstr>
      <vt:lpstr>июн_пр</vt:lpstr>
      <vt:lpstr>'Антиадгезив 2019'!кол_отб_авг</vt:lpstr>
      <vt:lpstr>'Коробки 2019'!кол_отб_авг</vt:lpstr>
      <vt:lpstr>'Мастика 2019'!кол_отб_авг</vt:lpstr>
      <vt:lpstr>'Пакеты 2019'!кол_отб_авг</vt:lpstr>
      <vt:lpstr>'ПВХ 2019'!кол_отб_авг</vt:lpstr>
      <vt:lpstr>'ПВХ липкое 2019'!кол_отб_авг</vt:lpstr>
      <vt:lpstr>'Праймер ПЛ-М 2019'!кол_отб_авг</vt:lpstr>
      <vt:lpstr>'Шаблон (шт.)'!кол_отб_авг</vt:lpstr>
      <vt:lpstr>'Шпули 2019'!кол_отб_авг</vt:lpstr>
      <vt:lpstr>кол_отб_авг</vt:lpstr>
      <vt:lpstr>'Антиадгезив 2019'!кол_отб_апр</vt:lpstr>
      <vt:lpstr>'Коробки 2019'!кол_отб_апр</vt:lpstr>
      <vt:lpstr>'Мастика 2019'!кол_отб_апр</vt:lpstr>
      <vt:lpstr>'Пакеты 2019'!кол_отб_апр</vt:lpstr>
      <vt:lpstr>'ПВХ 2019'!кол_отб_апр</vt:lpstr>
      <vt:lpstr>'ПВХ липкое 2019'!кол_отб_апр</vt:lpstr>
      <vt:lpstr>'Праймер ПЛ-М 2019'!кол_отб_апр</vt:lpstr>
      <vt:lpstr>'Шаблон (шт.)'!кол_отб_апр</vt:lpstr>
      <vt:lpstr>'Шпули 2019'!кол_отб_апр</vt:lpstr>
      <vt:lpstr>кол_отб_апр</vt:lpstr>
      <vt:lpstr>'Антиадгезив 2019'!кол_отб_дкб</vt:lpstr>
      <vt:lpstr>'Коробки 2019'!кол_отб_дкб</vt:lpstr>
      <vt:lpstr>'Мастика 2019'!кол_отб_дкб</vt:lpstr>
      <vt:lpstr>'Пакеты 2019'!кол_отб_дкб</vt:lpstr>
      <vt:lpstr>'ПВХ 2019'!кол_отб_дкб</vt:lpstr>
      <vt:lpstr>'ПВХ липкое 2019'!кол_отб_дкб</vt:lpstr>
      <vt:lpstr>'Праймер ПЛ-М 2019'!кол_отб_дкб</vt:lpstr>
      <vt:lpstr>'Шаблон (шт.)'!кол_отб_дкб</vt:lpstr>
      <vt:lpstr>'Шпули 2019'!кол_отб_дкб</vt:lpstr>
      <vt:lpstr>кол_отб_дкб</vt:lpstr>
      <vt:lpstr>'Антиадгезив 2019'!кол_отб_июл</vt:lpstr>
      <vt:lpstr>'Коробки 2019'!кол_отб_июл</vt:lpstr>
      <vt:lpstr>'Мастика 2019'!кол_отб_июл</vt:lpstr>
      <vt:lpstr>'Пакеты 2019'!кол_отб_июл</vt:lpstr>
      <vt:lpstr>'ПВХ 2019'!кол_отб_июл</vt:lpstr>
      <vt:lpstr>'ПВХ липкое 2019'!кол_отб_июл</vt:lpstr>
      <vt:lpstr>'Праймер ПЛ-М 2019'!кол_отб_июл</vt:lpstr>
      <vt:lpstr>'Шаблон (шт.)'!кол_отб_июл</vt:lpstr>
      <vt:lpstr>'Шпули 2019'!кол_отб_июл</vt:lpstr>
      <vt:lpstr>кол_отб_июл</vt:lpstr>
      <vt:lpstr>'Антиадгезив 2019'!кол_отб_июн</vt:lpstr>
      <vt:lpstr>'Коробки 2019'!кол_отб_июн</vt:lpstr>
      <vt:lpstr>'Мастика 2019'!кол_отб_июн</vt:lpstr>
      <vt:lpstr>'Пакеты 2019'!кол_отб_июн</vt:lpstr>
      <vt:lpstr>'ПВХ 2019'!кол_отб_июн</vt:lpstr>
      <vt:lpstr>'ПВХ липкое 2019'!кол_отб_июн</vt:lpstr>
      <vt:lpstr>'Праймер ПЛ-М 2019'!кол_отб_июн</vt:lpstr>
      <vt:lpstr>'Шаблон (шт.)'!кол_отб_июн</vt:lpstr>
      <vt:lpstr>'Шпули 2019'!кол_отб_июн</vt:lpstr>
      <vt:lpstr>кол_отб_июн</vt:lpstr>
      <vt:lpstr>'Антиадгезив 2019'!кол_отб_май</vt:lpstr>
      <vt:lpstr>'Коробки 2019'!кол_отб_май</vt:lpstr>
      <vt:lpstr>'Мастика 2019'!кол_отб_май</vt:lpstr>
      <vt:lpstr>'Пакеты 2019'!кол_отб_май</vt:lpstr>
      <vt:lpstr>'ПВХ 2019'!кол_отб_май</vt:lpstr>
      <vt:lpstr>'ПВХ липкое 2019'!кол_отб_май</vt:lpstr>
      <vt:lpstr>'Праймер ПЛ-М 2019'!кол_отб_май</vt:lpstr>
      <vt:lpstr>'Шаблон (шт.)'!кол_отб_май</vt:lpstr>
      <vt:lpstr>'Шпули 2019'!кол_отб_май</vt:lpstr>
      <vt:lpstr>кол_отб_май</vt:lpstr>
      <vt:lpstr>'Антиадгезив 2019'!кол_отб_мрт</vt:lpstr>
      <vt:lpstr>'Коробки 2019'!кол_отб_мрт</vt:lpstr>
      <vt:lpstr>'Мастика 2019'!кол_отб_мрт</vt:lpstr>
      <vt:lpstr>'Пакеты 2019'!кол_отб_мрт</vt:lpstr>
      <vt:lpstr>'ПВХ 2019'!кол_отб_мрт</vt:lpstr>
      <vt:lpstr>'ПВХ липкое 2019'!кол_отб_мрт</vt:lpstr>
      <vt:lpstr>'Праймер ПЛ-М 2019'!кол_отб_мрт</vt:lpstr>
      <vt:lpstr>'Шаблон (шт.)'!кол_отб_мрт</vt:lpstr>
      <vt:lpstr>'Шпули 2019'!кол_отб_мрт</vt:lpstr>
      <vt:lpstr>кол_отб_мрт</vt:lpstr>
      <vt:lpstr>'Антиадгезив 2019'!кол_отб_нбр</vt:lpstr>
      <vt:lpstr>'Коробки 2019'!кол_отб_нбр</vt:lpstr>
      <vt:lpstr>'Мастика 2019'!кол_отб_нбр</vt:lpstr>
      <vt:lpstr>'Пакеты 2019'!кол_отб_нбр</vt:lpstr>
      <vt:lpstr>'ПВХ 2019'!кол_отб_нбр</vt:lpstr>
      <vt:lpstr>'ПВХ липкое 2019'!кол_отб_нбр</vt:lpstr>
      <vt:lpstr>'Праймер ПЛ-М 2019'!кол_отб_нбр</vt:lpstr>
      <vt:lpstr>'Шаблон (шт.)'!кол_отб_нбр</vt:lpstr>
      <vt:lpstr>'Шпули 2019'!кол_отб_нбр</vt:lpstr>
      <vt:lpstr>кол_отб_нбр</vt:lpstr>
      <vt:lpstr>'Антиадгезив 2019'!кол_отб_окт</vt:lpstr>
      <vt:lpstr>'Коробки 2019'!кол_отб_окт</vt:lpstr>
      <vt:lpstr>'Мастика 2019'!кол_отб_окт</vt:lpstr>
      <vt:lpstr>'Пакеты 2019'!кол_отб_окт</vt:lpstr>
      <vt:lpstr>'ПВХ 2019'!кол_отб_окт</vt:lpstr>
      <vt:lpstr>'ПВХ липкое 2019'!кол_отб_окт</vt:lpstr>
      <vt:lpstr>'Праймер ПЛ-М 2019'!кол_отб_окт</vt:lpstr>
      <vt:lpstr>'Шаблон (шт.)'!кол_отб_окт</vt:lpstr>
      <vt:lpstr>'Шпули 2019'!кол_отб_окт</vt:lpstr>
      <vt:lpstr>кол_отб_окт</vt:lpstr>
      <vt:lpstr>'Антиадгезив 2019'!кол_отб_снт</vt:lpstr>
      <vt:lpstr>'Коробки 2019'!кол_отб_снт</vt:lpstr>
      <vt:lpstr>'Мастика 2019'!кол_отб_снт</vt:lpstr>
      <vt:lpstr>'Пакеты 2019'!кол_отб_снт</vt:lpstr>
      <vt:lpstr>'ПВХ 2019'!кол_отб_снт</vt:lpstr>
      <vt:lpstr>'ПВХ липкое 2019'!кол_отб_снт</vt:lpstr>
      <vt:lpstr>'Праймер ПЛ-М 2019'!кол_отб_снт</vt:lpstr>
      <vt:lpstr>'Шаблон (шт.)'!кол_отб_снт</vt:lpstr>
      <vt:lpstr>'Шпули 2019'!кол_отб_снт</vt:lpstr>
      <vt:lpstr>кол_отб_снт</vt:lpstr>
      <vt:lpstr>'Антиадгезив 2019'!кол_отб_фев</vt:lpstr>
      <vt:lpstr>'Коробки 2019'!кол_отб_фев</vt:lpstr>
      <vt:lpstr>'Мастика 2019'!кол_отб_фев</vt:lpstr>
      <vt:lpstr>'Пакеты 2019'!кол_отб_фев</vt:lpstr>
      <vt:lpstr>'ПВХ 2019'!кол_отб_фев</vt:lpstr>
      <vt:lpstr>'ПВХ липкое 2019'!кол_отб_фев</vt:lpstr>
      <vt:lpstr>'Праймер ПЛ-М 2019'!кол_отб_фев</vt:lpstr>
      <vt:lpstr>'Шаблон (шт.)'!кол_отб_фев</vt:lpstr>
      <vt:lpstr>'Шпули 2019'!кол_отб_фев</vt:lpstr>
      <vt:lpstr>кол_отб_фев</vt:lpstr>
      <vt:lpstr>'Антиадгезив 2019'!кол_отб_янв</vt:lpstr>
      <vt:lpstr>'Коробки 2019'!кол_отб_янв</vt:lpstr>
      <vt:lpstr>'Мастика 2019'!кол_отб_янв</vt:lpstr>
      <vt:lpstr>'Пакеты 2019'!кол_отб_янв</vt:lpstr>
      <vt:lpstr>'ПВХ 2019'!кол_отб_янв</vt:lpstr>
      <vt:lpstr>'ПВХ липкое 2019'!кол_отб_янв</vt:lpstr>
      <vt:lpstr>'Праймер ПЛ-М 2019'!кол_отб_янв</vt:lpstr>
      <vt:lpstr>'Шаблон (шт.)'!кол_отб_янв</vt:lpstr>
      <vt:lpstr>'Шпули 2019'!кол_отб_янв</vt:lpstr>
      <vt:lpstr>кол_отб_янв</vt:lpstr>
      <vt:lpstr>'Антиадгезив 2019'!май_кол</vt:lpstr>
      <vt:lpstr>'Коробки 2019'!май_кол</vt:lpstr>
      <vt:lpstr>'Мастика 2019'!май_кол</vt:lpstr>
      <vt:lpstr>'Пакеты 2019'!май_кол</vt:lpstr>
      <vt:lpstr>'ПВХ 2019'!май_кол</vt:lpstr>
      <vt:lpstr>'ПВХ липкое 2019'!май_кол</vt:lpstr>
      <vt:lpstr>'Праймер ПЛ-М 2019'!май_кол</vt:lpstr>
      <vt:lpstr>'Шаблон (шт.)'!май_кол</vt:lpstr>
      <vt:lpstr>'Шпули 2019'!май_кол</vt:lpstr>
      <vt:lpstr>май_кол</vt:lpstr>
      <vt:lpstr>'Антиадгезив 2019'!май_пр</vt:lpstr>
      <vt:lpstr>'Коробки 2019'!май_пр</vt:lpstr>
      <vt:lpstr>'Мастика 2019'!май_пр</vt:lpstr>
      <vt:lpstr>'Пакеты 2019'!май_пр</vt:lpstr>
      <vt:lpstr>'ПВХ 2019'!май_пр</vt:lpstr>
      <vt:lpstr>'ПВХ липкое 2019'!май_пр</vt:lpstr>
      <vt:lpstr>'Праймер ПЛ-М 2019'!май_пр</vt:lpstr>
      <vt:lpstr>'Шаблон (шт.)'!май_пр</vt:lpstr>
      <vt:lpstr>'Шпули 2019'!май_пр</vt:lpstr>
      <vt:lpstr>май_пр</vt:lpstr>
      <vt:lpstr>'Антиадгезив 2019'!мрт_кол</vt:lpstr>
      <vt:lpstr>'Коробки 2019'!мрт_кол</vt:lpstr>
      <vt:lpstr>'Мастика 2019'!мрт_кол</vt:lpstr>
      <vt:lpstr>'Пакеты 2019'!мрт_кол</vt:lpstr>
      <vt:lpstr>'ПВХ 2019'!мрт_кол</vt:lpstr>
      <vt:lpstr>'ПВХ липкое 2019'!мрт_кол</vt:lpstr>
      <vt:lpstr>'Праймер ПЛ-М 2019'!мрт_кол</vt:lpstr>
      <vt:lpstr>'Шаблон (шт.)'!мрт_кол</vt:lpstr>
      <vt:lpstr>'Шпули 2019'!мрт_кол</vt:lpstr>
      <vt:lpstr>мрт_кол</vt:lpstr>
      <vt:lpstr>'Антиадгезив 2019'!мрт_пр</vt:lpstr>
      <vt:lpstr>'Коробки 2019'!мрт_пр</vt:lpstr>
      <vt:lpstr>'Мастика 2019'!мрт_пр</vt:lpstr>
      <vt:lpstr>'Пакеты 2019'!мрт_пр</vt:lpstr>
      <vt:lpstr>'ПВХ 2019'!мрт_пр</vt:lpstr>
      <vt:lpstr>'ПВХ липкое 2019'!мрт_пр</vt:lpstr>
      <vt:lpstr>'Праймер ПЛ-М 2019'!мрт_пр</vt:lpstr>
      <vt:lpstr>'Шаблон (шт.)'!мрт_пр</vt:lpstr>
      <vt:lpstr>'Шпули 2019'!мрт_пр</vt:lpstr>
      <vt:lpstr>мрт_пр</vt:lpstr>
      <vt:lpstr>'Антиадгезив 2019'!нбр_кол</vt:lpstr>
      <vt:lpstr>'Коробки 2019'!нбр_кол</vt:lpstr>
      <vt:lpstr>'Мастика 2019'!нбр_кол</vt:lpstr>
      <vt:lpstr>'Пакеты 2019'!нбр_кол</vt:lpstr>
      <vt:lpstr>'ПВХ 2019'!нбр_кол</vt:lpstr>
      <vt:lpstr>'ПВХ липкое 2019'!нбр_кол</vt:lpstr>
      <vt:lpstr>'Праймер ПЛ-М 2019'!нбр_кол</vt:lpstr>
      <vt:lpstr>'Шаблон (шт.)'!нбр_кол</vt:lpstr>
      <vt:lpstr>'Шпули 2019'!нбр_кол</vt:lpstr>
      <vt:lpstr>нбр_кол</vt:lpstr>
      <vt:lpstr>'Антиадгезив 2019'!нбр_пр</vt:lpstr>
      <vt:lpstr>'Коробки 2019'!нбр_пр</vt:lpstr>
      <vt:lpstr>'Мастика 2019'!нбр_пр</vt:lpstr>
      <vt:lpstr>'Пакеты 2019'!нбр_пр</vt:lpstr>
      <vt:lpstr>'ПВХ 2019'!нбр_пр</vt:lpstr>
      <vt:lpstr>'ПВХ липкое 2019'!нбр_пр</vt:lpstr>
      <vt:lpstr>'Праймер ПЛ-М 2019'!нбр_пр</vt:lpstr>
      <vt:lpstr>'Шаблон (шт.)'!нбр_пр</vt:lpstr>
      <vt:lpstr>'Шпули 2019'!нбр_пр</vt:lpstr>
      <vt:lpstr>нбр_пр</vt:lpstr>
      <vt:lpstr>'Антиадгезив 2019'!окт_кол</vt:lpstr>
      <vt:lpstr>'Коробки 2019'!окт_кол</vt:lpstr>
      <vt:lpstr>'Мастика 2019'!окт_кол</vt:lpstr>
      <vt:lpstr>'Пакеты 2019'!окт_кол</vt:lpstr>
      <vt:lpstr>'ПВХ 2019'!окт_кол</vt:lpstr>
      <vt:lpstr>'ПВХ липкое 2019'!окт_кол</vt:lpstr>
      <vt:lpstr>'Праймер ПЛ-М 2019'!окт_кол</vt:lpstr>
      <vt:lpstr>'Шаблон (шт.)'!окт_кол</vt:lpstr>
      <vt:lpstr>'Шпули 2019'!окт_кол</vt:lpstr>
      <vt:lpstr>окт_кол</vt:lpstr>
      <vt:lpstr>'Антиадгезив 2019'!окт_пр</vt:lpstr>
      <vt:lpstr>'Коробки 2019'!окт_пр</vt:lpstr>
      <vt:lpstr>'Мастика 2019'!окт_пр</vt:lpstr>
      <vt:lpstr>'Пакеты 2019'!окт_пр</vt:lpstr>
      <vt:lpstr>'ПВХ 2019'!окт_пр</vt:lpstr>
      <vt:lpstr>'ПВХ липкое 2019'!окт_пр</vt:lpstr>
      <vt:lpstr>'Праймер ПЛ-М 2019'!окт_пр</vt:lpstr>
      <vt:lpstr>'Шаблон (шт.)'!окт_пр</vt:lpstr>
      <vt:lpstr>'Шпули 2019'!окт_пр</vt:lpstr>
      <vt:lpstr>окт_пр</vt:lpstr>
      <vt:lpstr>'Антиадгезив 2019'!снт_кол</vt:lpstr>
      <vt:lpstr>'Коробки 2019'!снт_кол</vt:lpstr>
      <vt:lpstr>'Мастика 2019'!снт_кол</vt:lpstr>
      <vt:lpstr>'Пакеты 2019'!снт_кол</vt:lpstr>
      <vt:lpstr>'ПВХ 2019'!снт_кол</vt:lpstr>
      <vt:lpstr>'ПВХ липкое 2019'!снт_кол</vt:lpstr>
      <vt:lpstr>'Праймер ПЛ-М 2019'!снт_кол</vt:lpstr>
      <vt:lpstr>'Шаблон (шт.)'!снт_кол</vt:lpstr>
      <vt:lpstr>'Шпули 2019'!снт_кол</vt:lpstr>
      <vt:lpstr>снт_кол</vt:lpstr>
      <vt:lpstr>'Антиадгезив 2019'!снт_пр</vt:lpstr>
      <vt:lpstr>'Коробки 2019'!снт_пр</vt:lpstr>
      <vt:lpstr>'Мастика 2019'!снт_пр</vt:lpstr>
      <vt:lpstr>'Пакеты 2019'!снт_пр</vt:lpstr>
      <vt:lpstr>'ПВХ 2019'!снт_пр</vt:lpstr>
      <vt:lpstr>'ПВХ липкое 2019'!снт_пр</vt:lpstr>
      <vt:lpstr>'Праймер ПЛ-М 2019'!снт_пр</vt:lpstr>
      <vt:lpstr>'Шаблон (шт.)'!снт_пр</vt:lpstr>
      <vt:lpstr>'Шпули 2019'!снт_пр</vt:lpstr>
      <vt:lpstr>снт_пр</vt:lpstr>
      <vt:lpstr>'Антиадгезив 2019'!фев_кол</vt:lpstr>
      <vt:lpstr>'Коробки 2019'!фев_кол</vt:lpstr>
      <vt:lpstr>'Мастика 2019'!фев_кол</vt:lpstr>
      <vt:lpstr>'Пакеты 2019'!фев_кол</vt:lpstr>
      <vt:lpstr>'ПВХ 2019'!фев_кол</vt:lpstr>
      <vt:lpstr>'ПВХ липкое 2019'!фев_кол</vt:lpstr>
      <vt:lpstr>'Праймер ПЛ-М 2019'!фев_кол</vt:lpstr>
      <vt:lpstr>'Шаблон (шт.)'!фев_кол</vt:lpstr>
      <vt:lpstr>'Шпули 2019'!фев_кол</vt:lpstr>
      <vt:lpstr>фев_кол</vt:lpstr>
      <vt:lpstr>'Антиадгезив 2019'!фев_пр</vt:lpstr>
      <vt:lpstr>'Коробки 2019'!фев_пр</vt:lpstr>
      <vt:lpstr>'Мастика 2019'!фев_пр</vt:lpstr>
      <vt:lpstr>'Пакеты 2019'!фев_пр</vt:lpstr>
      <vt:lpstr>'ПВХ 2019'!фев_пр</vt:lpstr>
      <vt:lpstr>'ПВХ липкое 2019'!фев_пр</vt:lpstr>
      <vt:lpstr>'Праймер ПЛ-М 2019'!фев_пр</vt:lpstr>
      <vt:lpstr>'Шаблон (шт.)'!фев_пр</vt:lpstr>
      <vt:lpstr>'Шпули 2019'!фев_пр</vt:lpstr>
      <vt:lpstr>фев_пр</vt:lpstr>
      <vt:lpstr>'Антиадгезив 2019'!янв_кол</vt:lpstr>
      <vt:lpstr>'Коробки 2019'!янв_кол</vt:lpstr>
      <vt:lpstr>'Мастика 2019'!янв_кол</vt:lpstr>
      <vt:lpstr>'Пакеты 2019'!янв_кол</vt:lpstr>
      <vt:lpstr>'ПВХ 2019'!янв_кол</vt:lpstr>
      <vt:lpstr>'ПВХ липкое 2019'!янв_кол</vt:lpstr>
      <vt:lpstr>'Праймер ПЛ-М 2019'!янв_кол</vt:lpstr>
      <vt:lpstr>'Шаблон (шт.)'!янв_кол</vt:lpstr>
      <vt:lpstr>'Шпули 2019'!янв_кол</vt:lpstr>
      <vt:lpstr>янв_кол</vt:lpstr>
      <vt:lpstr>'Антиадгезив 2019'!янв_пр</vt:lpstr>
      <vt:lpstr>'Коробки 2019'!янв_пр</vt:lpstr>
      <vt:lpstr>'Мастика 2019'!янв_пр</vt:lpstr>
      <vt:lpstr>'Пакеты 2019'!янв_пр</vt:lpstr>
      <vt:lpstr>'ПВХ 2019'!янв_пр</vt:lpstr>
      <vt:lpstr>'ПВХ липкое 2019'!янв_пр</vt:lpstr>
      <vt:lpstr>'Праймер ПЛ-М 2019'!янв_пр</vt:lpstr>
      <vt:lpstr>'Шаблон (шт.)'!янв_пр</vt:lpstr>
      <vt:lpstr>'Шпули 2019'!янв_пр</vt:lpstr>
      <vt:lpstr>янв_пр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2020-05-27T06:05:45Z</dcterms:modified>
</cp:coreProperties>
</file>