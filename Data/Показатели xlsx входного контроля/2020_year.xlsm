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ЭтаКнига"/>
  <xr:revisionPtr revIDLastSave="0" documentId="13_ncr:1_{5D06FFAF-7462-4AB9-900B-5248812628B2}" xr6:coauthVersionLast="45" xr6:coauthVersionMax="45" xr10:uidLastSave="{00000000-0000-0000-0000-000000000000}"/>
  <bookViews>
    <workbookView xWindow="-120" yWindow="-120" windowWidth="19440" windowHeight="15000" tabRatio="890" xr2:uid="{00000000-000D-0000-FFFF-FFFF00000000}"/>
  </bookViews>
  <sheets>
    <sheet name="Журнал входного контроля" sheetId="2" r:id="rId1"/>
    <sheet name="Мастика 2020" sheetId="18" r:id="rId2"/>
    <sheet name="ПВХ 2020" sheetId="20" r:id="rId3"/>
    <sheet name="ПВХ липкая 2020" sheetId="21" r:id="rId4"/>
    <sheet name="Коробки 2020" sheetId="25" r:id="rId5"/>
    <sheet name="Пакеты 2020" sheetId="24" r:id="rId6"/>
    <sheet name="Полилен 2020" sheetId="26" r:id="rId7"/>
    <sheet name="Политерм 2020" sheetId="27" r:id="rId8"/>
    <sheet name="Праймер и грунтовка 2020" sheetId="22" r:id="rId9"/>
    <sheet name="Шпули 2020" sheetId="23" r:id="rId10"/>
    <sheet name="Материал антиадгезионный 2020" sheetId="28" r:id="rId11"/>
    <sheet name="Шаблон (кг.)" sheetId="1" r:id="rId12"/>
    <sheet name="Шаблон (шт.)" sheetId="17" r:id="rId13"/>
    <sheet name="База данных" sheetId="4" r:id="rId14"/>
  </sheets>
  <definedNames>
    <definedName name="авг_кол" localSheetId="4">'Коробки 2020'!$E$34:$E$34</definedName>
    <definedName name="авг_кол" localSheetId="1">'Мастика 2020'!$E$58:$E$61</definedName>
    <definedName name="авг_кол" localSheetId="10">'Материал антиадгезионный 2020'!$E$32:$E$32</definedName>
    <definedName name="авг_кол" localSheetId="5">'Пакеты 2020'!$E$53:$E$53</definedName>
    <definedName name="авг_кол" localSheetId="2">'ПВХ 2020'!$E$52:$E$54</definedName>
    <definedName name="авг_кол" localSheetId="3">'ПВХ липкая 2020'!$E$33:$E$37</definedName>
    <definedName name="авг_кол" localSheetId="6">'Полилен 2020'!$E$34:$E$34</definedName>
    <definedName name="авг_кол" localSheetId="7">'Политерм 2020'!$E$31:$E$31</definedName>
    <definedName name="авг_кол" localSheetId="8">'Праймер и грунтовка 2020'!$E$31:$E$31</definedName>
    <definedName name="авг_кол" localSheetId="12">'Шаблон (шт.)'!$E$63:$E$67</definedName>
    <definedName name="авг_кол" localSheetId="9">'Шпули 2020'!$E$32:$E$32</definedName>
    <definedName name="авг_кол">'Шаблон (кг.)'!$E$63:$E$67</definedName>
    <definedName name="авг_пр" localSheetId="4">'Коробки 2020'!$C$34:$C$34</definedName>
    <definedName name="авг_пр" localSheetId="1">'Мастика 2020'!$C$58:$C$61</definedName>
    <definedName name="авг_пр" localSheetId="10">'Материал антиадгезионный 2020'!$C$32:$C$32</definedName>
    <definedName name="авг_пр" localSheetId="5">'Пакеты 2020'!$C$53:$C$53</definedName>
    <definedName name="авг_пр" localSheetId="2">'ПВХ 2020'!$C$52:$C$54</definedName>
    <definedName name="авг_пр" localSheetId="3">'ПВХ липкая 2020'!$C$33:$C$37</definedName>
    <definedName name="авг_пр" localSheetId="6">'Полилен 2020'!$C$34:$C$34</definedName>
    <definedName name="авг_пр" localSheetId="7">'Политерм 2020'!$C$31:$C$31</definedName>
    <definedName name="авг_пр" localSheetId="8">'Праймер и грунтовка 2020'!$C$31:$C$31</definedName>
    <definedName name="авг_пр" localSheetId="12">'Шаблон (шт.)'!$C$63:$C$67</definedName>
    <definedName name="авг_пр" localSheetId="9">'Шпули 2020'!$C$32:$C$32</definedName>
    <definedName name="авг_пр">'Шаблон (кг.)'!$C$63:$C$67</definedName>
    <definedName name="акт_вх_авг" localSheetId="4">'Коробки 2020'!$F$34:$F$34</definedName>
    <definedName name="акт_вх_авг" localSheetId="1">'Мастика 2020'!$F$58:$F$61</definedName>
    <definedName name="акт_вх_авг" localSheetId="10">'Материал антиадгезионный 2020'!$F$32:$F$32</definedName>
    <definedName name="акт_вх_авг" localSheetId="5">'Пакеты 2020'!$F$53:$F$53</definedName>
    <definedName name="акт_вх_авг" localSheetId="2">'ПВХ 2020'!$F$52:$F$54</definedName>
    <definedName name="акт_вх_авг" localSheetId="3">'ПВХ липкая 2020'!$F$33:$F$37</definedName>
    <definedName name="акт_вх_авг" localSheetId="6">'Полилен 2020'!$F$34:$F$34</definedName>
    <definedName name="акт_вх_авг" localSheetId="7">'Политерм 2020'!$F$31:$F$31</definedName>
    <definedName name="акт_вх_авг" localSheetId="8">'Праймер и грунтовка 2020'!$F$31:$F$31</definedName>
    <definedName name="акт_вх_авг" localSheetId="12">'Шаблон (шт.)'!$F$63:$F$67</definedName>
    <definedName name="акт_вх_авг" localSheetId="9">'Шпули 2020'!$F$32:$F$32</definedName>
    <definedName name="акт_вх_авг">'Шаблон (кг.)'!$F$63:$F$67</definedName>
    <definedName name="акт_вх_апр" localSheetId="4">'Коробки 2020'!$F$18:$F$19</definedName>
    <definedName name="акт_вх_апр" localSheetId="1">'Мастика 2020'!$F$30:$F$33</definedName>
    <definedName name="акт_вх_апр" localSheetId="10">'Материал антиадгезионный 2020'!$F$17:$F$17</definedName>
    <definedName name="акт_вх_апр" localSheetId="5">'Пакеты 2020'!$F$27:$F$31</definedName>
    <definedName name="акт_вх_апр" localSheetId="2">'ПВХ 2020'!$F$26:$F$28</definedName>
    <definedName name="акт_вх_апр" localSheetId="3">'ПВХ липкая 2020'!$F$17:$F$17</definedName>
    <definedName name="акт_вх_апр" localSheetId="6">'Полилен 2020'!$F$19:$F$19</definedName>
    <definedName name="акт_вх_апр" localSheetId="7">'Политерм 2020'!$F$17:$F$17</definedName>
    <definedName name="акт_вх_апр" localSheetId="8">'Праймер и грунтовка 2020'!$F$17:$F$17</definedName>
    <definedName name="акт_вх_апр" localSheetId="12">'Шаблон (шт.)'!$F$31:$F$35</definedName>
    <definedName name="акт_вх_апр" localSheetId="9">'Шпули 2020'!$F$18:$F$18</definedName>
    <definedName name="акт_вх_апр">'Шаблон (кг.)'!$F$31:$F$35</definedName>
    <definedName name="акт_вх_дкб" localSheetId="4">'Коробки 2020'!$F$55:$F$59</definedName>
    <definedName name="акт_вх_дкб" localSheetId="1">'Мастика 2020'!$F$95:$F$99</definedName>
    <definedName name="акт_вх_дкб" localSheetId="10">'Материал антиадгезионный 2020'!$F$52:$F$53</definedName>
    <definedName name="акт_вх_дкб" localSheetId="5">'Пакеты 2020'!$F$73:$F$77</definedName>
    <definedName name="акт_вх_дкб" localSheetId="2">'ПВХ 2020'!$F$79:$F$81</definedName>
    <definedName name="акт_вх_дкб" localSheetId="3">'ПВХ липкая 2020'!$F$64:$F$65</definedName>
    <definedName name="акт_вх_дкб" localSheetId="6">'Полилен 2020'!$F$57:$F$61</definedName>
    <definedName name="акт_вх_дкб" localSheetId="7">'Политерм 2020'!$F$54:$F$58</definedName>
    <definedName name="акт_вх_дкб" localSheetId="8">'Праймер и грунтовка 2020'!$F$54:$F$58</definedName>
    <definedName name="акт_вх_дкб" localSheetId="12">'Шаблон (шт.)'!$F$95:$F$99</definedName>
    <definedName name="акт_вх_дкб" localSheetId="9">'Шпули 2020'!$F$55:$F$59</definedName>
    <definedName name="акт_вх_дкб">'Шаблон (кг.)'!$F$95:$F$99</definedName>
    <definedName name="акт_вх_июл" localSheetId="4">'Коробки 2020'!$F$31:$F$31</definedName>
    <definedName name="акт_вх_июл" localSheetId="1">'Мастика 2020'!$F$51:$F$55</definedName>
    <definedName name="акт_вх_июл" localSheetId="10">'Материал антиадгезионный 2020'!$F$29:$F$29</definedName>
    <definedName name="акт_вх_июл" localSheetId="5">'Пакеты 2020'!$F$50:$F$50</definedName>
    <definedName name="акт_вх_июл" localSheetId="2">'ПВХ 2020'!$F$45:$F$49</definedName>
    <definedName name="акт_вх_июл" localSheetId="3">'ПВХ липкая 2020'!$F$30:$F$30</definedName>
    <definedName name="акт_вх_июл" localSheetId="6">'Полилен 2020'!$F$30:$F$31</definedName>
    <definedName name="акт_вх_июл" localSheetId="7">'Политерм 2020'!$F$28:$F$28</definedName>
    <definedName name="акт_вх_июл" localSheetId="8">'Праймер и грунтовка 2020'!$F$28:$F$28</definedName>
    <definedName name="акт_вх_июл" localSheetId="12">'Шаблон (шт.)'!$F$56:$F$60</definedName>
    <definedName name="акт_вх_июл" localSheetId="9">'Шпули 2020'!$F$29:$F$29</definedName>
    <definedName name="акт_вх_июл">'Шаблон (кг.)'!$F$56:$F$60</definedName>
    <definedName name="акт_вх_июн" localSheetId="4">'Коробки 2020'!$F$25:$F$26</definedName>
    <definedName name="акт_вх_июн" localSheetId="1">'Мастика 2020'!$F$43:$F$45</definedName>
    <definedName name="акт_вх_июн" localSheetId="10">'Материал антиадгезионный 2020'!$F$24:$F$24</definedName>
    <definedName name="акт_вх_июн" localSheetId="5">'Пакеты 2020'!$F$41:$F$45</definedName>
    <definedName name="акт_вх_июн" localSheetId="2">'ПВХ 2020'!$F$37:$F$39</definedName>
    <definedName name="акт_вх_июн" localSheetId="3">'ПВХ липкая 2020'!$F$24:$F$25</definedName>
    <definedName name="акт_вх_июн" localSheetId="6">'Полилен 2020'!$F$25:$F$25</definedName>
    <definedName name="акт_вх_июн" localSheetId="7">'Политерм 2020'!$F$23:$F$23</definedName>
    <definedName name="акт_вх_июн" localSheetId="8">'Праймер и грунтовка 2020'!$F$23:$F$23</definedName>
    <definedName name="акт_вх_июн" localSheetId="12">'Шаблон (шт.)'!$F$45:$F$49</definedName>
    <definedName name="акт_вх_июн" localSheetId="9">'Шпули 2020'!$F$24:$F$24</definedName>
    <definedName name="акт_вх_июн">'Шаблон (кг.)'!$F$45:$F$49</definedName>
    <definedName name="акт_вх_май" localSheetId="4">'Коробки 2020'!$F$22:$F$22</definedName>
    <definedName name="акт_вх_май" localSheetId="1">'Мастика 2020'!$F$36:$F$40</definedName>
    <definedName name="акт_вх_май" localSheetId="10">'Материал антиадгезионный 2020'!$F$20:$F$21</definedName>
    <definedName name="акт_вх_май" localSheetId="5">'Пакеты 2020'!$F$34:$F$38</definedName>
    <definedName name="акт_вх_май" localSheetId="2">'ПВХ 2020'!$F$31:$F$34</definedName>
    <definedName name="акт_вх_май" localSheetId="3">'ПВХ липкая 2020'!$F$20:$F$21</definedName>
    <definedName name="акт_вх_май" localSheetId="6">'Полилен 2020'!$F$22:$F$22</definedName>
    <definedName name="акт_вх_май" localSheetId="7">'Политерм 2020'!$F$20:$F$20</definedName>
    <definedName name="акт_вх_май" localSheetId="8">'Праймер и грунтовка 2020'!$F$20:$F$20</definedName>
    <definedName name="акт_вх_май" localSheetId="12">'Шаблон (шт.)'!$F$38:$F$42</definedName>
    <definedName name="акт_вх_май" localSheetId="9">'Шпули 2020'!$F$21:$F$21</definedName>
    <definedName name="акт_вх_май">'Шаблон (кг.)'!$F$38:$F$42</definedName>
    <definedName name="акт_вх_мрт" localSheetId="4">'Коробки 2020'!$F$14:$F$14</definedName>
    <definedName name="акт_вх_мрт" localSheetId="1">'Мастика 2020'!$F$21:$F$25</definedName>
    <definedName name="акт_вх_мрт" localSheetId="10">'Материал антиадгезионный 2020'!$F$13:$F$13</definedName>
    <definedName name="акт_вх_мрт" localSheetId="5">'Пакеты 2020'!$F$18:$F$22</definedName>
    <definedName name="акт_вх_мрт" localSheetId="2">'ПВХ 2020'!$F$18:$F$21</definedName>
    <definedName name="акт_вх_мрт" localSheetId="3">'ПВХ липкая 2020'!$F$13:$F$13</definedName>
    <definedName name="акт_вх_мрт" localSheetId="6">'Полилен 2020'!$F$14:$F$14</definedName>
    <definedName name="акт_вх_мрт" localSheetId="7">'Политерм 2020'!$F$13:$F$13</definedName>
    <definedName name="акт_вх_мрт" localSheetId="8">'Праймер и грунтовка 2020'!$F$13:$F$13</definedName>
    <definedName name="акт_вх_мрт" localSheetId="12">'Шаблон (шт.)'!$F$21:$F$25</definedName>
    <definedName name="акт_вх_мрт" localSheetId="9">'Шпули 2020'!$F$14:$F$14</definedName>
    <definedName name="акт_вх_мрт">'Шаблон (кг.)'!$F$21:$F$25</definedName>
    <definedName name="акт_вх_нбр" localSheetId="4">'Коробки 2020'!$F$51:$F$52</definedName>
    <definedName name="акт_вх_нбр" localSheetId="1">'Мастика 2020'!$F$84:$F$92</definedName>
    <definedName name="акт_вх_нбр" localSheetId="10">'Материал антиадгезионный 2020'!$F$48:$F$49</definedName>
    <definedName name="акт_вх_нбр" localSheetId="5">'Пакеты 2020'!$F$69:$F$70</definedName>
    <definedName name="акт_вх_нбр" localSheetId="2">'ПВХ 2020'!$F$72:$F$76</definedName>
    <definedName name="акт_вх_нбр" localSheetId="3">'ПВХ липкая 2020'!$F$57:$F$61</definedName>
    <definedName name="акт_вх_нбр" localSheetId="6">'Полилен 2020'!$F$50:$F$54</definedName>
    <definedName name="акт_вх_нбр" localSheetId="7">'Политерм 2020'!$F$47:$F$51</definedName>
    <definedName name="акт_вх_нбр" localSheetId="8">'Праймер и грунтовка 2020'!$F$47:$F$51</definedName>
    <definedName name="акт_вх_нбр" localSheetId="12">'Шаблон (шт.)'!$F$88:$F$92</definedName>
    <definedName name="акт_вх_нбр" localSheetId="9">'Шпули 2020'!$F$48:$F$52</definedName>
    <definedName name="акт_вх_нбр">'Шаблон (кг.)'!$F$88:$F$92</definedName>
    <definedName name="акт_вх_окт" localSheetId="4">'Коробки 2020'!$F$44:$F$48</definedName>
    <definedName name="акт_вх_окт" localSheetId="1">'Мастика 2020'!$F$77:$F$81</definedName>
    <definedName name="акт_вх_окт" localSheetId="10">'Материал антиадгезионный 2020'!$F$41:$F$45</definedName>
    <definedName name="акт_вх_окт" localSheetId="5">'Пакеты 2020'!$F$62:$F$66</definedName>
    <definedName name="акт_вх_окт" localSheetId="2">'ПВХ 2020'!$F$68:$F$69</definedName>
    <definedName name="акт_вх_окт" localSheetId="3">'ПВХ липкая 2020'!$F$50:$F$54</definedName>
    <definedName name="акт_вх_окт" localSheetId="6">'Полилен 2020'!$F$43:$F$47</definedName>
    <definedName name="акт_вх_окт" localSheetId="7">'Политерм 2020'!$F$40:$F$44</definedName>
    <definedName name="акт_вх_окт" localSheetId="8">'Праймер и грунтовка 2020'!$F$40:$F$44</definedName>
    <definedName name="акт_вх_окт" localSheetId="12">'Шаблон (шт.)'!$F$81:$F$85</definedName>
    <definedName name="акт_вх_окт" localSheetId="9">'Шпули 2020'!$F$41:$F$45</definedName>
    <definedName name="акт_вх_окт">'Шаблон (кг.)'!$F$81:$F$85</definedName>
    <definedName name="акт_вх_снт" localSheetId="4">'Коробки 2020'!$F$37:$F$38</definedName>
    <definedName name="акт_вх_снт" localSheetId="1">'Мастика 2020'!$F$64:$F$71</definedName>
    <definedName name="акт_вх_снт" localSheetId="10">'Материал антиадгезионный 2020'!$F$35:$F$35</definedName>
    <definedName name="акт_вх_снт" localSheetId="5">'Пакеты 2020'!$F$56:$F$56</definedName>
    <definedName name="акт_вх_снт" localSheetId="2">'ПВХ 2020'!$F$57:$F$62</definedName>
    <definedName name="акт_вх_снт" localSheetId="3">'ПВХ липкая 2020'!$F$40:$F$44</definedName>
    <definedName name="акт_вх_снт" localSheetId="6">'Полилен 2020'!$F$37:$F$37</definedName>
    <definedName name="акт_вх_снт" localSheetId="7">'Политерм 2020'!$F$34:$F$34</definedName>
    <definedName name="акт_вх_снт" localSheetId="8">'Праймер и грунтовка 2020'!$F$34:$F$34</definedName>
    <definedName name="акт_вх_снт" localSheetId="12">'Шаблон (шт.)'!$F$70:$F$74</definedName>
    <definedName name="акт_вх_снт" localSheetId="9">'Шпули 2020'!$F$35:$F$35</definedName>
    <definedName name="акт_вх_снт">'Шаблон (кг.)'!$F$70:$F$74</definedName>
    <definedName name="акт_вх_фев" localSheetId="4">'Коробки 2020'!$F$10:$F$11</definedName>
    <definedName name="акт_вх_фев" localSheetId="1">'Мастика 2020'!$F$15:$F$18</definedName>
    <definedName name="акт_вх_фев" localSheetId="10">'Материал антиадгезионный 2020'!$F$10:$F$10</definedName>
    <definedName name="акт_вх_фев" localSheetId="5">'Пакеты 2020'!$F$14:$F$15</definedName>
    <definedName name="акт_вх_фев" localSheetId="2">'ПВХ 2020'!$F$11:$F$15</definedName>
    <definedName name="акт_вх_фев" localSheetId="3">'ПВХ липкая 2020'!$F$10:$F$10</definedName>
    <definedName name="акт_вх_фев" localSheetId="6">'Полилен 2020'!$F$11:$F$11</definedName>
    <definedName name="акт_вх_фев" localSheetId="7">'Политерм 2020'!$F$10:$F$10</definedName>
    <definedName name="акт_вх_фев" localSheetId="8">'Праймер и грунтовка 2020'!$F$10:$F$10</definedName>
    <definedName name="акт_вх_фев" localSheetId="12">'Шаблон (шт.)'!$F$14:$F$18</definedName>
    <definedName name="акт_вх_фев" localSheetId="9">'Шпули 2020'!$F$10:$F$11</definedName>
    <definedName name="акт_вх_фев">'Шаблон (кг.)'!$F$14:$F$18</definedName>
    <definedName name="акт_вх_янв" localSheetId="4">'Коробки 2020'!$F$7:$F$7</definedName>
    <definedName name="акт_вх_янв" localSheetId="1">'Мастика 2020'!$F$7:$F$11</definedName>
    <definedName name="акт_вх_янв" localSheetId="10">'Материал антиадгезионный 2020'!$F$7:$F$7</definedName>
    <definedName name="акт_вх_янв" localSheetId="5">'Пакеты 2020'!$F$7:$F$11</definedName>
    <definedName name="акт_вх_янв" localSheetId="2">'ПВХ 2020'!$F$7:$F$8</definedName>
    <definedName name="акт_вх_янв" localSheetId="3">'ПВХ липкая 2020'!$F$7:$F$7</definedName>
    <definedName name="акт_вх_янв" localSheetId="6">'Полилен 2020'!$F$7:$F$7</definedName>
    <definedName name="акт_вх_янв" localSheetId="7">'Политерм 2020'!$F$7:$F$7</definedName>
    <definedName name="акт_вх_янв" localSheetId="8">'Праймер и грунтовка 2020'!$F$7:$F$7</definedName>
    <definedName name="акт_вх_янв" localSheetId="12">'Шаблон (шт.)'!$F$7:$F$11</definedName>
    <definedName name="акт_вх_янв" localSheetId="9">'Шпули 2020'!$F$7:$F$7</definedName>
    <definedName name="акт_вх_янв">'Шаблон (кг.)'!$F$7:$F$11</definedName>
    <definedName name="акт_отб_авг" localSheetId="4">'Коробки 2020'!$H$34:$H$34</definedName>
    <definedName name="акт_отб_авг" localSheetId="1">'Мастика 2020'!$H$58:$H$61</definedName>
    <definedName name="акт_отб_авг" localSheetId="10">'Материал антиадгезионный 2020'!$H$32:$H$32</definedName>
    <definedName name="акт_отб_авг" localSheetId="5">'Пакеты 2020'!$H$53:$H$53</definedName>
    <definedName name="акт_отб_авг" localSheetId="2">'ПВХ 2020'!$H$52:$H$54</definedName>
    <definedName name="акт_отб_авг" localSheetId="3">'ПВХ липкая 2020'!$H$33:$H$37</definedName>
    <definedName name="акт_отб_авг" localSheetId="6">'Полилен 2020'!$H$34:$H$34</definedName>
    <definedName name="акт_отб_авг" localSheetId="7">'Политерм 2020'!$H$31:$H$31</definedName>
    <definedName name="акт_отб_авг" localSheetId="8">'Праймер и грунтовка 2020'!$H$31:$H$31</definedName>
    <definedName name="акт_отб_авг" localSheetId="12">'Шаблон (шт.)'!$H$63:$H$67</definedName>
    <definedName name="акт_отб_авг" localSheetId="9">'Шпули 2020'!$H$32:$H$32</definedName>
    <definedName name="акт_отб_авг">'Шаблон (кг.)'!$H$63:$H$67</definedName>
    <definedName name="акт_отб_апр" localSheetId="4">'Коробки 2020'!$H$18:$H$19</definedName>
    <definedName name="акт_отб_апр" localSheetId="1">'Мастика 2020'!$H$30:$H$33</definedName>
    <definedName name="акт_отб_апр" localSheetId="10">'Материал антиадгезионный 2020'!$H$17:$H$17</definedName>
    <definedName name="акт_отб_апр" localSheetId="5">'Пакеты 2020'!$H$27:$H$31</definedName>
    <definedName name="акт_отб_апр" localSheetId="2">'ПВХ 2020'!$H$26:$H$28</definedName>
    <definedName name="акт_отб_апр" localSheetId="3">'ПВХ липкая 2020'!$H$17:$H$17</definedName>
    <definedName name="акт_отб_апр" localSheetId="6">'Полилен 2020'!$H$19:$H$19</definedName>
    <definedName name="акт_отб_апр" localSheetId="7">'Политерм 2020'!$H$17:$H$17</definedName>
    <definedName name="акт_отб_апр" localSheetId="8">'Праймер и грунтовка 2020'!$H$17:$H$17</definedName>
    <definedName name="акт_отб_апр" localSheetId="12">'Шаблон (шт.)'!$H$31:$H$35</definedName>
    <definedName name="акт_отб_апр" localSheetId="9">'Шпули 2020'!$H$18:$H$18</definedName>
    <definedName name="акт_отб_апр">'Шаблон (кг.)'!$H$31:$H$35</definedName>
    <definedName name="акт_отб_дкб" localSheetId="4">'Коробки 2020'!$H$55:$H$59</definedName>
    <definedName name="акт_отб_дкб" localSheetId="1">'Мастика 2020'!$H$95:$H$99</definedName>
    <definedName name="акт_отб_дкб" localSheetId="10">'Материал антиадгезионный 2020'!$H$52:$H$53</definedName>
    <definedName name="акт_отб_дкб" localSheetId="5">'Пакеты 2020'!$H$73:$H$77</definedName>
    <definedName name="акт_отб_дкб" localSheetId="2">'ПВХ 2020'!$H$79:$H$81</definedName>
    <definedName name="акт_отб_дкб" localSheetId="3">'ПВХ липкая 2020'!$H$64:$H$65</definedName>
    <definedName name="акт_отб_дкб" localSheetId="6">'Полилен 2020'!$H$57:$H$61</definedName>
    <definedName name="акт_отб_дкб" localSheetId="7">'Политерм 2020'!$H$54:$H$58</definedName>
    <definedName name="акт_отб_дкб" localSheetId="8">'Праймер и грунтовка 2020'!$H$54:$H$58</definedName>
    <definedName name="акт_отб_дкб" localSheetId="12">'Шаблон (шт.)'!$H$95:$H$99</definedName>
    <definedName name="акт_отб_дкб" localSheetId="9">'Шпули 2020'!$H$55:$H$59</definedName>
    <definedName name="акт_отб_дкб">'Шаблон (кг.)'!$H$95:$H$99</definedName>
    <definedName name="акт_отб_июл" localSheetId="4">'Коробки 2020'!$H$31:$H$31</definedName>
    <definedName name="акт_отб_июл" localSheetId="1">'Мастика 2020'!$H$51:$H$55</definedName>
    <definedName name="акт_отб_июл" localSheetId="10">'Материал антиадгезионный 2020'!$H$29:$H$29</definedName>
    <definedName name="акт_отб_июл" localSheetId="5">'Пакеты 2020'!$H$50:$H$50</definedName>
    <definedName name="акт_отб_июл" localSheetId="2">'ПВХ 2020'!$H$45:$H$49</definedName>
    <definedName name="акт_отб_июл" localSheetId="3">'ПВХ липкая 2020'!$H$30:$H$30</definedName>
    <definedName name="акт_отб_июл" localSheetId="6">'Полилен 2020'!$H$30:$H$31</definedName>
    <definedName name="акт_отб_июл" localSheetId="7">'Политерм 2020'!$H$28:$H$28</definedName>
    <definedName name="акт_отб_июл" localSheetId="8">'Праймер и грунтовка 2020'!$H$28:$H$28</definedName>
    <definedName name="акт_отб_июл" localSheetId="12">'Шаблон (шт.)'!$H$56:$H$60</definedName>
    <definedName name="акт_отб_июл" localSheetId="9">'Шпули 2020'!$H$29:$H$29</definedName>
    <definedName name="акт_отб_июл">'Шаблон (кг.)'!$H$56:$H$60</definedName>
    <definedName name="акт_отб_июн" localSheetId="4">'Коробки 2020'!$H$25:$H$26</definedName>
    <definedName name="акт_отб_июн" localSheetId="1">'Мастика 2020'!$H$43:$H$45</definedName>
    <definedName name="акт_отб_июн" localSheetId="10">'Материал антиадгезионный 2020'!$H$24:$H$24</definedName>
    <definedName name="акт_отб_июн" localSheetId="5">'Пакеты 2020'!$H$41:$H$45</definedName>
    <definedName name="акт_отб_июн" localSheetId="2">'ПВХ 2020'!$H$37:$H$39</definedName>
    <definedName name="акт_отб_июн" localSheetId="3">'ПВХ липкая 2020'!$H$24:$H$25</definedName>
    <definedName name="акт_отб_июн" localSheetId="6">'Полилен 2020'!$H$25:$H$25</definedName>
    <definedName name="акт_отб_июн" localSheetId="7">'Политерм 2020'!$H$23:$H$23</definedName>
    <definedName name="акт_отб_июн" localSheetId="8">'Праймер и грунтовка 2020'!$H$23:$H$23</definedName>
    <definedName name="акт_отб_июн" localSheetId="12">'Шаблон (шт.)'!$H$45:$H$49</definedName>
    <definedName name="акт_отб_июн" localSheetId="9">'Шпули 2020'!$H$24:$H$24</definedName>
    <definedName name="акт_отб_июн">'Шаблон (кг.)'!$H$45:$H$49</definedName>
    <definedName name="акт_отб_май" localSheetId="4">'Коробки 2020'!$H$22:$H$22</definedName>
    <definedName name="акт_отб_май" localSheetId="1">'Мастика 2020'!$H$36:$H$40</definedName>
    <definedName name="акт_отб_май" localSheetId="10">'Материал антиадгезионный 2020'!$H$20:$H$21</definedName>
    <definedName name="акт_отб_май" localSheetId="5">'Пакеты 2020'!$H$34:$H$38</definedName>
    <definedName name="акт_отб_май" localSheetId="2">'ПВХ 2020'!$H$31:$H$34</definedName>
    <definedName name="акт_отб_май" localSheetId="3">'ПВХ липкая 2020'!$H$20:$H$21</definedName>
    <definedName name="акт_отб_май" localSheetId="6">'Полилен 2020'!$H$22:$H$22</definedName>
    <definedName name="акт_отб_май" localSheetId="7">'Политерм 2020'!$H$20:$H$20</definedName>
    <definedName name="акт_отб_май" localSheetId="8">'Праймер и грунтовка 2020'!$H$20:$H$20</definedName>
    <definedName name="акт_отб_май" localSheetId="12">'Шаблон (шт.)'!$H$38:$H$42</definedName>
    <definedName name="акт_отб_май" localSheetId="9">'Шпули 2020'!$H$21:$H$21</definedName>
    <definedName name="акт_отб_май">'Шаблон (кг.)'!$H$38:$H$42</definedName>
    <definedName name="акт_отб_мрт" localSheetId="4">'Коробки 2020'!$H$14:$H$14</definedName>
    <definedName name="акт_отб_мрт" localSheetId="1">'Мастика 2020'!$H$21:$H$25</definedName>
    <definedName name="акт_отб_мрт" localSheetId="10">'Материал антиадгезионный 2020'!$H$13:$H$13</definedName>
    <definedName name="акт_отб_мрт" localSheetId="5">'Пакеты 2020'!$H$18:$H$22</definedName>
    <definedName name="акт_отб_мрт" localSheetId="2">'ПВХ 2020'!$H$18:$H$21</definedName>
    <definedName name="акт_отб_мрт" localSheetId="3">'ПВХ липкая 2020'!$H$13:$H$13</definedName>
    <definedName name="акт_отб_мрт" localSheetId="6">'Полилен 2020'!$H$14:$H$14</definedName>
    <definedName name="акт_отб_мрт" localSheetId="7">'Политерм 2020'!$H$13:$H$13</definedName>
    <definedName name="акт_отб_мрт" localSheetId="8">'Праймер и грунтовка 2020'!$H$13:$H$13</definedName>
    <definedName name="акт_отб_мрт" localSheetId="12">'Шаблон (шт.)'!$H$21:$H$25</definedName>
    <definedName name="акт_отб_мрт" localSheetId="9">'Шпули 2020'!$H$14:$H$14</definedName>
    <definedName name="акт_отб_мрт">'Шаблон (кг.)'!$H$21:$H$25</definedName>
    <definedName name="акт_отб_нбр" localSheetId="4">'Коробки 2020'!$H$51:$H$52</definedName>
    <definedName name="акт_отб_нбр" localSheetId="1">'Мастика 2020'!$H$84:$H$92</definedName>
    <definedName name="акт_отб_нбр" localSheetId="10">'Материал антиадгезионный 2020'!$H$48:$H$49</definedName>
    <definedName name="акт_отб_нбр" localSheetId="5">'Пакеты 2020'!$H$69:$H$70</definedName>
    <definedName name="акт_отб_нбр" localSheetId="2">'ПВХ 2020'!$H$72:$H$76</definedName>
    <definedName name="акт_отб_нбр" localSheetId="3">'ПВХ липкая 2020'!$H$57:$H$61</definedName>
    <definedName name="акт_отб_нбр" localSheetId="6">'Полилен 2020'!$H$50:$H$54</definedName>
    <definedName name="акт_отб_нбр" localSheetId="7">'Политерм 2020'!$H$47:$H$51</definedName>
    <definedName name="акт_отб_нбр" localSheetId="8">'Праймер и грунтовка 2020'!$H$47:$H$51</definedName>
    <definedName name="акт_отб_нбр" localSheetId="12">'Шаблон (шт.)'!$H$88:$H$92</definedName>
    <definedName name="акт_отб_нбр" localSheetId="9">'Шпули 2020'!$H$48:$H$52</definedName>
    <definedName name="акт_отб_нбр">'Шаблон (кг.)'!$H$88:$H$92</definedName>
    <definedName name="акт_отб_окт" localSheetId="4">'Коробки 2020'!$H$44:$H$48</definedName>
    <definedName name="акт_отб_окт" localSheetId="1">'Мастика 2020'!$H$77:$H$81</definedName>
    <definedName name="акт_отб_окт" localSheetId="10">'Материал антиадгезионный 2020'!$H$41:$H$45</definedName>
    <definedName name="акт_отб_окт" localSheetId="5">'Пакеты 2020'!$H$62:$H$66</definedName>
    <definedName name="акт_отб_окт" localSheetId="2">'ПВХ 2020'!$H$68:$H$69</definedName>
    <definedName name="акт_отб_окт" localSheetId="3">'ПВХ липкая 2020'!$H$50:$H$54</definedName>
    <definedName name="акт_отб_окт" localSheetId="6">'Полилен 2020'!$H$43:$H$47</definedName>
    <definedName name="акт_отб_окт" localSheetId="7">'Политерм 2020'!$H$40:$H$44</definedName>
    <definedName name="акт_отб_окт" localSheetId="8">'Праймер и грунтовка 2020'!$H$40:$H$44</definedName>
    <definedName name="акт_отб_окт" localSheetId="12">'Шаблон (шт.)'!$H$81:$H$85</definedName>
    <definedName name="акт_отб_окт" localSheetId="9">'Шпули 2020'!$H$41:$H$45</definedName>
    <definedName name="акт_отб_окт">'Шаблон (кг.)'!$H$81:$H$85</definedName>
    <definedName name="акт_отб_снт" localSheetId="4">'Коробки 2020'!$H$37:$H$38</definedName>
    <definedName name="акт_отб_снт" localSheetId="1">'Мастика 2020'!$H$64:$H$71</definedName>
    <definedName name="акт_отб_снт" localSheetId="10">'Материал антиадгезионный 2020'!$H$35:$H$35</definedName>
    <definedName name="акт_отб_снт" localSheetId="5">'Пакеты 2020'!$H$56:$H$56</definedName>
    <definedName name="акт_отб_снт" localSheetId="2">'ПВХ 2020'!$H$57:$H$62</definedName>
    <definedName name="акт_отб_снт" localSheetId="3">'ПВХ липкая 2020'!$H$40:$H$44</definedName>
    <definedName name="акт_отб_снт" localSheetId="6">'Полилен 2020'!$H$37:$H$37</definedName>
    <definedName name="акт_отб_снт" localSheetId="7">'Политерм 2020'!$H$34:$H$34</definedName>
    <definedName name="акт_отб_снт" localSheetId="8">'Праймер и грунтовка 2020'!$H$34:$H$34</definedName>
    <definedName name="акт_отб_снт" localSheetId="12">'Шаблон (шт.)'!$H$70:$H$74</definedName>
    <definedName name="акт_отб_снт" localSheetId="9">'Шпули 2020'!$H$35:$H$35</definedName>
    <definedName name="акт_отб_снт">'Шаблон (кг.)'!$H$70:$H$74</definedName>
    <definedName name="акт_отб_фев" localSheetId="4">'Коробки 2020'!$H$10:$H$11</definedName>
    <definedName name="акт_отб_фев" localSheetId="1">'Мастика 2020'!$H$15:$H$18</definedName>
    <definedName name="акт_отб_фев" localSheetId="10">'Материал антиадгезионный 2020'!$H$10:$H$10</definedName>
    <definedName name="акт_отб_фев" localSheetId="5">'Пакеты 2020'!$H$14:$H$15</definedName>
    <definedName name="акт_отб_фев" localSheetId="2">'ПВХ 2020'!$H$11:$H$15</definedName>
    <definedName name="акт_отб_фев" localSheetId="3">'ПВХ липкая 2020'!$H$10:$H$10</definedName>
    <definedName name="акт_отб_фев" localSheetId="6">'Полилен 2020'!$H$11:$H$11</definedName>
    <definedName name="акт_отб_фев" localSheetId="7">'Политерм 2020'!$H$10:$H$10</definedName>
    <definedName name="акт_отб_фев" localSheetId="8">'Праймер и грунтовка 2020'!$H$10:$H$10</definedName>
    <definedName name="акт_отб_фев" localSheetId="12">'Шаблон (шт.)'!$H$14:$H$18</definedName>
    <definedName name="акт_отб_фев" localSheetId="9">'Шпули 2020'!$H$10:$H$11</definedName>
    <definedName name="акт_отб_фев">'Шаблон (кг.)'!$H$14:$H$18</definedName>
    <definedName name="акт_отб_янв" localSheetId="4">'Коробки 2020'!$H$7:$H$7</definedName>
    <definedName name="акт_отб_янв" localSheetId="1">'Мастика 2020'!$H$7:$H$11</definedName>
    <definedName name="акт_отб_янв" localSheetId="10">'Материал антиадгезионный 2020'!$H$7:$H$7</definedName>
    <definedName name="акт_отб_янв" localSheetId="5">'Пакеты 2020'!$H$7:$H$11</definedName>
    <definedName name="акт_отб_янв" localSheetId="2">'ПВХ 2020'!$H$7:$H$8</definedName>
    <definedName name="акт_отб_янв" localSheetId="3">'ПВХ липкая 2020'!$H$7:$H$7</definedName>
    <definedName name="акт_отб_янв" localSheetId="6">'Полилен 2020'!$H$7:$H$7</definedName>
    <definedName name="акт_отб_янв" localSheetId="7">'Политерм 2020'!$H$7:$H$7</definedName>
    <definedName name="акт_отб_янв" localSheetId="8">'Праймер и грунтовка 2020'!$H$7:$H$7</definedName>
    <definedName name="акт_отб_янв" localSheetId="12">'Шаблон (шт.)'!$H$7:$H$11</definedName>
    <definedName name="акт_отб_янв" localSheetId="9">'Шпули 2020'!$H$7:$H$7</definedName>
    <definedName name="акт_отб_янв">'Шаблон (кг.)'!$H$7:$H$11</definedName>
    <definedName name="апр_кол" localSheetId="4">'Коробки 2020'!$E$18:$E$19</definedName>
    <definedName name="апр_кол" localSheetId="1">'Мастика 2020'!$E$30:$E$33</definedName>
    <definedName name="апр_кол" localSheetId="10">'Материал антиадгезионный 2020'!$E$17:$E$17</definedName>
    <definedName name="апр_кол" localSheetId="5">'Пакеты 2020'!$E$27:$E$31</definedName>
    <definedName name="апр_кол" localSheetId="2">'ПВХ 2020'!$E$26:$E$28</definedName>
    <definedName name="апр_кол" localSheetId="3">'ПВХ липкая 2020'!$E$17:$E$17</definedName>
    <definedName name="апр_кол" localSheetId="6">'Полилен 2020'!$E$19:$E$19</definedName>
    <definedName name="апр_кол" localSheetId="7">'Политерм 2020'!$E$17:$E$17</definedName>
    <definedName name="апр_кол" localSheetId="8">'Праймер и грунтовка 2020'!$E$17:$E$17</definedName>
    <definedName name="апр_кол" localSheetId="12">'Шаблон (шт.)'!$E$31:$E$35</definedName>
    <definedName name="апр_кол" localSheetId="9">'Шпули 2020'!$E$18:$E$18</definedName>
    <definedName name="апр_кол">'Шаблон (кг.)'!$E$31:$E$35</definedName>
    <definedName name="апр_пр" localSheetId="4">'Коробки 2020'!$C$18:$C$19</definedName>
    <definedName name="апр_пр" localSheetId="1">'Мастика 2020'!$C$30:$C$33</definedName>
    <definedName name="апр_пр" localSheetId="10">'Материал антиадгезионный 2020'!$C$17:$C$17</definedName>
    <definedName name="апр_пр" localSheetId="5">'Пакеты 2020'!$C$27:$C$31</definedName>
    <definedName name="апр_пр" localSheetId="2">'ПВХ 2020'!$C$26:$C$28</definedName>
    <definedName name="апр_пр" localSheetId="3">'ПВХ липкая 2020'!$C$17:$C$17</definedName>
    <definedName name="апр_пр" localSheetId="6">'Полилен 2020'!$C$19:$C$19</definedName>
    <definedName name="апр_пр" localSheetId="7">'Политерм 2020'!$C$17:$C$17</definedName>
    <definedName name="апр_пр" localSheetId="8">'Праймер и грунтовка 2020'!$C$17:$C$17</definedName>
    <definedName name="апр_пр" localSheetId="12">'Шаблон (шт.)'!$C$31:$C$35</definedName>
    <definedName name="апр_пр" localSheetId="9">'Шпули 2020'!$C$18:$C$18</definedName>
    <definedName name="апр_пр">'Шаблон (кг.)'!$C$31:$C$35</definedName>
    <definedName name="дкб_кол" localSheetId="4">'Коробки 2020'!$E$55:$E$59</definedName>
    <definedName name="дкб_кол" localSheetId="1">'Мастика 2020'!$E$95:$E$99</definedName>
    <definedName name="дкб_кол" localSheetId="10">'Материал антиадгезионный 2020'!$E$52:$E$53</definedName>
    <definedName name="дкб_кол" localSheetId="5">'Пакеты 2020'!$E$73:$E$77</definedName>
    <definedName name="дкб_кол" localSheetId="2">'ПВХ 2020'!$E$79:$E$81</definedName>
    <definedName name="дкб_кол" localSheetId="3">'ПВХ липкая 2020'!$E$64:$E$65</definedName>
    <definedName name="дкб_кол" localSheetId="6">'Полилен 2020'!$E$57:$E$61</definedName>
    <definedName name="дкб_кол" localSheetId="7">'Политерм 2020'!$E$54:$E$58</definedName>
    <definedName name="дкб_кол" localSheetId="8">'Праймер и грунтовка 2020'!$E$54:$E$58</definedName>
    <definedName name="дкб_кол" localSheetId="12">'Шаблон (шт.)'!$E$95:$E$99</definedName>
    <definedName name="дкб_кол" localSheetId="9">'Шпули 2020'!$E$55:$E$59</definedName>
    <definedName name="дкб_кол">'Шаблон (кг.)'!$E$95:$E$99</definedName>
    <definedName name="дкб_пр" localSheetId="4">'Коробки 2020'!$C$55:$C$59</definedName>
    <definedName name="дкб_пр" localSheetId="1">'Мастика 2020'!$C$95:$C$99</definedName>
    <definedName name="дкб_пр" localSheetId="10">'Материал антиадгезионный 2020'!$C$52:$C$53</definedName>
    <definedName name="дкб_пр" localSheetId="5">'Пакеты 2020'!$C$73:$C$77</definedName>
    <definedName name="дкб_пр" localSheetId="2">'ПВХ 2020'!$C$79:$C$81</definedName>
    <definedName name="дкб_пр" localSheetId="3">'ПВХ липкая 2020'!$C$64:$C$65</definedName>
    <definedName name="дкб_пр" localSheetId="6">'Полилен 2020'!$C$57:$C$61</definedName>
    <definedName name="дкб_пр" localSheetId="7">'Политерм 2020'!$C$54:$C$58</definedName>
    <definedName name="дкб_пр" localSheetId="8">'Праймер и грунтовка 2020'!$C$54:$C$58</definedName>
    <definedName name="дкб_пр" localSheetId="12">'Шаблон (шт.)'!$C$95:$C$99</definedName>
    <definedName name="дкб_пр" localSheetId="9">'Шпули 2020'!$C$55:$C$59</definedName>
    <definedName name="дкб_пр">'Шаблон (кг.)'!$C$95:$C$99</definedName>
    <definedName name="июл_кол" localSheetId="4">'Коробки 2020'!$E$31:$E$31</definedName>
    <definedName name="июл_кол" localSheetId="1">'Мастика 2020'!$E$51:$E$55</definedName>
    <definedName name="июл_кол" localSheetId="10">'Материал антиадгезионный 2020'!$E$29:$E$29</definedName>
    <definedName name="июл_кол" localSheetId="5">'Пакеты 2020'!$E$50:$E$50</definedName>
    <definedName name="июл_кол" localSheetId="2">'ПВХ 2020'!$E$45:$E$49</definedName>
    <definedName name="июл_кол" localSheetId="3">'ПВХ липкая 2020'!$E$30:$E$30</definedName>
    <definedName name="июл_кол" localSheetId="6">'Полилен 2020'!$E$30:$E$31</definedName>
    <definedName name="июл_кол" localSheetId="7">'Политерм 2020'!$E$28:$E$28</definedName>
    <definedName name="июл_кол" localSheetId="8">'Праймер и грунтовка 2020'!$E$28:$E$28</definedName>
    <definedName name="июл_кол" localSheetId="12">'Шаблон (шт.)'!$E$56:$E$60</definedName>
    <definedName name="июл_кол" localSheetId="9">'Шпули 2020'!$E$29:$E$29</definedName>
    <definedName name="июл_кол">'Шаблон (кг.)'!$E$56:$E$60</definedName>
    <definedName name="июл_пр" localSheetId="4">'Коробки 2020'!$C$31:$C$31</definedName>
    <definedName name="июл_пр" localSheetId="1">'Мастика 2020'!$C$51:$C$55</definedName>
    <definedName name="июл_пр" localSheetId="10">'Материал антиадгезионный 2020'!$C$29:$C$29</definedName>
    <definedName name="июл_пр" localSheetId="5">'Пакеты 2020'!$C$50:$C$50</definedName>
    <definedName name="июл_пр" localSheetId="2">'ПВХ 2020'!$C$45:$C$49</definedName>
    <definedName name="июл_пр" localSheetId="3">'ПВХ липкая 2020'!$C$30:$C$30</definedName>
    <definedName name="июл_пр" localSheetId="6">'Полилен 2020'!$C$30:$C$31</definedName>
    <definedName name="июл_пр" localSheetId="7">'Политерм 2020'!$C$28:$C$28</definedName>
    <definedName name="июл_пр" localSheetId="8">'Праймер и грунтовка 2020'!$C$28:$C$28</definedName>
    <definedName name="июл_пр" localSheetId="12">'Шаблон (шт.)'!$C$56:$C$60</definedName>
    <definedName name="июл_пр" localSheetId="9">'Шпули 2020'!$C$29:$C$29</definedName>
    <definedName name="июл_пр">'Шаблон (кг.)'!$C$56:$C$60</definedName>
    <definedName name="июн_кол" localSheetId="4">'Коробки 2020'!$E$25:$E$26</definedName>
    <definedName name="июн_кол" localSheetId="1">'Мастика 2020'!$E$43:$E$45</definedName>
    <definedName name="июн_кол" localSheetId="10">'Материал антиадгезионный 2020'!$E$24:$E$24</definedName>
    <definedName name="июн_кол" localSheetId="5">'Пакеты 2020'!$E$41:$E$45</definedName>
    <definedName name="июн_кол" localSheetId="2">'ПВХ 2020'!$E$37:$E$39</definedName>
    <definedName name="июн_кол" localSheetId="3">'ПВХ липкая 2020'!$E$24:$E$25</definedName>
    <definedName name="июн_кол" localSheetId="6">'Полилен 2020'!$E$25:$E$25</definedName>
    <definedName name="июн_кол" localSheetId="7">'Политерм 2020'!$E$23:$E$23</definedName>
    <definedName name="июн_кол" localSheetId="8">'Праймер и грунтовка 2020'!$E$23:$E$23</definedName>
    <definedName name="июн_кол" localSheetId="12">'Шаблон (шт.)'!$E$45:$E$49</definedName>
    <definedName name="июн_кол" localSheetId="9">'Шпули 2020'!$E$24:$E$24</definedName>
    <definedName name="июн_кол">'Шаблон (кг.)'!$E$45:$E$49</definedName>
    <definedName name="июн_пр" localSheetId="4">'Коробки 2020'!$C$25:$C$26</definedName>
    <definedName name="июн_пр" localSheetId="1">'Мастика 2020'!$C$43:$C$45</definedName>
    <definedName name="июн_пр" localSheetId="10">'Материал антиадгезионный 2020'!$C$24:$C$24</definedName>
    <definedName name="июн_пр" localSheetId="5">'Пакеты 2020'!$C$41:$C$45</definedName>
    <definedName name="июн_пр" localSheetId="2">'ПВХ 2020'!$C$37:$C$39</definedName>
    <definedName name="июн_пр" localSheetId="3">'ПВХ липкая 2020'!$C$24:$C$25</definedName>
    <definedName name="июн_пр" localSheetId="6">'Полилен 2020'!$C$25:$C$25</definedName>
    <definedName name="июн_пр" localSheetId="7">'Политерм 2020'!$C$23:$C$23</definedName>
    <definedName name="июн_пр" localSheetId="8">'Праймер и грунтовка 2020'!$C$23:$C$23</definedName>
    <definedName name="июн_пр" localSheetId="12">'Шаблон (шт.)'!$C$45:$C$49</definedName>
    <definedName name="июн_пр" localSheetId="9">'Шпули 2020'!$C$24:$C$24</definedName>
    <definedName name="июн_пр">'Шаблон (кг.)'!$C$45:$C$49</definedName>
    <definedName name="кол_отб_авг" localSheetId="4">'Коробки 2020'!$J$34:$J$34</definedName>
    <definedName name="кол_отб_авг" localSheetId="1">'Мастика 2020'!$J$58:$J$61</definedName>
    <definedName name="кол_отб_авг" localSheetId="10">'Материал антиадгезионный 2020'!$J$32:$J$32</definedName>
    <definedName name="кол_отб_авг" localSheetId="5">'Пакеты 2020'!$J$53:$J$53</definedName>
    <definedName name="кол_отб_авг" localSheetId="2">'ПВХ 2020'!$J$52:$J$54</definedName>
    <definedName name="кол_отб_авг" localSheetId="3">'ПВХ липкая 2020'!$J$33:$J$37</definedName>
    <definedName name="кол_отб_авг" localSheetId="6">'Полилен 2020'!$J$34:$J$34</definedName>
    <definedName name="кол_отб_авг" localSheetId="7">'Политерм 2020'!$J$31:$J$31</definedName>
    <definedName name="кол_отб_авг" localSheetId="8">'Праймер и грунтовка 2020'!$J$31:$J$31</definedName>
    <definedName name="кол_отб_авг" localSheetId="12">'Шаблон (шт.)'!$J$63:$J$67</definedName>
    <definedName name="кол_отб_авг" localSheetId="9">'Шпули 2020'!$J$32:$J$32</definedName>
    <definedName name="кол_отб_авг">'Шаблон (кг.)'!$J$63:$J$67</definedName>
    <definedName name="кол_отб_апр" localSheetId="4">'Коробки 2020'!$J$18:$J$19</definedName>
    <definedName name="кол_отб_апр" localSheetId="1">'Мастика 2020'!$J$30:$J$33</definedName>
    <definedName name="кол_отб_апр" localSheetId="10">'Материал антиадгезионный 2020'!$J$17:$J$17</definedName>
    <definedName name="кол_отб_апр" localSheetId="5">'Пакеты 2020'!$J$27:$J$31</definedName>
    <definedName name="кол_отб_апр" localSheetId="2">'ПВХ 2020'!$J$26:$J$28</definedName>
    <definedName name="кол_отб_апр" localSheetId="3">'ПВХ липкая 2020'!$J$17:$J$17</definedName>
    <definedName name="кол_отб_апр" localSheetId="6">'Полилен 2020'!$J$19:$J$19</definedName>
    <definedName name="кол_отб_апр" localSheetId="7">'Политерм 2020'!$J$17:$J$17</definedName>
    <definedName name="кол_отб_апр" localSheetId="8">'Праймер и грунтовка 2020'!$J$17:$J$17</definedName>
    <definedName name="кол_отб_апр" localSheetId="12">'Шаблон (шт.)'!$J$31:$J$35</definedName>
    <definedName name="кол_отб_апр" localSheetId="9">'Шпули 2020'!$J$18:$J$18</definedName>
    <definedName name="кол_отб_апр">'Шаблон (кг.)'!$J$31:$J$35</definedName>
    <definedName name="кол_отб_дкб" localSheetId="4">'Коробки 2020'!$J$55:$J$59</definedName>
    <definedName name="кол_отб_дкб" localSheetId="1">'Мастика 2020'!$J$95:$J$99</definedName>
    <definedName name="кол_отб_дкб" localSheetId="10">'Материал антиадгезионный 2020'!$J$52:$J$53</definedName>
    <definedName name="кол_отб_дкб" localSheetId="5">'Пакеты 2020'!$J$73:$J$77</definedName>
    <definedName name="кол_отб_дкб" localSheetId="2">'ПВХ 2020'!$J$79:$J$81</definedName>
    <definedName name="кол_отб_дкб" localSheetId="3">'ПВХ липкая 2020'!$J$64:$J$65</definedName>
    <definedName name="кол_отб_дкб" localSheetId="6">'Полилен 2020'!$J$57:$J$61</definedName>
    <definedName name="кол_отб_дкб" localSheetId="7">'Политерм 2020'!$J$54:$J$58</definedName>
    <definedName name="кол_отб_дкб" localSheetId="8">'Праймер и грунтовка 2020'!$J$54:$J$58</definedName>
    <definedName name="кол_отб_дкб" localSheetId="12">'Шаблон (шт.)'!$J$95:$J$99</definedName>
    <definedName name="кол_отб_дкб" localSheetId="9">'Шпули 2020'!$J$55:$J$59</definedName>
    <definedName name="кол_отб_дкб">'Шаблон (кг.)'!$J$95:$J$99</definedName>
    <definedName name="кол_отб_июл" localSheetId="4">'Коробки 2020'!$J$31:$J$31</definedName>
    <definedName name="кол_отб_июл" localSheetId="1">'Мастика 2020'!$J$51:$J$55</definedName>
    <definedName name="кол_отб_июл" localSheetId="10">'Материал антиадгезионный 2020'!$J$29:$J$29</definedName>
    <definedName name="кол_отб_июл" localSheetId="5">'Пакеты 2020'!$J$50:$J$50</definedName>
    <definedName name="кол_отб_июл" localSheetId="2">'ПВХ 2020'!$J$45:$J$49</definedName>
    <definedName name="кол_отб_июл" localSheetId="3">'ПВХ липкая 2020'!$J$30:$J$30</definedName>
    <definedName name="кол_отб_июл" localSheetId="6">'Полилен 2020'!$J$30:$J$31</definedName>
    <definedName name="кол_отб_июл" localSheetId="7">'Политерм 2020'!$J$28:$J$28</definedName>
    <definedName name="кол_отб_июл" localSheetId="8">'Праймер и грунтовка 2020'!$J$28:$J$28</definedName>
    <definedName name="кол_отб_июл" localSheetId="12">'Шаблон (шт.)'!$J$56:$J$60</definedName>
    <definedName name="кол_отб_июл" localSheetId="9">'Шпули 2020'!$J$29:$J$29</definedName>
    <definedName name="кол_отб_июл">'Шаблон (кг.)'!$J$56:$J$60</definedName>
    <definedName name="кол_отб_июн" localSheetId="4">'Коробки 2020'!$J$25:$J$26</definedName>
    <definedName name="кол_отб_июн" localSheetId="1">'Мастика 2020'!$J$43:$J$45</definedName>
    <definedName name="кол_отб_июн" localSheetId="10">'Материал антиадгезионный 2020'!$J$24:$J$24</definedName>
    <definedName name="кол_отб_июн" localSheetId="5">'Пакеты 2020'!$J$41:$J$45</definedName>
    <definedName name="кол_отб_июн" localSheetId="2">'ПВХ 2020'!$J$37:$J$39</definedName>
    <definedName name="кол_отб_июн" localSheetId="3">'ПВХ липкая 2020'!$J$24:$J$25</definedName>
    <definedName name="кол_отб_июн" localSheetId="6">'Полилен 2020'!$J$25:$J$25</definedName>
    <definedName name="кол_отб_июн" localSheetId="7">'Политерм 2020'!$J$23:$J$23</definedName>
    <definedName name="кол_отб_июн" localSheetId="8">'Праймер и грунтовка 2020'!$J$23:$J$23</definedName>
    <definedName name="кол_отб_июн" localSheetId="12">'Шаблон (шт.)'!$J$45:$J$49</definedName>
    <definedName name="кол_отб_июн" localSheetId="9">'Шпули 2020'!$J$24:$J$24</definedName>
    <definedName name="кол_отб_июн">'Шаблон (кг.)'!$J$45:$J$49</definedName>
    <definedName name="кол_отб_май" localSheetId="4">'Коробки 2020'!$J$22:$J$22</definedName>
    <definedName name="кол_отб_май" localSheetId="1">'Мастика 2020'!$J$36:$J$40</definedName>
    <definedName name="кол_отб_май" localSheetId="10">'Материал антиадгезионный 2020'!$J$20:$J$21</definedName>
    <definedName name="кол_отб_май" localSheetId="5">'Пакеты 2020'!$J$34:$J$38</definedName>
    <definedName name="кол_отб_май" localSheetId="2">'ПВХ 2020'!$J$31:$J$34</definedName>
    <definedName name="кол_отб_май" localSheetId="3">'ПВХ липкая 2020'!$J$20:$J$21</definedName>
    <definedName name="кол_отб_май" localSheetId="6">'Полилен 2020'!$J$22:$J$22</definedName>
    <definedName name="кол_отб_май" localSheetId="7">'Политерм 2020'!$J$20:$J$20</definedName>
    <definedName name="кол_отб_май" localSheetId="8">'Праймер и грунтовка 2020'!$J$20:$J$20</definedName>
    <definedName name="кол_отб_май" localSheetId="12">'Шаблон (шт.)'!$J$38:$J$42</definedName>
    <definedName name="кол_отб_май" localSheetId="9">'Шпули 2020'!$J$21:$J$21</definedName>
    <definedName name="кол_отб_май">'Шаблон (кг.)'!$J$38:$J$42</definedName>
    <definedName name="кол_отб_мрт" localSheetId="4">'Коробки 2020'!$J$14:$J$14</definedName>
    <definedName name="кол_отб_мрт" localSheetId="1">'Мастика 2020'!$J$21:$J$25</definedName>
    <definedName name="кол_отб_мрт" localSheetId="10">'Материал антиадгезионный 2020'!$J$13:$J$13</definedName>
    <definedName name="кол_отб_мрт" localSheetId="5">'Пакеты 2020'!$J$18:$J$22</definedName>
    <definedName name="кол_отб_мрт" localSheetId="2">'ПВХ 2020'!$J$18:$J$21</definedName>
    <definedName name="кол_отб_мрт" localSheetId="3">'ПВХ липкая 2020'!$J$13:$J$13</definedName>
    <definedName name="кол_отб_мрт" localSheetId="6">'Полилен 2020'!$J$14:$J$14</definedName>
    <definedName name="кол_отб_мрт" localSheetId="7">'Политерм 2020'!$J$13:$J$13</definedName>
    <definedName name="кол_отб_мрт" localSheetId="8">'Праймер и грунтовка 2020'!$J$13:$J$13</definedName>
    <definedName name="кол_отб_мрт" localSheetId="12">'Шаблон (шт.)'!$J$21:$J$25</definedName>
    <definedName name="кол_отб_мрт" localSheetId="9">'Шпули 2020'!$J$14:$J$14</definedName>
    <definedName name="кол_отб_мрт">'Шаблон (кг.)'!$J$21:$J$25</definedName>
    <definedName name="кол_отб_нбр" localSheetId="4">'Коробки 2020'!$J$51:$J$52</definedName>
    <definedName name="кол_отб_нбр" localSheetId="1">'Мастика 2020'!$J$84:$J$92</definedName>
    <definedName name="кол_отб_нбр" localSheetId="10">'Материал антиадгезионный 2020'!$J$48:$J$49</definedName>
    <definedName name="кол_отб_нбр" localSheetId="5">'Пакеты 2020'!$J$69:$J$70</definedName>
    <definedName name="кол_отб_нбр" localSheetId="2">'ПВХ 2020'!$J$72:$J$76</definedName>
    <definedName name="кол_отб_нбр" localSheetId="3">'ПВХ липкая 2020'!$J$57:$J$61</definedName>
    <definedName name="кол_отб_нбр" localSheetId="6">'Полилен 2020'!$J$50:$J$54</definedName>
    <definedName name="кол_отб_нбр" localSheetId="7">'Политерм 2020'!$J$47:$J$51</definedName>
    <definedName name="кол_отб_нбр" localSheetId="8">'Праймер и грунтовка 2020'!$J$47:$J$51</definedName>
    <definedName name="кол_отб_нбр" localSheetId="12">'Шаблон (шт.)'!$J$88:$J$92</definedName>
    <definedName name="кол_отб_нбр" localSheetId="9">'Шпули 2020'!$J$48:$J$52</definedName>
    <definedName name="кол_отб_нбр">'Шаблон (кг.)'!$J$88:$J$92</definedName>
    <definedName name="кол_отб_окт" localSheetId="4">'Коробки 2020'!$J$44:$J$48</definedName>
    <definedName name="кол_отб_окт" localSheetId="1">'Мастика 2020'!$J$77:$J$81</definedName>
    <definedName name="кол_отб_окт" localSheetId="10">'Материал антиадгезионный 2020'!$J$41:$J$45</definedName>
    <definedName name="кол_отб_окт" localSheetId="5">'Пакеты 2020'!$J$62:$J$66</definedName>
    <definedName name="кол_отб_окт" localSheetId="2">'ПВХ 2020'!$J$68:$J$69</definedName>
    <definedName name="кол_отб_окт" localSheetId="3">'ПВХ липкая 2020'!$J$50:$J$54</definedName>
    <definedName name="кол_отб_окт" localSheetId="6">'Полилен 2020'!$J$43:$J$47</definedName>
    <definedName name="кол_отб_окт" localSheetId="7">'Политерм 2020'!$J$40:$J$44</definedName>
    <definedName name="кол_отб_окт" localSheetId="8">'Праймер и грунтовка 2020'!$J$40:$J$44</definedName>
    <definedName name="кол_отб_окт" localSheetId="12">'Шаблон (шт.)'!$J$81:$J$85</definedName>
    <definedName name="кол_отб_окт" localSheetId="9">'Шпули 2020'!$J$41:$J$45</definedName>
    <definedName name="кол_отб_окт">'Шаблон (кг.)'!$J$81:$J$85</definedName>
    <definedName name="кол_отб_снт" localSheetId="4">'Коробки 2020'!$J$37:$J$38</definedName>
    <definedName name="кол_отб_снт" localSheetId="1">'Мастика 2020'!$J$64:$J$71</definedName>
    <definedName name="кол_отб_снт" localSheetId="10">'Материал антиадгезионный 2020'!$J$35:$J$35</definedName>
    <definedName name="кол_отб_снт" localSheetId="5">'Пакеты 2020'!$J$56:$J$56</definedName>
    <definedName name="кол_отб_снт" localSheetId="2">'ПВХ 2020'!$J$57:$J$62</definedName>
    <definedName name="кол_отб_снт" localSheetId="3">'ПВХ липкая 2020'!$J$40:$J$44</definedName>
    <definedName name="кол_отб_снт" localSheetId="6">'Полилен 2020'!$J$37:$J$37</definedName>
    <definedName name="кол_отб_снт" localSheetId="7">'Политерм 2020'!$J$34:$J$34</definedName>
    <definedName name="кол_отб_снт" localSheetId="8">'Праймер и грунтовка 2020'!$J$34:$J$34</definedName>
    <definedName name="кол_отб_снт" localSheetId="12">'Шаблон (шт.)'!$J$70:$J$74</definedName>
    <definedName name="кол_отб_снт" localSheetId="9">'Шпули 2020'!$J$35:$J$35</definedName>
    <definedName name="кол_отб_снт">'Шаблон (кг.)'!$J$70:$J$74</definedName>
    <definedName name="кол_отб_фев" localSheetId="4">'Коробки 2020'!$J$10:$J$11</definedName>
    <definedName name="кол_отб_фев" localSheetId="1">'Мастика 2020'!$J$15:$J$18</definedName>
    <definedName name="кол_отб_фев" localSheetId="10">'Материал антиадгезионный 2020'!$J$10:$J$10</definedName>
    <definedName name="кол_отб_фев" localSheetId="5">'Пакеты 2020'!$J$14:$J$15</definedName>
    <definedName name="кол_отб_фев" localSheetId="2">'ПВХ 2020'!$J$11:$J$15</definedName>
    <definedName name="кол_отб_фев" localSheetId="3">'ПВХ липкая 2020'!$J$10:$J$10</definedName>
    <definedName name="кол_отб_фев" localSheetId="6">'Полилен 2020'!$J$11:$J$11</definedName>
    <definedName name="кол_отб_фев" localSheetId="7">'Политерм 2020'!$J$10:$J$10</definedName>
    <definedName name="кол_отб_фев" localSheetId="8">'Праймер и грунтовка 2020'!$J$10:$J$10</definedName>
    <definedName name="кол_отб_фев" localSheetId="12">'Шаблон (шт.)'!$J$14:$J$18</definedName>
    <definedName name="кол_отб_фев" localSheetId="9">'Шпули 2020'!$J$10:$J$11</definedName>
    <definedName name="кол_отб_фев">'Шаблон (кг.)'!$J$14:$J$18</definedName>
    <definedName name="кол_отб_янв" localSheetId="4">'Коробки 2020'!$J$7:$J$7</definedName>
    <definedName name="кол_отб_янв" localSheetId="1">'Мастика 2020'!$J$7:$J$11</definedName>
    <definedName name="кол_отб_янв" localSheetId="10">'Материал антиадгезионный 2020'!$J$7:$J$7</definedName>
    <definedName name="кол_отб_янв" localSheetId="5">'Пакеты 2020'!$J$7:$J$11</definedName>
    <definedName name="кол_отб_янв" localSheetId="2">'ПВХ 2020'!$J$7:$J$8</definedName>
    <definedName name="кол_отб_янв" localSheetId="3">'ПВХ липкая 2020'!$J$7:$J$7</definedName>
    <definedName name="кол_отб_янв" localSheetId="6">'Полилен 2020'!$J$7:$J$7</definedName>
    <definedName name="кол_отб_янв" localSheetId="7">'Политерм 2020'!$J$7:$J$7</definedName>
    <definedName name="кол_отб_янв" localSheetId="8">'Праймер и грунтовка 2020'!$J$7:$J$7</definedName>
    <definedName name="кол_отб_янв" localSheetId="12">'Шаблон (шт.)'!$J$7:$J$11</definedName>
    <definedName name="кол_отб_янв" localSheetId="9">'Шпули 2020'!$J$7:$J$7</definedName>
    <definedName name="кол_отб_янв">'Шаблон (кг.)'!$J$7:$J$11</definedName>
    <definedName name="май_кол" localSheetId="4">'Коробки 2020'!$E$22:$E$22</definedName>
    <definedName name="май_кол" localSheetId="1">'Мастика 2020'!$E$36:$E$40</definedName>
    <definedName name="май_кол" localSheetId="10">'Материал антиадгезионный 2020'!$E$20:$E$21</definedName>
    <definedName name="май_кол" localSheetId="5">'Пакеты 2020'!$E$34:$E$38</definedName>
    <definedName name="май_кол" localSheetId="2">'ПВХ 2020'!$E$31:$E$34</definedName>
    <definedName name="май_кол" localSheetId="3">'ПВХ липкая 2020'!$E$20:$E$21</definedName>
    <definedName name="май_кол" localSheetId="6">'Полилен 2020'!$E$22:$E$22</definedName>
    <definedName name="май_кол" localSheetId="7">'Политерм 2020'!$E$20:$E$20</definedName>
    <definedName name="май_кол" localSheetId="8">'Праймер и грунтовка 2020'!$E$20:$E$20</definedName>
    <definedName name="май_кол" localSheetId="12">'Шаблон (шт.)'!$E$38:$E$42</definedName>
    <definedName name="май_кол" localSheetId="9">'Шпули 2020'!$E$21:$E$21</definedName>
    <definedName name="май_кол">'Шаблон (кг.)'!$E$38:$E$42</definedName>
    <definedName name="май_пр" localSheetId="4">'Коробки 2020'!$C$22:$C$22</definedName>
    <definedName name="май_пр" localSheetId="1">'Мастика 2020'!$C$36:$C$40</definedName>
    <definedName name="май_пр" localSheetId="10">'Материал антиадгезионный 2020'!$C$20:$C$21</definedName>
    <definedName name="май_пр" localSheetId="5">'Пакеты 2020'!$C$34:$C$38</definedName>
    <definedName name="май_пр" localSheetId="2">'ПВХ 2020'!$C$31:$C$34</definedName>
    <definedName name="май_пр" localSheetId="3">'ПВХ липкая 2020'!$C$20:$C$21</definedName>
    <definedName name="май_пр" localSheetId="6">'Полилен 2020'!$C$22:$C$22</definedName>
    <definedName name="май_пр" localSheetId="7">'Политерм 2020'!$C$20:$C$20</definedName>
    <definedName name="май_пр" localSheetId="8">'Праймер и грунтовка 2020'!$C$20:$C$20</definedName>
    <definedName name="май_пр" localSheetId="12">'Шаблон (шт.)'!$C$38:$C$42</definedName>
    <definedName name="май_пр" localSheetId="9">'Шпули 2020'!$C$21:$C$21</definedName>
    <definedName name="май_пр">'Шаблон (кг.)'!$C$38:$C$42</definedName>
    <definedName name="мрт_кол" localSheetId="4">'Коробки 2020'!$E$14:$E$14</definedName>
    <definedName name="мрт_кол" localSheetId="1">'Мастика 2020'!$E$21:$E$25</definedName>
    <definedName name="мрт_кол" localSheetId="10">'Материал антиадгезионный 2020'!$E$13:$E$13</definedName>
    <definedName name="мрт_кол" localSheetId="5">'Пакеты 2020'!$E$18:$E$22</definedName>
    <definedName name="мрт_кол" localSheetId="2">'ПВХ 2020'!$E$18:$E$21</definedName>
    <definedName name="мрт_кол" localSheetId="3">'ПВХ липкая 2020'!$E$13:$E$13</definedName>
    <definedName name="мрт_кол" localSheetId="6">'Полилен 2020'!$E$14:$E$14</definedName>
    <definedName name="мрт_кол" localSheetId="7">'Политерм 2020'!$E$13:$E$13</definedName>
    <definedName name="мрт_кол" localSheetId="8">'Праймер и грунтовка 2020'!$E$13:$E$13</definedName>
    <definedName name="мрт_кол" localSheetId="12">'Шаблон (шт.)'!$E$21:$E$25</definedName>
    <definedName name="мрт_кол" localSheetId="9">'Шпули 2020'!$E$14:$E$14</definedName>
    <definedName name="мрт_кол">'Шаблон (кг.)'!$E$21:$E$25</definedName>
    <definedName name="мрт_пр" localSheetId="4">'Коробки 2020'!$C$14:$C$14</definedName>
    <definedName name="мрт_пр" localSheetId="1">'Мастика 2020'!$C$21:$C$25</definedName>
    <definedName name="мрт_пр" localSheetId="10">'Материал антиадгезионный 2020'!$C$13:$C$13</definedName>
    <definedName name="мрт_пр" localSheetId="5">'Пакеты 2020'!$C$18:$C$22</definedName>
    <definedName name="мрт_пр" localSheetId="2">'ПВХ 2020'!$C$18:$C$21</definedName>
    <definedName name="мрт_пр" localSheetId="3">'ПВХ липкая 2020'!$C$13:$C$13</definedName>
    <definedName name="мрт_пр" localSheetId="6">'Полилен 2020'!$C$14:$C$14</definedName>
    <definedName name="мрт_пр" localSheetId="7">'Политерм 2020'!$C$13:$C$13</definedName>
    <definedName name="мрт_пр" localSheetId="8">'Праймер и грунтовка 2020'!$C$13:$C$13</definedName>
    <definedName name="мрт_пр" localSheetId="12">'Шаблон (шт.)'!$C$21:$C$25</definedName>
    <definedName name="мрт_пр" localSheetId="9">'Шпули 2020'!$C$14:$C$14</definedName>
    <definedName name="мрт_пр">'Шаблон (кг.)'!$C$21:$C$25</definedName>
    <definedName name="нбр_кол" localSheetId="4">'Коробки 2020'!$E$51:$E$52</definedName>
    <definedName name="нбр_кол" localSheetId="1">'Мастика 2020'!$E$84:$E$92</definedName>
    <definedName name="нбр_кол" localSheetId="10">'Материал антиадгезионный 2020'!$E$48:$E$49</definedName>
    <definedName name="нбр_кол" localSheetId="5">'Пакеты 2020'!$E$69:$E$70</definedName>
    <definedName name="нбр_кол" localSheetId="2">'ПВХ 2020'!$E$72:$E$76</definedName>
    <definedName name="нбр_кол" localSheetId="3">'ПВХ липкая 2020'!$E$57:$E$61</definedName>
    <definedName name="нбр_кол" localSheetId="6">'Полилен 2020'!$E$50:$E$54</definedName>
    <definedName name="нбр_кол" localSheetId="7">'Политерм 2020'!$E$47:$E$51</definedName>
    <definedName name="нбр_кол" localSheetId="8">'Праймер и грунтовка 2020'!$E$47:$E$51</definedName>
    <definedName name="нбр_кол" localSheetId="12">'Шаблон (шт.)'!$E$88:$E$92</definedName>
    <definedName name="нбр_кол" localSheetId="9">'Шпули 2020'!$E$48:$E$52</definedName>
    <definedName name="нбр_кол">'Шаблон (кг.)'!$E$88:$E$92</definedName>
    <definedName name="нбр_пр" localSheetId="4">'Коробки 2020'!$C$51:$C$52</definedName>
    <definedName name="нбр_пр" localSheetId="1">'Мастика 2020'!$C$84:$C$92</definedName>
    <definedName name="нбр_пр" localSheetId="10">'Материал антиадгезионный 2020'!$C$48:$C$49</definedName>
    <definedName name="нбр_пр" localSheetId="5">'Пакеты 2020'!$C$69:$C$70</definedName>
    <definedName name="нбр_пр" localSheetId="2">'ПВХ 2020'!$C$72:$C$76</definedName>
    <definedName name="нбр_пр" localSheetId="3">'ПВХ липкая 2020'!$C$57:$C$61</definedName>
    <definedName name="нбр_пр" localSheetId="6">'Полилен 2020'!$C$50:$C$54</definedName>
    <definedName name="нбр_пр" localSheetId="7">'Политерм 2020'!$C$47:$C$51</definedName>
    <definedName name="нбр_пр" localSheetId="8">'Праймер и грунтовка 2020'!$C$47:$C$51</definedName>
    <definedName name="нбр_пр" localSheetId="12">'Шаблон (шт.)'!$C$88:$C$92</definedName>
    <definedName name="нбр_пр" localSheetId="9">'Шпули 2020'!$C$48:$C$52</definedName>
    <definedName name="нбр_пр">'Шаблон (кг.)'!$C$88:$C$92</definedName>
    <definedName name="окт_кол" localSheetId="4">'Коробки 2020'!$E$44:$E$48</definedName>
    <definedName name="окт_кол" localSheetId="1">'Мастика 2020'!$E$77:$E$81</definedName>
    <definedName name="окт_кол" localSheetId="10">'Материал антиадгезионный 2020'!$E$41:$E$45</definedName>
    <definedName name="окт_кол" localSheetId="5">'Пакеты 2020'!$E$62:$E$66</definedName>
    <definedName name="окт_кол" localSheetId="2">'ПВХ 2020'!$E$68:$E$69</definedName>
    <definedName name="окт_кол" localSheetId="3">'ПВХ липкая 2020'!$E$50:$E$54</definedName>
    <definedName name="окт_кол" localSheetId="6">'Полилен 2020'!$E$43:$E$47</definedName>
    <definedName name="окт_кол" localSheetId="7">'Политерм 2020'!$E$40:$E$44</definedName>
    <definedName name="окт_кол" localSheetId="8">'Праймер и грунтовка 2020'!$E$40:$E$44</definedName>
    <definedName name="окт_кол" localSheetId="12">'Шаблон (шт.)'!$E$81:$E$85</definedName>
    <definedName name="окт_кол" localSheetId="9">'Шпули 2020'!$E$41:$E$45</definedName>
    <definedName name="окт_кол">'Шаблон (кг.)'!$E$81:$E$85</definedName>
    <definedName name="окт_пр" localSheetId="4">'Коробки 2020'!$C$44:$C$48</definedName>
    <definedName name="окт_пр" localSheetId="1">'Мастика 2020'!$C$77:$C$81</definedName>
    <definedName name="окт_пр" localSheetId="10">'Материал антиадгезионный 2020'!$C$41:$C$45</definedName>
    <definedName name="окт_пр" localSheetId="5">'Пакеты 2020'!$C$62:$C$66</definedName>
    <definedName name="окт_пр" localSheetId="2">'ПВХ 2020'!$C$68:$C$69</definedName>
    <definedName name="окт_пр" localSheetId="3">'ПВХ липкая 2020'!$C$50:$C$54</definedName>
    <definedName name="окт_пр" localSheetId="6">'Полилен 2020'!$C$43:$C$47</definedName>
    <definedName name="окт_пр" localSheetId="7">'Политерм 2020'!$C$40:$C$44</definedName>
    <definedName name="окт_пр" localSheetId="8">'Праймер и грунтовка 2020'!$C$40:$C$44</definedName>
    <definedName name="окт_пр" localSheetId="12">'Шаблон (шт.)'!$C$81:$C$85</definedName>
    <definedName name="окт_пр" localSheetId="9">'Шпули 2020'!$C$41:$C$45</definedName>
    <definedName name="окт_пр">'Шаблон (кг.)'!$C$81:$C$85</definedName>
    <definedName name="снт_кол" localSheetId="4">'Коробки 2020'!$E$37:$E$38</definedName>
    <definedName name="снт_кол" localSheetId="1">'Мастика 2020'!$E$64:$E$71</definedName>
    <definedName name="снт_кол" localSheetId="10">'Материал антиадгезионный 2020'!$E$35:$E$35</definedName>
    <definedName name="снт_кол" localSheetId="5">'Пакеты 2020'!$E$56:$E$56</definedName>
    <definedName name="снт_кол" localSheetId="2">'ПВХ 2020'!$E$57:$E$62</definedName>
    <definedName name="снт_кол" localSheetId="3">'ПВХ липкая 2020'!$E$40:$E$44</definedName>
    <definedName name="снт_кол" localSheetId="6">'Полилен 2020'!$E$37:$E$37</definedName>
    <definedName name="снт_кол" localSheetId="7">'Политерм 2020'!$E$34:$E$34</definedName>
    <definedName name="снт_кол" localSheetId="8">'Праймер и грунтовка 2020'!$E$34:$E$34</definedName>
    <definedName name="снт_кол" localSheetId="12">'Шаблон (шт.)'!$E$70:$E$74</definedName>
    <definedName name="снт_кол" localSheetId="9">'Шпули 2020'!$E$35:$E$35</definedName>
    <definedName name="снт_кол">'Шаблон (кг.)'!$E$70:$E$74</definedName>
    <definedName name="снт_пр" localSheetId="4">'Коробки 2020'!$C$37:$C$38</definedName>
    <definedName name="снт_пр" localSheetId="1">'Мастика 2020'!$C$64:$C$71</definedName>
    <definedName name="снт_пр" localSheetId="10">'Материал антиадгезионный 2020'!$C$35:$C$35</definedName>
    <definedName name="снт_пр" localSheetId="5">'Пакеты 2020'!$C$56:$C$56</definedName>
    <definedName name="снт_пр" localSheetId="2">'ПВХ 2020'!$C$57:$C$62</definedName>
    <definedName name="снт_пр" localSheetId="3">'ПВХ липкая 2020'!$C$40:$C$44</definedName>
    <definedName name="снт_пр" localSheetId="6">'Полилен 2020'!$C$37:$C$37</definedName>
    <definedName name="снт_пр" localSheetId="7">'Политерм 2020'!$C$34:$C$34</definedName>
    <definedName name="снт_пр" localSheetId="8">'Праймер и грунтовка 2020'!$C$34:$C$34</definedName>
    <definedName name="снт_пр" localSheetId="12">'Шаблон (шт.)'!$C$70:$C$74</definedName>
    <definedName name="снт_пр" localSheetId="9">'Шпули 2020'!$C$35:$C$35</definedName>
    <definedName name="снт_пр">'Шаблон (кг.)'!$C$70:$C$74</definedName>
    <definedName name="фев_кол" localSheetId="4">'Коробки 2020'!$E$10:$E$11</definedName>
    <definedName name="фев_кол" localSheetId="1">'Мастика 2020'!$E$15:$E$18</definedName>
    <definedName name="фев_кол" localSheetId="10">'Материал антиадгезионный 2020'!$E$10:$E$10</definedName>
    <definedName name="фев_кол" localSheetId="5">'Пакеты 2020'!$E$14:$E$15</definedName>
    <definedName name="фев_кол" localSheetId="2">'ПВХ 2020'!$E$11:$E$15</definedName>
    <definedName name="фев_кол" localSheetId="3">'ПВХ липкая 2020'!$E$10:$E$10</definedName>
    <definedName name="фев_кол" localSheetId="6">'Полилен 2020'!$E$11:$E$11</definedName>
    <definedName name="фев_кол" localSheetId="7">'Политерм 2020'!$E$10:$E$10</definedName>
    <definedName name="фев_кол" localSheetId="8">'Праймер и грунтовка 2020'!$E$10:$E$10</definedName>
    <definedName name="фев_кол" localSheetId="12">'Шаблон (шт.)'!$E$14:$E$18</definedName>
    <definedName name="фев_кол" localSheetId="9">'Шпули 2020'!$E$10:$E$11</definedName>
    <definedName name="фев_кол">'Шаблон (кг.)'!$E$14:$E$18</definedName>
    <definedName name="фев_пр" localSheetId="4">'Коробки 2020'!$C$10:$C$11</definedName>
    <definedName name="фев_пр" localSheetId="1">'Мастика 2020'!$C$15:$C$18</definedName>
    <definedName name="фев_пр" localSheetId="10">'Материал антиадгезионный 2020'!$C$10:$C$10</definedName>
    <definedName name="фев_пр" localSheetId="5">'Пакеты 2020'!$C$14:$C$15</definedName>
    <definedName name="фев_пр" localSheetId="2">'ПВХ 2020'!$C$11:$C$15</definedName>
    <definedName name="фев_пр" localSheetId="3">'ПВХ липкая 2020'!$C$10:$C$10</definedName>
    <definedName name="фев_пр" localSheetId="6">'Полилен 2020'!$C$11:$C$11</definedName>
    <definedName name="фев_пр" localSheetId="7">'Политерм 2020'!$C$10:$C$10</definedName>
    <definedName name="фев_пр" localSheetId="8">'Праймер и грунтовка 2020'!$C$10:$C$10</definedName>
    <definedName name="фев_пр" localSheetId="12">'Шаблон (шт.)'!$C$14:$C$18</definedName>
    <definedName name="фев_пр" localSheetId="9">'Шпули 2020'!$C$10:$C$11</definedName>
    <definedName name="фев_пр">'Шаблон (кг.)'!$C$14:$C$18</definedName>
    <definedName name="янв_кол" localSheetId="4">'Коробки 2020'!$E$7:$E$7</definedName>
    <definedName name="янв_кол" localSheetId="1">'Мастика 2020'!$E$7:$E$11</definedName>
    <definedName name="янв_кол" localSheetId="10">'Материал антиадгезионный 2020'!$E$7:$E$7</definedName>
    <definedName name="янв_кол" localSheetId="5">'Пакеты 2020'!$E$7:$E$11</definedName>
    <definedName name="янв_кол" localSheetId="2">'ПВХ 2020'!$E$7:$E$8</definedName>
    <definedName name="янв_кол" localSheetId="3">'ПВХ липкая 2020'!$E$7:$E$7</definedName>
    <definedName name="янв_кол" localSheetId="6">'Полилен 2020'!$E$7:$E$7</definedName>
    <definedName name="янв_кол" localSheetId="7">'Политерм 2020'!$E$7:$E$7</definedName>
    <definedName name="янв_кол" localSheetId="8">'Праймер и грунтовка 2020'!$E$7:$E$7</definedName>
    <definedName name="янв_кол" localSheetId="12">'Шаблон (шт.)'!$E$7:$E$11</definedName>
    <definedName name="янв_кол" localSheetId="9">'Шпули 2020'!$E$7:$E$7</definedName>
    <definedName name="янв_кол">'Шаблон (кг.)'!$E$7:$E$11</definedName>
    <definedName name="янв_пр" localSheetId="4">'Коробки 2020'!$C$7:$C$7</definedName>
    <definedName name="янв_пр" localSheetId="1">'Мастика 2020'!$C$7:$C$11</definedName>
    <definedName name="янв_пр" localSheetId="10">'Материал антиадгезионный 2020'!$C$7:$C$7</definedName>
    <definedName name="янв_пр" localSheetId="5">'Пакеты 2020'!$C$7:$C$11</definedName>
    <definedName name="янв_пр" localSheetId="2">'ПВХ 2020'!$C$7:$C$8</definedName>
    <definedName name="янв_пр" localSheetId="3">'ПВХ липкая 2020'!$C$7:$C$7</definedName>
    <definedName name="янв_пр" localSheetId="6">'Полилен 2020'!$C$7:$C$7</definedName>
    <definedName name="янв_пр" localSheetId="7">'Политерм 2020'!$C$7:$C$7</definedName>
    <definedName name="янв_пр" localSheetId="8">'Праймер и грунтовка 2020'!$C$7:$C$7</definedName>
    <definedName name="янв_пр" localSheetId="12">'Шаблон (шт.)'!$C$7:$C$11</definedName>
    <definedName name="янв_пр" localSheetId="9">'Шпули 2020'!$C$7:$C$7</definedName>
    <definedName name="янв_пр">'Шаблон (кг.)'!$C$7:$C$11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0" i="20" l="1"/>
  <c r="D12" i="26" l="1"/>
  <c r="E12" i="26"/>
  <c r="C72" i="18" l="1"/>
  <c r="D72" i="18"/>
  <c r="E72" i="18"/>
  <c r="F72" i="18"/>
  <c r="C63" i="20"/>
  <c r="D63" i="20"/>
  <c r="E63" i="20"/>
  <c r="E26" i="21" l="1"/>
  <c r="E54" i="24"/>
  <c r="E19" i="18" l="1"/>
  <c r="F9" i="20" l="1"/>
  <c r="F16" i="20" l="1"/>
  <c r="F22" i="20"/>
  <c r="F29" i="20"/>
  <c r="F35" i="20"/>
  <c r="F40" i="20"/>
  <c r="D22" i="20" l="1"/>
  <c r="C16" i="20"/>
  <c r="D16" i="20"/>
  <c r="E16" i="20"/>
  <c r="E11" i="28" l="1"/>
  <c r="J54" i="28" l="1"/>
  <c r="F54" i="28"/>
  <c r="E54" i="28"/>
  <c r="D54" i="28"/>
  <c r="C54" i="28"/>
  <c r="J50" i="28"/>
  <c r="F50" i="28"/>
  <c r="E50" i="28"/>
  <c r="D50" i="28"/>
  <c r="C50" i="28"/>
  <c r="J46" i="28"/>
  <c r="F46" i="28"/>
  <c r="E46" i="28"/>
  <c r="D46" i="28"/>
  <c r="C46" i="28"/>
  <c r="J36" i="28"/>
  <c r="F36" i="28"/>
  <c r="E36" i="28"/>
  <c r="D36" i="28"/>
  <c r="C36" i="28"/>
  <c r="J33" i="28"/>
  <c r="F33" i="28"/>
  <c r="E33" i="28"/>
  <c r="D33" i="28"/>
  <c r="C33" i="28"/>
  <c r="J30" i="28"/>
  <c r="F30" i="28"/>
  <c r="E30" i="28"/>
  <c r="D30" i="28"/>
  <c r="C30" i="28"/>
  <c r="J25" i="28"/>
  <c r="F25" i="28"/>
  <c r="E25" i="28"/>
  <c r="D25" i="28"/>
  <c r="C25" i="28"/>
  <c r="J22" i="28"/>
  <c r="F22" i="28"/>
  <c r="E22" i="28"/>
  <c r="D22" i="28"/>
  <c r="C22" i="28"/>
  <c r="J18" i="28"/>
  <c r="F18" i="28"/>
  <c r="E18" i="28"/>
  <c r="D18" i="28"/>
  <c r="C18" i="28"/>
  <c r="J14" i="28"/>
  <c r="F14" i="28"/>
  <c r="E14" i="28"/>
  <c r="D14" i="28"/>
  <c r="C14" i="28"/>
  <c r="J11" i="28"/>
  <c r="F11" i="28"/>
  <c r="D11" i="28"/>
  <c r="C11" i="28"/>
  <c r="J8" i="28"/>
  <c r="F8" i="28"/>
  <c r="E8" i="28"/>
  <c r="D8" i="28"/>
  <c r="C8" i="28"/>
  <c r="D29" i="20"/>
  <c r="J59" i="27"/>
  <c r="F59" i="27"/>
  <c r="E59" i="27"/>
  <c r="D59" i="27"/>
  <c r="C59" i="27"/>
  <c r="J52" i="27"/>
  <c r="F52" i="27"/>
  <c r="E52" i="27"/>
  <c r="D52" i="27"/>
  <c r="C52" i="27"/>
  <c r="J45" i="27"/>
  <c r="F45" i="27"/>
  <c r="E45" i="27"/>
  <c r="D45" i="27"/>
  <c r="C45" i="27"/>
  <c r="J35" i="27"/>
  <c r="F35" i="27"/>
  <c r="E35" i="27"/>
  <c r="D35" i="27"/>
  <c r="C35" i="27"/>
  <c r="J32" i="27"/>
  <c r="F32" i="27"/>
  <c r="E32" i="27"/>
  <c r="D32" i="27"/>
  <c r="C32" i="27"/>
  <c r="J29" i="27"/>
  <c r="F29" i="27"/>
  <c r="E29" i="27"/>
  <c r="D29" i="27"/>
  <c r="C29" i="27"/>
  <c r="J24" i="27"/>
  <c r="F24" i="27"/>
  <c r="E24" i="27"/>
  <c r="D24" i="27"/>
  <c r="C24" i="27"/>
  <c r="J21" i="27"/>
  <c r="F21" i="27"/>
  <c r="E21" i="27"/>
  <c r="D21" i="27"/>
  <c r="C21" i="27"/>
  <c r="J18" i="27"/>
  <c r="F18" i="27"/>
  <c r="E18" i="27"/>
  <c r="D18" i="27"/>
  <c r="C18" i="27"/>
  <c r="J14" i="27"/>
  <c r="F14" i="27"/>
  <c r="E14" i="27"/>
  <c r="D14" i="27"/>
  <c r="C14" i="27"/>
  <c r="J11" i="27"/>
  <c r="F11" i="27"/>
  <c r="E11" i="27"/>
  <c r="D11" i="27"/>
  <c r="C11" i="27"/>
  <c r="J8" i="27"/>
  <c r="F8" i="27"/>
  <c r="E8" i="27"/>
  <c r="D8" i="27"/>
  <c r="C8" i="27"/>
  <c r="J62" i="26"/>
  <c r="F62" i="26"/>
  <c r="E62" i="26"/>
  <c r="D62" i="26"/>
  <c r="C62" i="26"/>
  <c r="J55" i="26"/>
  <c r="F55" i="26"/>
  <c r="E55" i="26"/>
  <c r="D55" i="26"/>
  <c r="C55" i="26"/>
  <c r="J48" i="26"/>
  <c r="F48" i="26"/>
  <c r="E48" i="26"/>
  <c r="D48" i="26"/>
  <c r="C48" i="26"/>
  <c r="J38" i="26"/>
  <c r="F38" i="26"/>
  <c r="E38" i="26"/>
  <c r="D38" i="26"/>
  <c r="C38" i="26"/>
  <c r="J35" i="26"/>
  <c r="F35" i="26"/>
  <c r="E35" i="26"/>
  <c r="D35" i="26"/>
  <c r="C35" i="26"/>
  <c r="J32" i="26"/>
  <c r="F32" i="26"/>
  <c r="E32" i="26"/>
  <c r="D32" i="26"/>
  <c r="C32" i="26"/>
  <c r="J26" i="26"/>
  <c r="F26" i="26"/>
  <c r="E26" i="26"/>
  <c r="D26" i="26"/>
  <c r="C26" i="26"/>
  <c r="J23" i="26"/>
  <c r="F23" i="26"/>
  <c r="E23" i="26"/>
  <c r="D23" i="26"/>
  <c r="C23" i="26"/>
  <c r="J20" i="26"/>
  <c r="F20" i="26"/>
  <c r="E20" i="26"/>
  <c r="D20" i="26"/>
  <c r="C20" i="26"/>
  <c r="J15" i="26"/>
  <c r="F15" i="26"/>
  <c r="E15" i="26"/>
  <c r="D15" i="26"/>
  <c r="C15" i="26"/>
  <c r="J12" i="26"/>
  <c r="F12" i="26"/>
  <c r="C12" i="26"/>
  <c r="J8" i="26"/>
  <c r="F8" i="26"/>
  <c r="E8" i="26"/>
  <c r="D8" i="26"/>
  <c r="C8" i="26"/>
  <c r="D25" i="27" l="1"/>
  <c r="F25" i="27"/>
  <c r="E36" i="27"/>
  <c r="J36" i="27"/>
  <c r="D60" i="27"/>
  <c r="F60" i="27"/>
  <c r="E15" i="27"/>
  <c r="J15" i="27"/>
  <c r="D26" i="28"/>
  <c r="F26" i="28"/>
  <c r="E37" i="28"/>
  <c r="J37" i="28"/>
  <c r="D55" i="28"/>
  <c r="F55" i="28"/>
  <c r="J15" i="28"/>
  <c r="E15" i="28"/>
  <c r="F15" i="28"/>
  <c r="E26" i="28"/>
  <c r="E27" i="28" s="1"/>
  <c r="J26" i="28"/>
  <c r="J27" i="28" s="1"/>
  <c r="D37" i="28"/>
  <c r="F37" i="28"/>
  <c r="E55" i="28"/>
  <c r="J55" i="28"/>
  <c r="D15" i="28"/>
  <c r="F15" i="27"/>
  <c r="E25" i="27"/>
  <c r="J25" i="27"/>
  <c r="D36" i="27"/>
  <c r="F36" i="27"/>
  <c r="E60" i="27"/>
  <c r="J60" i="27"/>
  <c r="D15" i="27"/>
  <c r="E16" i="26"/>
  <c r="J16" i="26"/>
  <c r="D27" i="26"/>
  <c r="F27" i="26"/>
  <c r="E39" i="26"/>
  <c r="J39" i="26"/>
  <c r="D63" i="26"/>
  <c r="F63" i="26"/>
  <c r="E27" i="26"/>
  <c r="E28" i="26" s="1"/>
  <c r="E40" i="26" s="1"/>
  <c r="J27" i="26"/>
  <c r="J28" i="26" s="1"/>
  <c r="D39" i="26"/>
  <c r="F39" i="26"/>
  <c r="E63" i="26"/>
  <c r="J63" i="26"/>
  <c r="D16" i="26"/>
  <c r="D28" i="26" s="1"/>
  <c r="D40" i="26" s="1"/>
  <c r="F16" i="26"/>
  <c r="F28" i="26" s="1"/>
  <c r="J60" i="25"/>
  <c r="F60" i="25"/>
  <c r="E60" i="25"/>
  <c r="D60" i="25"/>
  <c r="C60" i="25"/>
  <c r="J53" i="25"/>
  <c r="F53" i="25"/>
  <c r="E53" i="25"/>
  <c r="D53" i="25"/>
  <c r="C53" i="25"/>
  <c r="J49" i="25"/>
  <c r="F49" i="25"/>
  <c r="E49" i="25"/>
  <c r="D49" i="25"/>
  <c r="C49" i="25"/>
  <c r="J39" i="25"/>
  <c r="F39" i="25"/>
  <c r="E39" i="25"/>
  <c r="D39" i="25"/>
  <c r="C39" i="25"/>
  <c r="J35" i="25"/>
  <c r="F35" i="25"/>
  <c r="E35" i="25"/>
  <c r="D35" i="25"/>
  <c r="C35" i="25"/>
  <c r="J32" i="25"/>
  <c r="F32" i="25"/>
  <c r="E32" i="25"/>
  <c r="D32" i="25"/>
  <c r="C32" i="25"/>
  <c r="J27" i="25"/>
  <c r="F27" i="25"/>
  <c r="E27" i="25"/>
  <c r="D27" i="25"/>
  <c r="C27" i="25"/>
  <c r="J23" i="25"/>
  <c r="F23" i="25"/>
  <c r="E23" i="25"/>
  <c r="D23" i="25"/>
  <c r="C23" i="25"/>
  <c r="J20" i="25"/>
  <c r="F20" i="25"/>
  <c r="E20" i="25"/>
  <c r="D20" i="25"/>
  <c r="C20" i="25"/>
  <c r="J15" i="25"/>
  <c r="F15" i="25"/>
  <c r="E15" i="25"/>
  <c r="D15" i="25"/>
  <c r="C15" i="25"/>
  <c r="J12" i="25"/>
  <c r="F12" i="25"/>
  <c r="E12" i="25"/>
  <c r="D12" i="25"/>
  <c r="C12" i="25"/>
  <c r="J8" i="25"/>
  <c r="F8" i="25"/>
  <c r="E8" i="25"/>
  <c r="D8" i="25"/>
  <c r="C8" i="25"/>
  <c r="J78" i="24"/>
  <c r="F78" i="24"/>
  <c r="E78" i="24"/>
  <c r="D78" i="24"/>
  <c r="C78" i="24"/>
  <c r="J71" i="24"/>
  <c r="F71" i="24"/>
  <c r="E71" i="24"/>
  <c r="D71" i="24"/>
  <c r="C71" i="24"/>
  <c r="J67" i="24"/>
  <c r="F67" i="24"/>
  <c r="E67" i="24"/>
  <c r="D67" i="24"/>
  <c r="C67" i="24"/>
  <c r="J57" i="24"/>
  <c r="F57" i="24"/>
  <c r="E57" i="24"/>
  <c r="E58" i="24" s="1"/>
  <c r="D57" i="24"/>
  <c r="C57" i="24"/>
  <c r="J54" i="24"/>
  <c r="F54" i="24"/>
  <c r="D54" i="24"/>
  <c r="C54" i="24"/>
  <c r="J51" i="24"/>
  <c r="F51" i="24"/>
  <c r="D51" i="24"/>
  <c r="C51" i="24"/>
  <c r="J46" i="24"/>
  <c r="F46" i="24"/>
  <c r="E46" i="24"/>
  <c r="D46" i="24"/>
  <c r="C46" i="24"/>
  <c r="J39" i="24"/>
  <c r="F39" i="24"/>
  <c r="E39" i="24"/>
  <c r="D39" i="24"/>
  <c r="C39" i="24"/>
  <c r="J32" i="24"/>
  <c r="F32" i="24"/>
  <c r="E32" i="24"/>
  <c r="D32" i="24"/>
  <c r="C32" i="24"/>
  <c r="J23" i="24"/>
  <c r="F23" i="24"/>
  <c r="E23" i="24"/>
  <c r="D23" i="24"/>
  <c r="C23" i="24"/>
  <c r="J16" i="24"/>
  <c r="F16" i="24"/>
  <c r="E16" i="24"/>
  <c r="D16" i="24"/>
  <c r="C16" i="24"/>
  <c r="J12" i="24"/>
  <c r="F12" i="24"/>
  <c r="E12" i="24"/>
  <c r="D12" i="24"/>
  <c r="C12" i="24"/>
  <c r="J60" i="23"/>
  <c r="F60" i="23"/>
  <c r="E60" i="23"/>
  <c r="D60" i="23"/>
  <c r="C60" i="23"/>
  <c r="J53" i="23"/>
  <c r="F53" i="23"/>
  <c r="E53" i="23"/>
  <c r="D53" i="23"/>
  <c r="C53" i="23"/>
  <c r="J46" i="23"/>
  <c r="F46" i="23"/>
  <c r="E46" i="23"/>
  <c r="D46" i="23"/>
  <c r="C46" i="23"/>
  <c r="J36" i="23"/>
  <c r="F36" i="23"/>
  <c r="E36" i="23"/>
  <c r="D36" i="23"/>
  <c r="C36" i="23"/>
  <c r="J33" i="23"/>
  <c r="F33" i="23"/>
  <c r="E33" i="23"/>
  <c r="D33" i="23"/>
  <c r="C33" i="23"/>
  <c r="J30" i="23"/>
  <c r="F30" i="23"/>
  <c r="E30" i="23"/>
  <c r="D30" i="23"/>
  <c r="C30" i="23"/>
  <c r="J25" i="23"/>
  <c r="F25" i="23"/>
  <c r="E25" i="23"/>
  <c r="D25" i="23"/>
  <c r="C25" i="23"/>
  <c r="J22" i="23"/>
  <c r="F22" i="23"/>
  <c r="E22" i="23"/>
  <c r="D22" i="23"/>
  <c r="C22" i="23"/>
  <c r="J19" i="23"/>
  <c r="F19" i="23"/>
  <c r="E19" i="23"/>
  <c r="D19" i="23"/>
  <c r="C19" i="23"/>
  <c r="J15" i="23"/>
  <c r="F15" i="23"/>
  <c r="E15" i="23"/>
  <c r="D15" i="23"/>
  <c r="C15" i="23"/>
  <c r="J12" i="23"/>
  <c r="F12" i="23"/>
  <c r="E12" i="23"/>
  <c r="D12" i="23"/>
  <c r="C12" i="23"/>
  <c r="J8" i="23"/>
  <c r="F8" i="23"/>
  <c r="E8" i="23"/>
  <c r="D8" i="23"/>
  <c r="C8" i="23"/>
  <c r="J59" i="22"/>
  <c r="F59" i="22"/>
  <c r="E59" i="22"/>
  <c r="D59" i="22"/>
  <c r="C59" i="22"/>
  <c r="J52" i="22"/>
  <c r="F52" i="22"/>
  <c r="E52" i="22"/>
  <c r="D52" i="22"/>
  <c r="C52" i="22"/>
  <c r="J45" i="22"/>
  <c r="F45" i="22"/>
  <c r="E45" i="22"/>
  <c r="D45" i="22"/>
  <c r="C45" i="22"/>
  <c r="J35" i="22"/>
  <c r="F35" i="22"/>
  <c r="E35" i="22"/>
  <c r="D35" i="22"/>
  <c r="C35" i="22"/>
  <c r="J32" i="22"/>
  <c r="F32" i="22"/>
  <c r="E32" i="22"/>
  <c r="D32" i="22"/>
  <c r="C32" i="22"/>
  <c r="J29" i="22"/>
  <c r="F29" i="22"/>
  <c r="E29" i="22"/>
  <c r="D29" i="22"/>
  <c r="C29" i="22"/>
  <c r="J24" i="22"/>
  <c r="F24" i="22"/>
  <c r="E24" i="22"/>
  <c r="D24" i="22"/>
  <c r="C24" i="22"/>
  <c r="J21" i="22"/>
  <c r="F21" i="22"/>
  <c r="E21" i="22"/>
  <c r="D21" i="22"/>
  <c r="C21" i="22"/>
  <c r="J18" i="22"/>
  <c r="F18" i="22"/>
  <c r="E18" i="22"/>
  <c r="D18" i="22"/>
  <c r="C18" i="22"/>
  <c r="J14" i="22"/>
  <c r="F14" i="22"/>
  <c r="E14" i="22"/>
  <c r="D14" i="22"/>
  <c r="C14" i="22"/>
  <c r="J11" i="22"/>
  <c r="F11" i="22"/>
  <c r="E11" i="22"/>
  <c r="D11" i="22"/>
  <c r="C11" i="22"/>
  <c r="J8" i="22"/>
  <c r="F8" i="22"/>
  <c r="E8" i="22"/>
  <c r="D8" i="22"/>
  <c r="C8" i="22"/>
  <c r="J66" i="21"/>
  <c r="F66" i="21"/>
  <c r="E66" i="21"/>
  <c r="D66" i="21"/>
  <c r="C66" i="21"/>
  <c r="J62" i="21"/>
  <c r="F62" i="21"/>
  <c r="E62" i="21"/>
  <c r="D62" i="21"/>
  <c r="C62" i="21"/>
  <c r="J55" i="21"/>
  <c r="F55" i="21"/>
  <c r="E55" i="21"/>
  <c r="D55" i="21"/>
  <c r="C55" i="21"/>
  <c r="J45" i="21"/>
  <c r="F45" i="21"/>
  <c r="E45" i="21"/>
  <c r="D45" i="21"/>
  <c r="C45" i="21"/>
  <c r="J38" i="21"/>
  <c r="F38" i="21"/>
  <c r="E38" i="21"/>
  <c r="D38" i="21"/>
  <c r="C38" i="21"/>
  <c r="J31" i="21"/>
  <c r="F31" i="21"/>
  <c r="E31" i="21"/>
  <c r="D31" i="21"/>
  <c r="C31" i="21"/>
  <c r="J26" i="21"/>
  <c r="F26" i="21"/>
  <c r="D26" i="21"/>
  <c r="C26" i="21"/>
  <c r="J22" i="21"/>
  <c r="F22" i="21"/>
  <c r="E22" i="21"/>
  <c r="D22" i="21"/>
  <c r="C22" i="21"/>
  <c r="J18" i="21"/>
  <c r="F18" i="21"/>
  <c r="E18" i="21"/>
  <c r="D18" i="21"/>
  <c r="C18" i="21"/>
  <c r="J14" i="21"/>
  <c r="F14" i="21"/>
  <c r="E14" i="21"/>
  <c r="D14" i="21"/>
  <c r="C14" i="21"/>
  <c r="J11" i="21"/>
  <c r="F11" i="21"/>
  <c r="E11" i="21"/>
  <c r="D11" i="21"/>
  <c r="C11" i="21"/>
  <c r="J8" i="21"/>
  <c r="F8" i="21"/>
  <c r="E8" i="21"/>
  <c r="D8" i="21"/>
  <c r="C8" i="21"/>
  <c r="J82" i="20"/>
  <c r="E82" i="20"/>
  <c r="D82" i="20"/>
  <c r="C82" i="20"/>
  <c r="J77" i="20"/>
  <c r="E77" i="20"/>
  <c r="D77" i="20"/>
  <c r="C77" i="20"/>
  <c r="J70" i="20"/>
  <c r="D70" i="20"/>
  <c r="C70" i="20"/>
  <c r="J63" i="20"/>
  <c r="J55" i="20"/>
  <c r="E55" i="20"/>
  <c r="D55" i="20"/>
  <c r="C55" i="20"/>
  <c r="J50" i="20"/>
  <c r="E50" i="20"/>
  <c r="D50" i="20"/>
  <c r="C50" i="20"/>
  <c r="J40" i="20"/>
  <c r="E40" i="20"/>
  <c r="D40" i="20"/>
  <c r="C40" i="20"/>
  <c r="J35" i="20"/>
  <c r="E35" i="20"/>
  <c r="D35" i="20"/>
  <c r="C35" i="20"/>
  <c r="J29" i="20"/>
  <c r="E29" i="20"/>
  <c r="C29" i="20"/>
  <c r="J22" i="20"/>
  <c r="E22" i="20"/>
  <c r="C22" i="20"/>
  <c r="J16" i="20"/>
  <c r="J9" i="20"/>
  <c r="E9" i="20"/>
  <c r="D9" i="20"/>
  <c r="C9" i="20"/>
  <c r="H63" i="26" l="1"/>
  <c r="I39" i="26"/>
  <c r="I16" i="26"/>
  <c r="I15" i="27"/>
  <c r="D26" i="27"/>
  <c r="D37" i="27" s="1"/>
  <c r="D61" i="27" s="1"/>
  <c r="F26" i="27"/>
  <c r="J26" i="27"/>
  <c r="J37" i="27" s="1"/>
  <c r="E26" i="27"/>
  <c r="E37" i="27" s="1"/>
  <c r="E61" i="27" s="1"/>
  <c r="F27" i="28"/>
  <c r="F38" i="28" s="1"/>
  <c r="I55" i="28"/>
  <c r="H55" i="28"/>
  <c r="I37" i="28"/>
  <c r="H26" i="28"/>
  <c r="D27" i="28"/>
  <c r="D38" i="28" s="1"/>
  <c r="D56" i="28" s="1"/>
  <c r="E38" i="28"/>
  <c r="E56" i="28" s="1"/>
  <c r="H37" i="28"/>
  <c r="J23" i="20"/>
  <c r="F37" i="27"/>
  <c r="F61" i="27" s="1"/>
  <c r="I15" i="28"/>
  <c r="I26" i="28"/>
  <c r="H15" i="28"/>
  <c r="I27" i="28"/>
  <c r="F56" i="28"/>
  <c r="E28" i="25"/>
  <c r="J28" i="25"/>
  <c r="D40" i="25"/>
  <c r="F40" i="25"/>
  <c r="E61" i="25"/>
  <c r="J61" i="25"/>
  <c r="H39" i="26"/>
  <c r="E64" i="26"/>
  <c r="D64" i="26"/>
  <c r="H15" i="27"/>
  <c r="J38" i="28"/>
  <c r="D16" i="25"/>
  <c r="F16" i="25"/>
  <c r="E23" i="20"/>
  <c r="D41" i="20"/>
  <c r="F41" i="20"/>
  <c r="E64" i="20"/>
  <c r="J64" i="20"/>
  <c r="D83" i="20"/>
  <c r="F83" i="20"/>
  <c r="J15" i="21"/>
  <c r="D27" i="21"/>
  <c r="F27" i="21"/>
  <c r="E46" i="21"/>
  <c r="J46" i="21"/>
  <c r="D67" i="21"/>
  <c r="F67" i="21"/>
  <c r="E15" i="22"/>
  <c r="J15" i="22"/>
  <c r="D25" i="22"/>
  <c r="F25" i="22"/>
  <c r="E36" i="22"/>
  <c r="J36" i="22"/>
  <c r="D60" i="22"/>
  <c r="F60" i="22"/>
  <c r="E16" i="23"/>
  <c r="J16" i="23"/>
  <c r="D26" i="23"/>
  <c r="F26" i="23"/>
  <c r="E37" i="23"/>
  <c r="J37" i="23"/>
  <c r="D61" i="23"/>
  <c r="F61" i="23"/>
  <c r="E24" i="24"/>
  <c r="J24" i="24"/>
  <c r="D47" i="24"/>
  <c r="F47" i="24"/>
  <c r="J58" i="24"/>
  <c r="D79" i="24"/>
  <c r="F79" i="24"/>
  <c r="E16" i="25"/>
  <c r="J16" i="25"/>
  <c r="D28" i="25"/>
  <c r="F28" i="25"/>
  <c r="E40" i="25"/>
  <c r="J40" i="25"/>
  <c r="D61" i="25"/>
  <c r="F61" i="25"/>
  <c r="H28" i="26"/>
  <c r="I63" i="26"/>
  <c r="I28" i="26"/>
  <c r="F40" i="26"/>
  <c r="H40" i="26" s="1"/>
  <c r="H16" i="26"/>
  <c r="J40" i="26"/>
  <c r="E15" i="21"/>
  <c r="I15" i="21" s="1"/>
  <c r="D24" i="24"/>
  <c r="F24" i="24"/>
  <c r="E47" i="24"/>
  <c r="J47" i="24"/>
  <c r="D58" i="24"/>
  <c r="F58" i="24"/>
  <c r="E79" i="24"/>
  <c r="J79" i="24"/>
  <c r="D16" i="23"/>
  <c r="F16" i="23"/>
  <c r="E26" i="23"/>
  <c r="J26" i="23"/>
  <c r="D37" i="23"/>
  <c r="F37" i="23"/>
  <c r="E61" i="23"/>
  <c r="J61" i="23"/>
  <c r="D15" i="22"/>
  <c r="F15" i="22"/>
  <c r="E25" i="22"/>
  <c r="J25" i="22"/>
  <c r="D36" i="22"/>
  <c r="F36" i="22"/>
  <c r="E60" i="22"/>
  <c r="J60" i="22"/>
  <c r="D23" i="20"/>
  <c r="F23" i="20"/>
  <c r="E41" i="20"/>
  <c r="E42" i="20" s="1"/>
  <c r="J41" i="20"/>
  <c r="D64" i="20"/>
  <c r="F64" i="20"/>
  <c r="E83" i="20"/>
  <c r="J83" i="20"/>
  <c r="D15" i="21"/>
  <c r="F15" i="21"/>
  <c r="E27" i="21"/>
  <c r="J27" i="21"/>
  <c r="D46" i="21"/>
  <c r="F46" i="21"/>
  <c r="E67" i="21"/>
  <c r="J67" i="21"/>
  <c r="E65" i="20" l="1"/>
  <c r="D28" i="21"/>
  <c r="D47" i="21" s="1"/>
  <c r="D68" i="21" s="1"/>
  <c r="F29" i="25"/>
  <c r="F41" i="25" s="1"/>
  <c r="F62" i="25" s="1"/>
  <c r="E29" i="25"/>
  <c r="I61" i="25"/>
  <c r="H40" i="25"/>
  <c r="I28" i="25"/>
  <c r="D48" i="24"/>
  <c r="D59" i="24" s="1"/>
  <c r="D80" i="24" s="1"/>
  <c r="H58" i="24"/>
  <c r="H26" i="27"/>
  <c r="H61" i="27"/>
  <c r="H37" i="27"/>
  <c r="I26" i="27"/>
  <c r="D26" i="22"/>
  <c r="E26" i="22"/>
  <c r="E37" i="22" s="1"/>
  <c r="I61" i="23"/>
  <c r="E27" i="23"/>
  <c r="I37" i="23"/>
  <c r="E38" i="23"/>
  <c r="E62" i="23" s="1"/>
  <c r="H27" i="28"/>
  <c r="H38" i="28"/>
  <c r="H56" i="28"/>
  <c r="I15" i="22"/>
  <c r="J42" i="20"/>
  <c r="J65" i="20" s="1"/>
  <c r="J84" i="20" s="1"/>
  <c r="H83" i="20"/>
  <c r="H67" i="21"/>
  <c r="H27" i="21"/>
  <c r="D27" i="23"/>
  <c r="D38" i="23" s="1"/>
  <c r="D62" i="23" s="1"/>
  <c r="H41" i="20"/>
  <c r="I36" i="22"/>
  <c r="J28" i="21"/>
  <c r="J47" i="21" s="1"/>
  <c r="F28" i="21"/>
  <c r="H28" i="21" s="1"/>
  <c r="I26" i="23"/>
  <c r="J27" i="23"/>
  <c r="J38" i="23" s="1"/>
  <c r="F27" i="23"/>
  <c r="H61" i="25"/>
  <c r="I40" i="25"/>
  <c r="H28" i="25"/>
  <c r="H47" i="24"/>
  <c r="H61" i="23"/>
  <c r="H26" i="23"/>
  <c r="H60" i="22"/>
  <c r="H25" i="22"/>
  <c r="I46" i="21"/>
  <c r="I64" i="20"/>
  <c r="I23" i="20"/>
  <c r="H16" i="25"/>
  <c r="I38" i="28"/>
  <c r="J56" i="28"/>
  <c r="I56" i="28" s="1"/>
  <c r="E41" i="25"/>
  <c r="E62" i="25" s="1"/>
  <c r="I16" i="25"/>
  <c r="J29" i="25"/>
  <c r="J41" i="25" s="1"/>
  <c r="J62" i="25" s="1"/>
  <c r="I62" i="25" s="1"/>
  <c r="I58" i="24"/>
  <c r="J48" i="24"/>
  <c r="J59" i="24" s="1"/>
  <c r="J80" i="24" s="1"/>
  <c r="I79" i="24"/>
  <c r="I47" i="24"/>
  <c r="F48" i="24"/>
  <c r="F59" i="24" s="1"/>
  <c r="F80" i="24" s="1"/>
  <c r="H79" i="24"/>
  <c r="I24" i="24"/>
  <c r="I16" i="23"/>
  <c r="D42" i="20"/>
  <c r="D65" i="20" s="1"/>
  <c r="D84" i="20" s="1"/>
  <c r="I37" i="27"/>
  <c r="J61" i="27"/>
  <c r="I61" i="27" s="1"/>
  <c r="I67" i="21"/>
  <c r="F42" i="20"/>
  <c r="F65" i="20" s="1"/>
  <c r="H36" i="22"/>
  <c r="I25" i="22"/>
  <c r="H37" i="23"/>
  <c r="E48" i="24"/>
  <c r="H24" i="24"/>
  <c r="D29" i="25"/>
  <c r="D41" i="25" s="1"/>
  <c r="D62" i="25" s="1"/>
  <c r="F64" i="26"/>
  <c r="H64" i="26" s="1"/>
  <c r="F38" i="23"/>
  <c r="I40" i="26"/>
  <c r="J64" i="26"/>
  <c r="I64" i="26" s="1"/>
  <c r="H15" i="22"/>
  <c r="E28" i="21"/>
  <c r="E47" i="21" s="1"/>
  <c r="E68" i="21" s="1"/>
  <c r="J26" i="22"/>
  <c r="J37" i="22" s="1"/>
  <c r="H16" i="23"/>
  <c r="H46" i="21"/>
  <c r="I83" i="20"/>
  <c r="H64" i="20"/>
  <c r="E84" i="20"/>
  <c r="H23" i="20"/>
  <c r="F26" i="22"/>
  <c r="I60" i="22"/>
  <c r="E61" i="22"/>
  <c r="D37" i="22"/>
  <c r="D61" i="22" s="1"/>
  <c r="I41" i="20"/>
  <c r="H15" i="21"/>
  <c r="I27" i="21"/>
  <c r="I42" i="20"/>
  <c r="E59" i="24" l="1"/>
  <c r="E80" i="24" s="1"/>
  <c r="I80" i="24" s="1"/>
  <c r="H48" i="24"/>
  <c r="H80" i="24"/>
  <c r="H59" i="24"/>
  <c r="H26" i="22"/>
  <c r="I37" i="22"/>
  <c r="I27" i="23"/>
  <c r="H27" i="23"/>
  <c r="I38" i="23"/>
  <c r="J62" i="23"/>
  <c r="I62" i="23" s="1"/>
  <c r="H65" i="20"/>
  <c r="I65" i="20"/>
  <c r="F47" i="21"/>
  <c r="F68" i="21" s="1"/>
  <c r="H68" i="21" s="1"/>
  <c r="H38" i="23"/>
  <c r="I29" i="25"/>
  <c r="I41" i="25"/>
  <c r="I84" i="20"/>
  <c r="H62" i="25"/>
  <c r="H41" i="25"/>
  <c r="F62" i="23"/>
  <c r="H62" i="23" s="1"/>
  <c r="H42" i="20"/>
  <c r="I28" i="21"/>
  <c r="I48" i="24"/>
  <c r="I59" i="24"/>
  <c r="H29" i="25"/>
  <c r="J61" i="22"/>
  <c r="I61" i="22" s="1"/>
  <c r="I26" i="22"/>
  <c r="F84" i="20"/>
  <c r="H84" i="20" s="1"/>
  <c r="F37" i="22"/>
  <c r="F61" i="22" s="1"/>
  <c r="H61" i="22" s="1"/>
  <c r="I47" i="21"/>
  <c r="J68" i="21"/>
  <c r="I68" i="21" s="1"/>
  <c r="H47" i="21" l="1"/>
  <c r="H37" i="22"/>
  <c r="J100" i="18"/>
  <c r="F100" i="18"/>
  <c r="E100" i="18"/>
  <c r="D100" i="18"/>
  <c r="C100" i="18"/>
  <c r="J93" i="18"/>
  <c r="F93" i="18"/>
  <c r="E93" i="18"/>
  <c r="D93" i="18"/>
  <c r="C93" i="18"/>
  <c r="J82" i="18"/>
  <c r="F82" i="18"/>
  <c r="E82" i="18"/>
  <c r="D82" i="18"/>
  <c r="C82" i="18"/>
  <c r="J72" i="18"/>
  <c r="J62" i="18"/>
  <c r="F62" i="18"/>
  <c r="E62" i="18"/>
  <c r="D62" i="18"/>
  <c r="C62" i="18"/>
  <c r="J56" i="18"/>
  <c r="F56" i="18"/>
  <c r="E56" i="18"/>
  <c r="E73" i="18" s="1"/>
  <c r="D56" i="18"/>
  <c r="C56" i="18"/>
  <c r="J46" i="18"/>
  <c r="F46" i="18"/>
  <c r="E46" i="18"/>
  <c r="D46" i="18"/>
  <c r="C46" i="18"/>
  <c r="J41" i="18"/>
  <c r="F41" i="18"/>
  <c r="E41" i="18"/>
  <c r="D41" i="18"/>
  <c r="C41" i="18"/>
  <c r="J34" i="18"/>
  <c r="F34" i="18"/>
  <c r="E34" i="18"/>
  <c r="D34" i="18"/>
  <c r="C34" i="18"/>
  <c r="J26" i="18"/>
  <c r="F26" i="18"/>
  <c r="D26" i="18"/>
  <c r="C26" i="18"/>
  <c r="J19" i="18"/>
  <c r="F19" i="18"/>
  <c r="C19" i="18"/>
  <c r="J12" i="18"/>
  <c r="F12" i="18"/>
  <c r="E12" i="18"/>
  <c r="D12" i="18"/>
  <c r="C12" i="18"/>
  <c r="D47" i="18" l="1"/>
  <c r="F47" i="18"/>
  <c r="J73" i="18"/>
  <c r="D101" i="18"/>
  <c r="F101" i="18"/>
  <c r="J27" i="18"/>
  <c r="D27" i="18"/>
  <c r="F27" i="18"/>
  <c r="E47" i="18"/>
  <c r="J47" i="18"/>
  <c r="J48" i="18" s="1"/>
  <c r="D73" i="18"/>
  <c r="F73" i="18"/>
  <c r="E101" i="18"/>
  <c r="J101" i="18"/>
  <c r="J100" i="17"/>
  <c r="F100" i="17"/>
  <c r="E100" i="17"/>
  <c r="D100" i="17"/>
  <c r="C100" i="17"/>
  <c r="J93" i="17"/>
  <c r="F93" i="17"/>
  <c r="E93" i="17"/>
  <c r="D93" i="17"/>
  <c r="C93" i="17"/>
  <c r="J86" i="17"/>
  <c r="F86" i="17"/>
  <c r="E86" i="17"/>
  <c r="D86" i="17"/>
  <c r="C86" i="17"/>
  <c r="J75" i="17"/>
  <c r="F75" i="17"/>
  <c r="E75" i="17"/>
  <c r="D75" i="17"/>
  <c r="C75" i="17"/>
  <c r="J68" i="17"/>
  <c r="F68" i="17"/>
  <c r="E68" i="17"/>
  <c r="D68" i="17"/>
  <c r="C68" i="17"/>
  <c r="J61" i="17"/>
  <c r="F61" i="17"/>
  <c r="E61" i="17"/>
  <c r="D61" i="17"/>
  <c r="C61" i="17"/>
  <c r="J50" i="17"/>
  <c r="F50" i="17"/>
  <c r="E50" i="17"/>
  <c r="D50" i="17"/>
  <c r="C50" i="17"/>
  <c r="J43" i="17"/>
  <c r="F43" i="17"/>
  <c r="E43" i="17"/>
  <c r="D43" i="17"/>
  <c r="C43" i="17"/>
  <c r="J36" i="17"/>
  <c r="F36" i="17"/>
  <c r="E36" i="17"/>
  <c r="D36" i="17"/>
  <c r="C36" i="17"/>
  <c r="J26" i="17"/>
  <c r="F26" i="17"/>
  <c r="E26" i="17"/>
  <c r="D26" i="17"/>
  <c r="C26" i="17"/>
  <c r="J19" i="17"/>
  <c r="F19" i="17"/>
  <c r="E19" i="17"/>
  <c r="D19" i="17"/>
  <c r="C19" i="17"/>
  <c r="J12" i="17"/>
  <c r="F12" i="17"/>
  <c r="E12" i="17"/>
  <c r="D12" i="17"/>
  <c r="C12" i="17"/>
  <c r="D48" i="18" l="1"/>
  <c r="D74" i="18" s="1"/>
  <c r="D102" i="18" s="1"/>
  <c r="F48" i="18"/>
  <c r="H101" i="18"/>
  <c r="E27" i="17"/>
  <c r="J27" i="17"/>
  <c r="D51" i="17"/>
  <c r="F51" i="17"/>
  <c r="H51" i="17" s="1"/>
  <c r="E76" i="17"/>
  <c r="J76" i="17"/>
  <c r="I76" i="17" s="1"/>
  <c r="D101" i="17"/>
  <c r="F101" i="17"/>
  <c r="H101" i="17" s="1"/>
  <c r="H47" i="18"/>
  <c r="I73" i="18"/>
  <c r="I101" i="18"/>
  <c r="H73" i="18"/>
  <c r="F74" i="18"/>
  <c r="F102" i="18" s="1"/>
  <c r="H27" i="18"/>
  <c r="I47" i="18"/>
  <c r="J74" i="18"/>
  <c r="D27" i="17"/>
  <c r="H27" i="17" s="1"/>
  <c r="F27" i="17"/>
  <c r="E51" i="17"/>
  <c r="E52" i="17" s="1"/>
  <c r="E77" i="17" s="1"/>
  <c r="J51" i="17"/>
  <c r="D76" i="17"/>
  <c r="F76" i="17"/>
  <c r="E101" i="17"/>
  <c r="J101" i="17"/>
  <c r="I27" i="17"/>
  <c r="H48" i="18" l="1"/>
  <c r="E102" i="17"/>
  <c r="D52" i="17"/>
  <c r="D77" i="17" s="1"/>
  <c r="D102" i="17" s="1"/>
  <c r="J52" i="17"/>
  <c r="J77" i="17" s="1"/>
  <c r="J102" i="17" s="1"/>
  <c r="I101" i="17"/>
  <c r="H76" i="17"/>
  <c r="I51" i="17"/>
  <c r="F52" i="17"/>
  <c r="F77" i="17" s="1"/>
  <c r="H74" i="18"/>
  <c r="H102" i="18"/>
  <c r="J102" i="18"/>
  <c r="I102" i="17"/>
  <c r="I77" i="17"/>
  <c r="I52" i="17"/>
  <c r="H52" i="17" l="1"/>
  <c r="H77" i="17"/>
  <c r="F102" i="17"/>
  <c r="H102" i="17" s="1"/>
  <c r="J100" i="1"/>
  <c r="F100" i="1"/>
  <c r="E100" i="1"/>
  <c r="D100" i="1"/>
  <c r="C100" i="1"/>
  <c r="J93" i="1"/>
  <c r="F93" i="1"/>
  <c r="E93" i="1"/>
  <c r="D93" i="1"/>
  <c r="C93" i="1"/>
  <c r="E86" i="1"/>
  <c r="D86" i="1"/>
  <c r="C86" i="1"/>
  <c r="J86" i="1"/>
  <c r="F86" i="1"/>
  <c r="J75" i="1"/>
  <c r="F75" i="1"/>
  <c r="E75" i="1"/>
  <c r="D75" i="1"/>
  <c r="C75" i="1"/>
  <c r="F68" i="1"/>
  <c r="J68" i="1"/>
  <c r="E68" i="1"/>
  <c r="D68" i="1"/>
  <c r="C68" i="1"/>
  <c r="J61" i="1"/>
  <c r="F61" i="1"/>
  <c r="F76" i="1" s="1"/>
  <c r="E61" i="1"/>
  <c r="D61" i="1"/>
  <c r="C61" i="1"/>
  <c r="J50" i="1"/>
  <c r="F50" i="1"/>
  <c r="E50" i="1"/>
  <c r="D50" i="1"/>
  <c r="C50" i="1"/>
  <c r="D101" i="1" l="1"/>
  <c r="J101" i="1"/>
  <c r="F101" i="1"/>
  <c r="E101" i="1"/>
  <c r="D76" i="1"/>
  <c r="E76" i="1"/>
  <c r="J76" i="1"/>
  <c r="J43" i="1"/>
  <c r="I101" i="1" l="1"/>
  <c r="I76" i="1"/>
  <c r="H101" i="1"/>
  <c r="H76" i="1"/>
  <c r="F43" i="1"/>
  <c r="E43" i="1"/>
  <c r="D43" i="1"/>
  <c r="C43" i="1"/>
  <c r="J36" i="1"/>
  <c r="J51" i="1" s="1"/>
  <c r="F36" i="1"/>
  <c r="E36" i="1"/>
  <c r="F51" i="1" l="1"/>
  <c r="E51" i="1"/>
  <c r="I51" i="1" s="1"/>
  <c r="D36" i="1"/>
  <c r="D51" i="1" s="1"/>
  <c r="C36" i="1"/>
  <c r="H51" i="1" l="1"/>
  <c r="F26" i="1"/>
  <c r="J26" i="1"/>
  <c r="E26" i="1"/>
  <c r="D26" i="1"/>
  <c r="J19" i="1"/>
  <c r="J12" i="1"/>
  <c r="F19" i="1"/>
  <c r="F12" i="1"/>
  <c r="D19" i="1"/>
  <c r="J27" i="1" l="1"/>
  <c r="F27" i="1"/>
  <c r="F52" i="1" s="1"/>
  <c r="F77" i="1" s="1"/>
  <c r="F102" i="1" s="1"/>
  <c r="J52" i="1" l="1"/>
  <c r="E12" i="1"/>
  <c r="C12" i="1"/>
  <c r="E19" i="1"/>
  <c r="D12" i="1"/>
  <c r="D27" i="1" s="1"/>
  <c r="J77" i="1" l="1"/>
  <c r="H27" i="1"/>
  <c r="D52" i="1"/>
  <c r="E27" i="1"/>
  <c r="I27" i="1" s="1"/>
  <c r="C26" i="1"/>
  <c r="C19" i="1"/>
  <c r="J102" i="1" l="1"/>
  <c r="H52" i="1"/>
  <c r="D77" i="1"/>
  <c r="E52" i="1"/>
  <c r="I52" i="1" s="1"/>
  <c r="H77" i="1" l="1"/>
  <c r="D102" i="1"/>
  <c r="H102" i="1" s="1"/>
  <c r="E77" i="1"/>
  <c r="I77" i="1" s="1"/>
  <c r="E102" i="1" l="1"/>
  <c r="I102" i="1" s="1"/>
  <c r="E26" i="18"/>
  <c r="E27" i="18" s="1"/>
  <c r="E48" i="18" l="1"/>
  <c r="I27" i="18"/>
  <c r="I48" i="18" l="1"/>
  <c r="E74" i="18"/>
  <c r="E102" i="18" l="1"/>
  <c r="I102" i="18" s="1"/>
  <c r="I74" i="18"/>
</calcChain>
</file>

<file path=xl/sharedStrings.xml><?xml version="1.0" encoding="utf-8"?>
<sst xmlns="http://schemas.openxmlformats.org/spreadsheetml/2006/main" count="1868" uniqueCount="393">
  <si>
    <t>№</t>
  </si>
  <si>
    <t xml:space="preserve">Номера партий </t>
  </si>
  <si>
    <t xml:space="preserve">Акт отбраковки </t>
  </si>
  <si>
    <t>Акт входного контроля</t>
  </si>
  <si>
    <t>Причина,%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</si>
  <si>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</si>
  <si>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</si>
  <si>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</si>
  <si>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</si>
  <si>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</si>
  <si>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</si>
  <si>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</si>
  <si>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Сентябрь</t>
  </si>
  <si>
    <t>Август</t>
  </si>
  <si>
    <t>Октябрь</t>
  </si>
  <si>
    <t>Ноябрь</t>
  </si>
  <si>
    <t>Декабрь</t>
  </si>
  <si>
    <t>Итого</t>
  </si>
  <si>
    <t>за 1 квартал</t>
  </si>
  <si>
    <t>Начальник отдела контроля и качества</t>
  </si>
  <si>
    <t>Инженер по качеству</t>
  </si>
  <si>
    <t>А.Г. Беззубов</t>
  </si>
  <si>
    <t>Г.И. Данилова</t>
  </si>
  <si>
    <t>Дата 
поступления</t>
  </si>
  <si>
    <t>№ Партии</t>
  </si>
  <si>
    <t>Дата</t>
  </si>
  <si>
    <t>Журнал входного контроля</t>
  </si>
  <si>
    <t>Акты</t>
  </si>
  <si>
    <t>Отбраковка</t>
  </si>
  <si>
    <t>Входной 
контроль</t>
  </si>
  <si>
    <t>Количество 
отбракованной продукции, кг</t>
  </si>
  <si>
    <t>Материал антиадгезионный на основе ПЭТ</t>
  </si>
  <si>
    <t>Материл антиадгезионный на основе бумаги</t>
  </si>
  <si>
    <t>Материал антиадгезионный на основе пленки</t>
  </si>
  <si>
    <t>Лента ПВХ марка "Б" ООО "Сэларон"</t>
  </si>
  <si>
    <t>Лента ПВХ марка "Б" ОАО "БСК"</t>
  </si>
  <si>
    <t>Лента ПВХ ООО "Сибтрубизол"</t>
  </si>
  <si>
    <t>ID</t>
  </si>
  <si>
    <t>Наименование</t>
  </si>
  <si>
    <t>Другое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</si>
  <si>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</si>
  <si>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</si>
  <si>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</si>
  <si>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</si>
  <si>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</si>
  <si>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</si>
  <si>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</si>
  <si>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</si>
  <si>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</si>
  <si>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</si>
  <si>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Лента ПВХ (новый поставщик)</t>
  </si>
  <si>
    <t>Пакеты</t>
  </si>
  <si>
    <t>Коробки</t>
  </si>
  <si>
    <t>Коробки "Гофралюкс"</t>
  </si>
  <si>
    <t>ПЭКОМ</t>
  </si>
  <si>
    <t>Полилен 40-ОБ-63</t>
  </si>
  <si>
    <t>Полилен 40-ЛИ-63</t>
  </si>
  <si>
    <t>Полилен 40-ЛИ-45</t>
  </si>
  <si>
    <t>Политерм</t>
  </si>
  <si>
    <t>Грунтовка "Транскор" №1</t>
  </si>
  <si>
    <t>Праймер ПЛ-М</t>
  </si>
  <si>
    <t>Праймер ПЛ-Л</t>
  </si>
  <si>
    <t>Праймер НК-50</t>
  </si>
  <si>
    <t>Грунтовка "Транскор" №2</t>
  </si>
  <si>
    <t>Мастика Транскор - Л</t>
  </si>
  <si>
    <t>Мастика Транскор - З</t>
  </si>
  <si>
    <t>Мастика Биткор - Р</t>
  </si>
  <si>
    <t>Мастика МБПР - З</t>
  </si>
  <si>
    <t>Мастика МБПР - Л</t>
  </si>
  <si>
    <t>Мастика Биткор - Р(У)</t>
  </si>
  <si>
    <t>Шпули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</si>
  <si>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</si>
  <si>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</si>
  <si>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</si>
  <si>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</si>
  <si>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</si>
  <si>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</si>
  <si>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</si>
  <si>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</si>
  <si>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</si>
  <si>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</si>
  <si>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</si>
  <si>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</si>
  <si>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</si>
  <si>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</si>
  <si>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</si>
  <si>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</si>
  <si>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</si>
  <si>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</si>
  <si>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</si>
  <si>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</si>
  <si>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</si>
  <si>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</si>
  <si>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Количество 
отбракованной
 продукции, кг</t>
  </si>
  <si>
    <t>Ф(8.2)005.001</t>
  </si>
  <si>
    <t>Справка о поступлениях __________________ за 20___год</t>
  </si>
  <si>
    <t>Количество, кг</t>
  </si>
  <si>
    <t>Наименование продукции</t>
  </si>
  <si>
    <t>Выборка/Наименование</t>
  </si>
  <si>
    <t>/Дата</t>
  </si>
  <si>
    <t>/Кол-во</t>
  </si>
  <si>
    <t>/Партии</t>
  </si>
  <si>
    <t>/Вх.контроль</t>
  </si>
  <si>
    <t>/Отбраковка</t>
  </si>
  <si>
    <t>/Кол-во,отб-ки</t>
  </si>
  <si>
    <t>Причина</t>
  </si>
  <si>
    <t>Причина/отб</t>
  </si>
  <si>
    <t>Причина/вх</t>
  </si>
  <si>
    <t>Количество,кг(шт)</t>
  </si>
  <si>
    <t>за 2 квартал</t>
  </si>
  <si>
    <t>за 1 п/г</t>
  </si>
  <si>
    <t>за 3 квартал</t>
  </si>
  <si>
    <t>за 4 квартал</t>
  </si>
  <si>
    <t>за 1,2,3 квартал</t>
  </si>
  <si>
    <t>за год</t>
  </si>
  <si>
    <t>Количество, шт</t>
  </si>
  <si>
    <t>Количество 
отбракованной
 продукции, шт</t>
  </si>
  <si>
    <t>Муфта термоусаживающаяся ИЗТМ</t>
  </si>
  <si>
    <t>22/01/20</t>
  </si>
  <si>
    <t>509,1,2</t>
  </si>
  <si>
    <t>№1 от 20.01.20</t>
  </si>
  <si>
    <t>1,2</t>
  </si>
  <si>
    <t>№2 от 24.01.20</t>
  </si>
  <si>
    <t>202000001</t>
  </si>
  <si>
    <t>№3 от 31.01.20</t>
  </si>
  <si>
    <t>508,509</t>
  </si>
  <si>
    <t>6</t>
  </si>
  <si>
    <t>Паспорт не соответствует данным ТУ</t>
  </si>
  <si>
    <r>
      <t xml:space="preserve">Адгезия, толщина, ширина, </t>
    </r>
    <r>
      <rPr>
        <b/>
        <sz val="11"/>
        <color theme="1"/>
        <rFont val="Calibri"/>
        <family val="2"/>
        <charset val="204"/>
      </rPr>
      <t>Ø</t>
    </r>
    <r>
      <rPr>
        <b/>
        <i/>
        <sz val="11"/>
        <color theme="1"/>
        <rFont val="Calibri"/>
        <family val="2"/>
        <charset val="204"/>
      </rPr>
      <t xml:space="preserve"> шпули не соответствует ТУ</t>
    </r>
  </si>
  <si>
    <t>Торцевой сдвиг, паспорт не соответствует данным ТУ</t>
  </si>
  <si>
    <t>033</t>
  </si>
  <si>
    <t>ПВХ липкая ООО "НПО Промхимтехнология"</t>
  </si>
  <si>
    <t>ПВХ липкая АО "БСК"</t>
  </si>
  <si>
    <t>ПВХ липкая ООО "СибТрубизол"</t>
  </si>
  <si>
    <t>ПВХ липкая (новый поставщик)</t>
  </si>
  <si>
    <t>509,19,20</t>
  </si>
  <si>
    <t>137/02/20      184/02/20</t>
  </si>
  <si>
    <t>452</t>
  </si>
  <si>
    <t>8</t>
  </si>
  <si>
    <t>201900010</t>
  </si>
  <si>
    <t>101900231     101900230</t>
  </si>
  <si>
    <t>19,20,37,38</t>
  </si>
  <si>
    <t>426,447,448</t>
  </si>
  <si>
    <t>359,2</t>
  </si>
  <si>
    <t>1</t>
  </si>
  <si>
    <t>36,38,46,47</t>
  </si>
  <si>
    <t>260/02/20</t>
  </si>
  <si>
    <t>34,35</t>
  </si>
  <si>
    <t>597</t>
  </si>
  <si>
    <t>2,11</t>
  </si>
  <si>
    <t>№ 4 от 10.02.20</t>
  </si>
  <si>
    <t>20,35,36</t>
  </si>
  <si>
    <t>№ 5от 13.02.20</t>
  </si>
  <si>
    <t>паспорт не соответствует данным ТУ</t>
  </si>
  <si>
    <t>№ 6 от 18.02.20</t>
  </si>
  <si>
    <t>№ 7 от 20.02.20</t>
  </si>
  <si>
    <t>№ 8 от 26.02.20</t>
  </si>
  <si>
    <t>показатель качества " адгезия"</t>
  </si>
  <si>
    <t>47,58,59</t>
  </si>
  <si>
    <t>№ 9 от 28.02.20</t>
  </si>
  <si>
    <t>3,4</t>
  </si>
  <si>
    <t>2,3</t>
  </si>
  <si>
    <t>363/03/20</t>
  </si>
  <si>
    <t>10</t>
  </si>
  <si>
    <t>68,69</t>
  </si>
  <si>
    <t>4,5,6</t>
  </si>
  <si>
    <t>447</t>
  </si>
  <si>
    <t>76,77,79,80</t>
  </si>
  <si>
    <t>6,7</t>
  </si>
  <si>
    <t>7,9</t>
  </si>
  <si>
    <t>9,10</t>
  </si>
  <si>
    <t>80,91,92</t>
  </si>
  <si>
    <t>902</t>
  </si>
  <si>
    <t>23/04/20</t>
  </si>
  <si>
    <t>1312</t>
  </si>
  <si>
    <t>106,107</t>
  </si>
  <si>
    <t>10,11</t>
  </si>
  <si>
    <t>11,12,14</t>
  </si>
  <si>
    <t>364/04/20</t>
  </si>
  <si>
    <t>107,133,134</t>
  </si>
  <si>
    <t>14,10,23,24</t>
  </si>
  <si>
    <t>139,140</t>
  </si>
  <si>
    <t>100</t>
  </si>
  <si>
    <t>154</t>
  </si>
  <si>
    <t>151,152</t>
  </si>
  <si>
    <t>20</t>
  </si>
  <si>
    <t>3</t>
  </si>
  <si>
    <t>1641</t>
  </si>
  <si>
    <t>155,156</t>
  </si>
  <si>
    <t>23,24,45,46</t>
  </si>
  <si>
    <t>155,156,158</t>
  </si>
  <si>
    <t>№__</t>
  </si>
  <si>
    <t>Итого*</t>
  </si>
  <si>
    <t>76</t>
  </si>
  <si>
    <t>77</t>
  </si>
  <si>
    <t>№ 10 от 12.03.20</t>
  </si>
  <si>
    <t>358,359</t>
  </si>
  <si>
    <t>10,6,3</t>
  </si>
  <si>
    <t>158,159</t>
  </si>
  <si>
    <t>№ 15 от 27.05.20</t>
  </si>
  <si>
    <t>159,160,161</t>
  </si>
  <si>
    <t>50,51,45</t>
  </si>
  <si>
    <t>51,54</t>
  </si>
  <si>
    <t>165,166,167</t>
  </si>
  <si>
    <t>№14 от 27.05.20</t>
  </si>
  <si>
    <t>54,55,56</t>
  </si>
  <si>
    <t>179,180</t>
  </si>
  <si>
    <t>829/06/20</t>
  </si>
  <si>
    <t>17</t>
  </si>
  <si>
    <t>56,57,58</t>
  </si>
  <si>
    <t>180,183,184</t>
  </si>
  <si>
    <t>№16 от 10.06.20</t>
  </si>
  <si>
    <t>248</t>
  </si>
  <si>
    <t>58,84,88</t>
  </si>
  <si>
    <t>184,193,194</t>
  </si>
  <si>
    <t>№17 от 17.06.20</t>
  </si>
  <si>
    <t>№2 от 30.06.20</t>
  </si>
  <si>
    <t>Начальные витки с замятыми краями</t>
  </si>
  <si>
    <t>953/06/20</t>
  </si>
  <si>
    <t>2224</t>
  </si>
  <si>
    <t>91,94,101</t>
  </si>
  <si>
    <t>180,203</t>
  </si>
  <si>
    <t>55</t>
  </si>
  <si>
    <t>9500</t>
  </si>
  <si>
    <t>1045/07/20</t>
  </si>
  <si>
    <t>№11 от 20.03.20</t>
  </si>
  <si>
    <t>№ 12 от 23.03.20</t>
  </si>
  <si>
    <t>№ 13 от 20.05.20</t>
  </si>
  <si>
    <t>№ 5 от 13.02.20</t>
  </si>
  <si>
    <t>Показатель качества " адгезия"</t>
  </si>
  <si>
    <t>№_</t>
  </si>
  <si>
    <t>б/н</t>
  </si>
  <si>
    <t>Кп= 0%</t>
  </si>
  <si>
    <t>Км= 0%</t>
  </si>
  <si>
    <t>Кп = 0%</t>
  </si>
  <si>
    <t>№ 1 от 12.02.20</t>
  </si>
  <si>
    <t>От 189828 кг отбраковано 243 кг срезов с рулонов (начальные витки с замятыми краями)</t>
  </si>
  <si>
    <t>101,107,11,112</t>
  </si>
  <si>
    <t>194,209</t>
  </si>
  <si>
    <t>2431</t>
  </si>
  <si>
    <t>112,123,124</t>
  </si>
  <si>
    <t>125</t>
  </si>
  <si>
    <t>210,224,225</t>
  </si>
  <si>
    <t>№18 от 09.07.20</t>
  </si>
  <si>
    <t>№ 19 от 16.07.20</t>
  </si>
  <si>
    <t>180</t>
  </si>
  <si>
    <t>226,228,229</t>
  </si>
  <si>
    <t>125,126,127,128</t>
  </si>
  <si>
    <t>229,238,239,240</t>
  </si>
  <si>
    <t>102000101</t>
  </si>
  <si>
    <t>83</t>
  </si>
  <si>
    <t>№ 20 от 20.07.20</t>
  </si>
  <si>
    <t>№ 21 от 23.07.20</t>
  </si>
  <si>
    <t>239,242,243,244</t>
  </si>
  <si>
    <t>1237/07/20</t>
  </si>
  <si>
    <t>127</t>
  </si>
  <si>
    <t>11,13</t>
  </si>
  <si>
    <t>269,270,271</t>
  </si>
  <si>
    <t>№22 от 30.07.20</t>
  </si>
  <si>
    <t>244,268,269</t>
  </si>
  <si>
    <t>№23 от 07.08.20</t>
  </si>
  <si>
    <t>№24 от 10.08.20</t>
  </si>
  <si>
    <t>2993</t>
  </si>
  <si>
    <t>277,278</t>
  </si>
  <si>
    <t>№25 от 17.08.20</t>
  </si>
  <si>
    <t>292,293,294</t>
  </si>
  <si>
    <t>№26 от 21.08.20</t>
  </si>
  <si>
    <t>76,126,127</t>
  </si>
  <si>
    <t>85</t>
  </si>
  <si>
    <t>0078,0076,0080</t>
  </si>
  <si>
    <t>180,191,195</t>
  </si>
  <si>
    <t>294,300,301, 302</t>
  </si>
  <si>
    <t>№27 от 02.09.20</t>
  </si>
  <si>
    <t>0080,0081</t>
  </si>
  <si>
    <t>1519/09/20</t>
  </si>
  <si>
    <t>70</t>
  </si>
  <si>
    <t>40</t>
  </si>
  <si>
    <t>307,308</t>
  </si>
  <si>
    <t>3363</t>
  </si>
  <si>
    <t>13,14</t>
  </si>
  <si>
    <t>0081, 0089, 0090, 0094</t>
  </si>
  <si>
    <t>№28 от 09.09.20</t>
  </si>
  <si>
    <t>302,311,312</t>
  </si>
  <si>
    <t>№29 от 09.09.20</t>
  </si>
  <si>
    <t>312,324,325, 326</t>
  </si>
  <si>
    <t>№30 от 11.09.20</t>
  </si>
  <si>
    <t>0094, 0095, 0097</t>
  </si>
  <si>
    <t>98, 99</t>
  </si>
  <si>
    <t>0090,0099</t>
  </si>
  <si>
    <t>326,332,333, 334</t>
  </si>
  <si>
    <t>№31 от 17.09.20</t>
  </si>
  <si>
    <t>1630/09/20</t>
  </si>
  <si>
    <t>0095,0098</t>
  </si>
  <si>
    <t>0101,0102</t>
  </si>
  <si>
    <t>334,337,338</t>
  </si>
  <si>
    <t>№33 от21.09.20</t>
  </si>
  <si>
    <t>показатели качества "теплостойкость","хрупкость"паспорт не соответствуетТУ</t>
  </si>
  <si>
    <t>№34 от 24.09.20</t>
  </si>
  <si>
    <t>298</t>
  </si>
  <si>
    <t>339,340</t>
  </si>
  <si>
    <t>№35 от25.09.20</t>
  </si>
  <si>
    <t xml:space="preserve"> </t>
  </si>
  <si>
    <t>88</t>
  </si>
  <si>
    <t>1772/10/20</t>
  </si>
  <si>
    <t>316</t>
  </si>
  <si>
    <t>0102, 0126, 0135, 0142</t>
  </si>
  <si>
    <t>3937</t>
  </si>
  <si>
    <t>352,353,354</t>
  </si>
  <si>
    <t>0139, 0142, 0149, 0146</t>
  </si>
  <si>
    <t xml:space="preserve">№36 от07.10.20 </t>
  </si>
  <si>
    <t>0125, 0121, 0118</t>
  </si>
  <si>
    <t>339, 340</t>
  </si>
  <si>
    <t>341</t>
  </si>
  <si>
    <t>0149,0191</t>
  </si>
  <si>
    <t>1976/11/20</t>
  </si>
  <si>
    <t>45</t>
  </si>
  <si>
    <t>341,381</t>
  </si>
  <si>
    <t>0187,0191,0216,0218</t>
  </si>
  <si>
    <t>0215,0216,0217</t>
  </si>
  <si>
    <t>5</t>
  </si>
  <si>
    <t>410</t>
  </si>
  <si>
    <t>0216,0218,0226,0224,0226</t>
  </si>
  <si>
    <t>315</t>
  </si>
  <si>
    <t>646</t>
  </si>
  <si>
    <t>38</t>
  </si>
  <si>
    <t>0234,0233</t>
  </si>
  <si>
    <t>2119/11/20</t>
  </si>
  <si>
    <t>410,416</t>
  </si>
  <si>
    <t>0234,0240,0241</t>
  </si>
  <si>
    <t>0231,0224,0230</t>
  </si>
  <si>
    <t>0232</t>
  </si>
  <si>
    <t>0241,0242</t>
  </si>
  <si>
    <t>418</t>
  </si>
  <si>
    <t>№ 38 от 20.10.20</t>
  </si>
  <si>
    <t>№ 39 от 02.11.20</t>
  </si>
  <si>
    <t>№ 41 от 25.11.20</t>
  </si>
  <si>
    <t>0243,0244</t>
  </si>
  <si>
    <t>445,446</t>
  </si>
  <si>
    <t>439</t>
  </si>
  <si>
    <t>102000079</t>
  </si>
  <si>
    <t>455</t>
  </si>
  <si>
    <t>91</t>
  </si>
  <si>
    <t>4,3</t>
  </si>
  <si>
    <t>5068</t>
  </si>
  <si>
    <t>472,473</t>
  </si>
  <si>
    <t>427</t>
  </si>
  <si>
    <t>471</t>
  </si>
  <si>
    <t>4,5</t>
  </si>
  <si>
    <t>№ 42 от 07.12.20</t>
  </si>
  <si>
    <t>№ 44 от23.12.20</t>
  </si>
  <si>
    <t>0269,0268,0270</t>
  </si>
  <si>
    <t>№ 3 от 30.09.20</t>
  </si>
  <si>
    <t>Внешний вид,внутренний диаметр шпуль</t>
  </si>
  <si>
    <t>№ 43 от 15.12.20</t>
  </si>
  <si>
    <t>№ 37 от 20.10.20</t>
  </si>
  <si>
    <t>показатель качества " адгезия",диаметр шпуль</t>
  </si>
  <si>
    <t>Справка о поступлениях материала антиадгезионного за 2020 год</t>
  </si>
  <si>
    <t>Справка о поступлениях Шпули за 2020 год</t>
  </si>
  <si>
    <t>Справка о поступлениях праймера и грунтовки за 2020 год</t>
  </si>
  <si>
    <t>* - по данным производственной лаборатории</t>
  </si>
  <si>
    <t>Справка о поступлениях политерм за 2020 год</t>
  </si>
  <si>
    <t>Справка о поступлениях Полилен за 2020 год</t>
  </si>
  <si>
    <t>Справка о поступлениях пакетов за 2020 год</t>
  </si>
  <si>
    <t>Справка о поступлениях коробок за 2020 год</t>
  </si>
  <si>
    <t>Справка о поступлениях ПВХ липкая за 2020 год</t>
  </si>
  <si>
    <t>Справка о поступлениях ПВХ за 2020 год</t>
  </si>
  <si>
    <t>Справка о поступлениях мастики за 2020 год</t>
  </si>
  <si>
    <t>Шпули*</t>
  </si>
  <si>
    <t>б/н*</t>
  </si>
  <si>
    <t>23.11.2020*</t>
  </si>
  <si>
    <t>2523*</t>
  </si>
  <si>
    <t>* - сопровождающие документы не переданы в производственную лабораторию (нет подтверждения факта проверки, в расчётах не учтено)</t>
  </si>
  <si>
    <t>1794*</t>
  </si>
  <si>
    <t>09.11.2020*</t>
  </si>
  <si>
    <t>Полилен 40-ОБ-63*</t>
  </si>
  <si>
    <t>306*</t>
  </si>
  <si>
    <t>02.06.2020*</t>
  </si>
  <si>
    <t>Полилен 40-ЛИ-45*</t>
  </si>
  <si>
    <t>270*</t>
  </si>
  <si>
    <t>04.02.2020*</t>
  </si>
  <si>
    <t>* - материал проходящий транзитом (в расчётах не учтено, производственной лабораторией не проверено)</t>
  </si>
  <si>
    <t>Пакеты*</t>
  </si>
  <si>
    <t>6000*</t>
  </si>
  <si>
    <t>05.10.2020*</t>
  </si>
  <si>
    <t>* - нет сопровождающих документов, факт проверки лабораторией и получения материала не подтвержден (в расчетах не учтено)</t>
  </si>
  <si>
    <t>№3 от 20.01.21</t>
  </si>
  <si>
    <t>От 246774 кг отбраковано 339 кг срезов с рулонов (начальные витки с замятыми краями)</t>
  </si>
  <si>
    <t>26.11.2020*</t>
  </si>
  <si>
    <t>27.11.2020*</t>
  </si>
  <si>
    <t>01.12.2020*</t>
  </si>
  <si>
    <t>02.12.2020*</t>
  </si>
  <si>
    <t>29.12.2020*</t>
  </si>
  <si>
    <t>* - данные партии проверены лабораторией и не учтены в комплексе программ 1С, информация поступит в 2021 году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</si>
</sst>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&quot; пр&quot;"/>
    <numFmt numFmtId="165" formatCode="#&quot; кг&quot;"/>
    <numFmt numFmtId="166" formatCode="#&quot; акт(ов)&quot;"/>
    <numFmt numFmtId="167" formatCode="#&quot; шт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b/>
      <sz val="11"/>
      <color theme="1"/>
      <name val="Calibri"/>
      <family val="2"/>
      <charset val="204"/>
    </font>
    <font>
      <b/>
      <i/>
      <sz val="11"/>
      <color theme="1"/>
      <name val="Calibri"/>
      <family val="2"/>
      <charset val="204"/>
    </font>
    <font>
      <sz val="8"/>
      <name val="Calibri"/>
      <family val="2"/>
      <scheme val="minor"/>
    </font>
    <font>
      <b/>
      <i/>
      <sz val="11"/>
      <color theme="1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b/>
      <i/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</borders>
  <cellStyleXfs count="1">
    <xf numFmtId="0" fontId="0" fillId="0" borderId="0"/>
  </cellStyleXfs>
  <cellXfs count="276">
    <xf numFmtId="0" fontId="0" fillId="0" borderId="0" xfId="0"/>
    <xf numFmtId="0" fontId="3" fillId="0" borderId="0" xfId="0" applyFont="1"/>
    <xf numFmtId="0" fontId="5" fillId="2" borderId="1" xfId="0" applyFont="1" applyFill="1" applyBorder="1"/>
    <xf numFmtId="14" fontId="5" fillId="2" borderId="1" xfId="0" applyNumberFormat="1" applyFont="1" applyFill="1" applyBorder="1"/>
    <xf numFmtId="0" fontId="5" fillId="2" borderId="1" xfId="0" applyFont="1" applyFill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6" fillId="3" borderId="3" xfId="0" applyFont="1" applyFill="1" applyBorder="1"/>
    <xf numFmtId="0" fontId="6" fillId="3" borderId="4" xfId="0" applyFont="1" applyFill="1" applyBorder="1"/>
    <xf numFmtId="0" fontId="6" fillId="0" borderId="0" xfId="0" applyFont="1"/>
    <xf numFmtId="0" fontId="6" fillId="0" borderId="0" xfId="0" applyFont="1" applyAlignment="1">
      <alignment horizontal="right"/>
    </xf>
    <xf numFmtId="49" fontId="6" fillId="4" borderId="1" xfId="0" applyNumberFormat="1" applyFont="1" applyFill="1" applyBorder="1" applyAlignment="1">
      <alignment horizontal="center" vertical="center"/>
    </xf>
    <xf numFmtId="0" fontId="5" fillId="3" borderId="4" xfId="0" applyFont="1" applyFill="1" applyBorder="1"/>
    <xf numFmtId="0" fontId="7" fillId="2" borderId="1" xfId="0" applyFont="1" applyFill="1" applyBorder="1"/>
    <xf numFmtId="14" fontId="7" fillId="2" borderId="1" xfId="0" applyNumberFormat="1" applyFont="1" applyFill="1" applyBorder="1"/>
    <xf numFmtId="0" fontId="7" fillId="2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center"/>
    </xf>
    <xf numFmtId="49" fontId="7" fillId="2" borderId="1" xfId="0" applyNumberFormat="1" applyFont="1" applyFill="1" applyBorder="1"/>
    <xf numFmtId="49" fontId="5" fillId="2" borderId="1" xfId="0" applyNumberFormat="1" applyFont="1" applyFill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0" fontId="2" fillId="0" borderId="0" xfId="0" applyFont="1" applyAlignment="1">
      <alignment horizontal="left"/>
    </xf>
    <xf numFmtId="165" fontId="6" fillId="3" borderId="4" xfId="0" applyNumberFormat="1" applyFont="1" applyFill="1" applyBorder="1" applyAlignment="1">
      <alignment horizontal="right"/>
    </xf>
    <xf numFmtId="166" fontId="6" fillId="3" borderId="4" xfId="0" applyNumberFormat="1" applyFont="1" applyFill="1" applyBorder="1" applyAlignment="1">
      <alignment horizontal="right"/>
    </xf>
    <xf numFmtId="165" fontId="6" fillId="3" borderId="5" xfId="0" applyNumberFormat="1" applyFont="1" applyFill="1" applyBorder="1"/>
    <xf numFmtId="49" fontId="7" fillId="2" borderId="1" xfId="0" applyNumberFormat="1" applyFont="1" applyFill="1" applyBorder="1" applyAlignment="1">
      <alignment horizontal="right"/>
    </xf>
    <xf numFmtId="49" fontId="5" fillId="2" borderId="1" xfId="0" applyNumberFormat="1" applyFont="1" applyFill="1" applyBorder="1" applyAlignment="1">
      <alignment horizontal="right"/>
    </xf>
    <xf numFmtId="164" fontId="6" fillId="3" borderId="4" xfId="0" applyNumberFormat="1" applyFont="1" applyFill="1" applyBorder="1" applyAlignment="1">
      <alignment horizontal="right"/>
    </xf>
    <xf numFmtId="0" fontId="6" fillId="2" borderId="2" xfId="0" applyFont="1" applyFill="1" applyBorder="1" applyAlignment="1">
      <alignment horizontal="center"/>
    </xf>
    <xf numFmtId="0" fontId="0" fillId="2" borderId="1" xfId="0" applyFill="1" applyBorder="1"/>
    <xf numFmtId="14" fontId="0" fillId="2" borderId="1" xfId="0" applyNumberFormat="1" applyFill="1" applyBorder="1"/>
    <xf numFmtId="0" fontId="0" fillId="4" borderId="0" xfId="0" applyFill="1"/>
    <xf numFmtId="0" fontId="0" fillId="2" borderId="8" xfId="0" applyFill="1" applyBorder="1"/>
    <xf numFmtId="14" fontId="0" fillId="2" borderId="8" xfId="0" applyNumberFormat="1" applyFill="1" applyBorder="1"/>
    <xf numFmtId="0" fontId="6" fillId="2" borderId="8" xfId="0" applyFont="1" applyFill="1" applyBorder="1" applyAlignment="1">
      <alignment horizontal="center"/>
    </xf>
    <xf numFmtId="0" fontId="9" fillId="8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left" vertical="center"/>
    </xf>
    <xf numFmtId="0" fontId="6" fillId="5" borderId="4" xfId="0" applyFont="1" applyFill="1" applyBorder="1" applyAlignment="1">
      <alignment horizontal="left" vertical="center"/>
    </xf>
    <xf numFmtId="164" fontId="6" fillId="5" borderId="4" xfId="0" applyNumberFormat="1" applyFont="1" applyFill="1" applyBorder="1" applyAlignment="1">
      <alignment horizontal="right" vertical="center"/>
    </xf>
    <xf numFmtId="165" fontId="6" fillId="5" borderId="4" xfId="0" applyNumberFormat="1" applyFont="1" applyFill="1" applyBorder="1" applyAlignment="1">
      <alignment horizontal="right" vertical="center"/>
    </xf>
    <xf numFmtId="166" fontId="6" fillId="5" borderId="4" xfId="0" applyNumberFormat="1" applyFont="1" applyFill="1" applyBorder="1" applyAlignment="1">
      <alignment horizontal="right" vertical="center"/>
    </xf>
    <xf numFmtId="165" fontId="6" fillId="5" borderId="5" xfId="0" applyNumberFormat="1" applyFont="1" applyFill="1" applyBorder="1" applyAlignment="1">
      <alignment horizontal="right" vertical="center"/>
    </xf>
    <xf numFmtId="0" fontId="3" fillId="3" borderId="4" xfId="0" applyFont="1" applyFill="1" applyBorder="1"/>
    <xf numFmtId="0" fontId="11" fillId="4" borderId="0" xfId="0" applyFont="1" applyFill="1" applyAlignment="1">
      <alignment horizontal="right"/>
    </xf>
    <xf numFmtId="0" fontId="9" fillId="6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6" borderId="2" xfId="0" applyFont="1" applyFill="1" applyBorder="1" applyAlignment="1">
      <alignment horizontal="center" vertical="center" wrapText="1" shrinkToFit="1"/>
    </xf>
    <xf numFmtId="0" fontId="9" fillId="0" borderId="0" xfId="0" applyFont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9" fillId="6" borderId="2" xfId="0" applyFont="1" applyFill="1" applyBorder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1" fillId="0" borderId="0" xfId="0" applyFont="1"/>
    <xf numFmtId="49" fontId="6" fillId="4" borderId="1" xfId="0" applyNumberFormat="1" applyFont="1" applyFill="1" applyBorder="1" applyAlignment="1">
      <alignment horizontal="center" vertical="center"/>
    </xf>
    <xf numFmtId="167" fontId="6" fillId="3" borderId="4" xfId="0" applyNumberFormat="1" applyFont="1" applyFill="1" applyBorder="1" applyAlignment="1">
      <alignment horizontal="right"/>
    </xf>
    <xf numFmtId="167" fontId="6" fillId="3" borderId="5" xfId="0" applyNumberFormat="1" applyFont="1" applyFill="1" applyBorder="1"/>
    <xf numFmtId="167" fontId="6" fillId="5" borderId="4" xfId="0" applyNumberFormat="1" applyFont="1" applyFill="1" applyBorder="1" applyAlignment="1">
      <alignment horizontal="right" vertical="center"/>
    </xf>
    <xf numFmtId="167" fontId="6" fillId="5" borderId="5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7" borderId="1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9" fillId="6" borderId="2" xfId="0" applyNumberFormat="1" applyFont="1" applyFill="1" applyBorder="1" applyAlignment="1">
      <alignment horizontal="center" vertical="center" wrapText="1" shrinkToFit="1"/>
    </xf>
    <xf numFmtId="49" fontId="9" fillId="0" borderId="0" xfId="0" applyNumberFormat="1" applyFont="1" applyAlignment="1">
      <alignment horizontal="center" vertical="center" wrapText="1" shrinkToFit="1"/>
    </xf>
    <xf numFmtId="49" fontId="0" fillId="0" borderId="0" xfId="0" applyNumberFormat="1" applyAlignment="1">
      <alignment horizontal="center" vertical="center" wrapText="1" shrinkToFit="1"/>
    </xf>
    <xf numFmtId="49" fontId="9" fillId="7" borderId="0" xfId="0" applyNumberFormat="1" applyFont="1" applyFill="1" applyAlignment="1">
      <alignment horizontal="center" vertical="center" wrapText="1" shrinkToFit="1"/>
    </xf>
    <xf numFmtId="49" fontId="9" fillId="7" borderId="2" xfId="0" applyNumberFormat="1" applyFont="1" applyFill="1" applyBorder="1" applyAlignment="1">
      <alignment horizontal="center" vertical="center" wrapText="1" shrinkToFit="1"/>
    </xf>
    <xf numFmtId="0" fontId="4" fillId="0" borderId="0" xfId="0" applyFont="1" applyAlignment="1">
      <alignment horizontal="center" vertical="center"/>
    </xf>
    <xf numFmtId="0" fontId="0" fillId="9" borderId="0" xfId="0" applyFill="1"/>
    <xf numFmtId="0" fontId="11" fillId="9" borderId="0" xfId="0" applyFont="1" applyFill="1" applyAlignment="1">
      <alignment horizontal="right"/>
    </xf>
    <xf numFmtId="0" fontId="0" fillId="0" borderId="0" xfId="0" applyFill="1"/>
    <xf numFmtId="0" fontId="11" fillId="0" borderId="0" xfId="0" applyFont="1" applyFill="1" applyAlignment="1">
      <alignment horizontal="right"/>
    </xf>
    <xf numFmtId="49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1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 wrapText="1" shrinkToFit="1"/>
    </xf>
    <xf numFmtId="14" fontId="9" fillId="0" borderId="1" xfId="0" applyNumberFormat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 shrinkToFit="1"/>
    </xf>
    <xf numFmtId="49" fontId="9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/>
    <xf numFmtId="49" fontId="5" fillId="0" borderId="1" xfId="0" applyNumberFormat="1" applyFont="1" applyFill="1" applyBorder="1"/>
    <xf numFmtId="14" fontId="5" fillId="0" borderId="1" xfId="0" applyNumberFormat="1" applyFont="1" applyFill="1" applyBorder="1"/>
    <xf numFmtId="0" fontId="5" fillId="0" borderId="1" xfId="0" applyFont="1" applyFill="1" applyBorder="1" applyAlignment="1">
      <alignment horizontal="right"/>
    </xf>
    <xf numFmtId="0" fontId="6" fillId="0" borderId="3" xfId="0" applyFont="1" applyFill="1" applyBorder="1"/>
    <xf numFmtId="0" fontId="6" fillId="0" borderId="4" xfId="0" applyFont="1" applyFill="1" applyBorder="1"/>
    <xf numFmtId="164" fontId="6" fillId="0" borderId="4" xfId="0" applyNumberFormat="1" applyFont="1" applyFill="1" applyBorder="1" applyAlignment="1">
      <alignment horizontal="right"/>
    </xf>
    <xf numFmtId="165" fontId="6" fillId="0" borderId="4" xfId="0" applyNumberFormat="1" applyFont="1" applyFill="1" applyBorder="1" applyAlignment="1">
      <alignment horizontal="right"/>
    </xf>
    <xf numFmtId="166" fontId="6" fillId="0" borderId="4" xfId="0" applyNumberFormat="1" applyFont="1" applyFill="1" applyBorder="1" applyAlignment="1">
      <alignment horizontal="right"/>
    </xf>
    <xf numFmtId="0" fontId="5" fillId="0" borderId="4" xfId="0" applyFont="1" applyFill="1" applyBorder="1"/>
    <xf numFmtId="165" fontId="6" fillId="0" borderId="5" xfId="0" applyNumberFormat="1" applyFont="1" applyFill="1" applyBorder="1"/>
    <xf numFmtId="0" fontId="9" fillId="0" borderId="1" xfId="0" applyFont="1" applyFill="1" applyBorder="1" applyAlignment="1">
      <alignment horizontal="center" vertical="center" wrapText="1"/>
    </xf>
    <xf numFmtId="0" fontId="9" fillId="0" borderId="13" xfId="0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center" vertical="center" wrapText="1" shrinkToFit="1"/>
    </xf>
    <xf numFmtId="14" fontId="9" fillId="0" borderId="13" xfId="0" applyNumberFormat="1" applyFont="1" applyFill="1" applyBorder="1" applyAlignment="1">
      <alignment horizontal="center" vertical="center" wrapText="1"/>
    </xf>
    <xf numFmtId="0" fontId="9" fillId="0" borderId="13" xfId="0" applyNumberFormat="1" applyFont="1" applyFill="1" applyBorder="1" applyAlignment="1">
      <alignment horizontal="center" vertical="center" wrapText="1" shrinkToFit="1"/>
    </xf>
    <xf numFmtId="49" fontId="9" fillId="0" borderId="13" xfId="0" applyNumberFormat="1" applyFont="1" applyFill="1" applyBorder="1" applyAlignment="1">
      <alignment horizontal="center" vertical="center" wrapText="1"/>
    </xf>
    <xf numFmtId="0" fontId="3" fillId="0" borderId="4" xfId="0" applyFont="1" applyFill="1" applyBorder="1"/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164" fontId="6" fillId="0" borderId="4" xfId="0" applyNumberFormat="1" applyFont="1" applyFill="1" applyBorder="1" applyAlignment="1">
      <alignment horizontal="right" vertical="center"/>
    </xf>
    <xf numFmtId="165" fontId="6" fillId="0" borderId="4" xfId="0" applyNumberFormat="1" applyFont="1" applyFill="1" applyBorder="1" applyAlignment="1">
      <alignment horizontal="right" vertical="center"/>
    </xf>
    <xf numFmtId="166" fontId="6" fillId="0" borderId="4" xfId="0" applyNumberFormat="1" applyFont="1" applyFill="1" applyBorder="1" applyAlignment="1">
      <alignment horizontal="right" vertical="center"/>
    </xf>
    <xf numFmtId="165" fontId="6" fillId="0" borderId="5" xfId="0" applyNumberFormat="1" applyFont="1" applyFill="1" applyBorder="1" applyAlignment="1">
      <alignment horizontal="right" vertical="center"/>
    </xf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/>
    <xf numFmtId="0" fontId="7" fillId="0" borderId="1" xfId="0" applyFont="1" applyFill="1" applyBorder="1"/>
    <xf numFmtId="49" fontId="7" fillId="0" borderId="1" xfId="0" applyNumberFormat="1" applyFont="1" applyFill="1" applyBorder="1"/>
    <xf numFmtId="14" fontId="7" fillId="0" borderId="1" xfId="0" applyNumberFormat="1" applyFont="1" applyFill="1" applyBorder="1"/>
    <xf numFmtId="0" fontId="7" fillId="0" borderId="1" xfId="0" applyFont="1" applyFill="1" applyBorder="1" applyAlignment="1">
      <alignment horizontal="right"/>
    </xf>
    <xf numFmtId="0" fontId="9" fillId="0" borderId="8" xfId="0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 shrinkToFit="1"/>
    </xf>
    <xf numFmtId="14" fontId="9" fillId="0" borderId="8" xfId="0" applyNumberFormat="1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 shrinkToFit="1"/>
    </xf>
    <xf numFmtId="0" fontId="9" fillId="0" borderId="1" xfId="0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 wrapText="1" shrinkToFit="1"/>
    </xf>
    <xf numFmtId="49" fontId="9" fillId="0" borderId="5" xfId="0" applyNumberFormat="1" applyFont="1" applyFill="1" applyBorder="1" applyAlignment="1">
      <alignment horizontal="center" vertical="center" wrapText="1" shrinkToFit="1"/>
    </xf>
    <xf numFmtId="0" fontId="9" fillId="0" borderId="1" xfId="0" applyNumberFormat="1" applyFont="1" applyFill="1" applyBorder="1" applyAlignment="1">
      <alignment horizontal="center" vertical="center" wrapText="1" shrinkToFit="1"/>
    </xf>
    <xf numFmtId="0" fontId="9" fillId="0" borderId="8" xfId="0" applyNumberFormat="1" applyFont="1" applyFill="1" applyBorder="1" applyAlignment="1">
      <alignment horizontal="center" vertical="center" wrapText="1" shrinkToFit="1"/>
    </xf>
    <xf numFmtId="49" fontId="9" fillId="0" borderId="8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left" vertical="center"/>
    </xf>
    <xf numFmtId="49" fontId="16" fillId="0" borderId="5" xfId="0" applyNumberFormat="1" applyFont="1" applyFill="1" applyBorder="1" applyAlignment="1">
      <alignment horizontal="center" vertical="center" wrapText="1" shrinkToFit="1"/>
    </xf>
    <xf numFmtId="14" fontId="16" fillId="0" borderId="1" xfId="0" applyNumberFormat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>
      <alignment horizontal="center" vertical="center" wrapText="1" shrinkToFit="1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3" fillId="0" borderId="0" xfId="0" applyFont="1" applyFill="1"/>
    <xf numFmtId="0" fontId="6" fillId="0" borderId="8" xfId="0" applyFont="1" applyFill="1" applyBorder="1" applyAlignment="1">
      <alignment horizontal="center"/>
    </xf>
    <xf numFmtId="0" fontId="0" fillId="0" borderId="1" xfId="0" applyFill="1" applyBorder="1"/>
    <xf numFmtId="14" fontId="9" fillId="0" borderId="13" xfId="0" applyNumberFormat="1" applyFont="1" applyFill="1" applyBorder="1" applyAlignment="1">
      <alignment horizontal="center" vertical="center" wrapText="1" shrinkToFit="1"/>
    </xf>
    <xf numFmtId="0" fontId="15" fillId="0" borderId="8" xfId="0" applyFont="1" applyFill="1" applyBorder="1" applyAlignment="1">
      <alignment horizontal="center" vertical="center"/>
    </xf>
    <xf numFmtId="14" fontId="0" fillId="0" borderId="1" xfId="0" applyNumberFormat="1" applyFill="1" applyBorder="1"/>
    <xf numFmtId="0" fontId="6" fillId="0" borderId="0" xfId="0" applyFont="1" applyFill="1"/>
    <xf numFmtId="0" fontId="6" fillId="0" borderId="0" xfId="0" applyFont="1" applyFill="1" applyAlignment="1">
      <alignment horizontal="right"/>
    </xf>
    <xf numFmtId="0" fontId="15" fillId="0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wrapText="1" shrinkToFit="1"/>
    </xf>
    <xf numFmtId="0" fontId="16" fillId="0" borderId="13" xfId="0" applyNumberFormat="1" applyFont="1" applyFill="1" applyBorder="1" applyAlignment="1">
      <alignment horizontal="center" vertical="center" wrapText="1" shrinkToFit="1"/>
    </xf>
    <xf numFmtId="0" fontId="16" fillId="0" borderId="8" xfId="0" applyNumberFormat="1" applyFont="1" applyFill="1" applyBorder="1" applyAlignment="1">
      <alignment horizontal="center" vertical="center" wrapText="1" shrinkToFit="1"/>
    </xf>
    <xf numFmtId="0" fontId="16" fillId="0" borderId="1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 vertical="center" wrapText="1"/>
    </xf>
    <xf numFmtId="49" fontId="16" fillId="0" borderId="8" xfId="0" applyNumberFormat="1" applyFont="1" applyFill="1" applyBorder="1" applyAlignment="1">
      <alignment horizontal="center" vertical="center" wrapText="1" shrinkToFit="1"/>
    </xf>
    <xf numFmtId="14" fontId="16" fillId="0" borderId="8" xfId="0" applyNumberFormat="1" applyFont="1" applyFill="1" applyBorder="1" applyAlignment="1">
      <alignment horizontal="center" vertical="center" wrapText="1"/>
    </xf>
    <xf numFmtId="0" fontId="18" fillId="0" borderId="2" xfId="0" applyFont="1" applyFill="1" applyBorder="1" applyAlignment="1">
      <alignment horizontal="center"/>
    </xf>
    <xf numFmtId="0" fontId="18" fillId="0" borderId="3" xfId="0" applyFont="1" applyFill="1" applyBorder="1"/>
    <xf numFmtId="0" fontId="18" fillId="0" borderId="4" xfId="0" applyFont="1" applyFill="1" applyBorder="1"/>
    <xf numFmtId="164" fontId="18" fillId="0" borderId="4" xfId="0" applyNumberFormat="1" applyFont="1" applyFill="1" applyBorder="1" applyAlignment="1">
      <alignment horizontal="right"/>
    </xf>
    <xf numFmtId="165" fontId="18" fillId="0" borderId="4" xfId="0" applyNumberFormat="1" applyFont="1" applyFill="1" applyBorder="1" applyAlignment="1">
      <alignment horizontal="right"/>
    </xf>
    <xf numFmtId="166" fontId="18" fillId="0" borderId="4" xfId="0" applyNumberFormat="1" applyFont="1" applyFill="1" applyBorder="1" applyAlignment="1">
      <alignment horizontal="right"/>
    </xf>
    <xf numFmtId="0" fontId="20" fillId="0" borderId="4" xfId="0" applyFont="1" applyFill="1" applyBorder="1"/>
    <xf numFmtId="165" fontId="18" fillId="0" borderId="5" xfId="0" applyNumberFormat="1" applyFont="1" applyFill="1" applyBorder="1"/>
    <xf numFmtId="0" fontId="17" fillId="0" borderId="1" xfId="0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17" fillId="0" borderId="8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 vertical="center" wrapText="1" shrinkToFit="1"/>
    </xf>
    <xf numFmtId="0" fontId="18" fillId="0" borderId="8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 vertical="center"/>
    </xf>
    <xf numFmtId="0" fontId="21" fillId="0" borderId="8" xfId="0" applyFont="1" applyFill="1" applyBorder="1"/>
    <xf numFmtId="0" fontId="17" fillId="0" borderId="1" xfId="0" applyFont="1" applyFill="1" applyBorder="1" applyAlignment="1">
      <alignment horizontal="center" vertical="center"/>
    </xf>
    <xf numFmtId="0" fontId="21" fillId="0" borderId="1" xfId="0" applyFont="1" applyFill="1" applyBorder="1"/>
    <xf numFmtId="49" fontId="16" fillId="0" borderId="13" xfId="0" applyNumberFormat="1" applyFont="1" applyFill="1" applyBorder="1" applyAlignment="1">
      <alignment horizontal="center" vertical="center" wrapText="1"/>
    </xf>
    <xf numFmtId="14" fontId="16" fillId="0" borderId="13" xfId="0" applyNumberFormat="1" applyFont="1" applyFill="1" applyBorder="1" applyAlignment="1">
      <alignment horizontal="center" vertical="center" wrapText="1"/>
    </xf>
    <xf numFmtId="0" fontId="16" fillId="0" borderId="13" xfId="0" applyFont="1" applyFill="1" applyBorder="1" applyAlignment="1">
      <alignment horizontal="center" vertical="center" wrapText="1" shrinkToFit="1"/>
    </xf>
    <xf numFmtId="0" fontId="18" fillId="0" borderId="3" xfId="0" applyFont="1" applyFill="1" applyBorder="1" applyAlignment="1">
      <alignment horizontal="left" vertical="center"/>
    </xf>
    <xf numFmtId="0" fontId="18" fillId="0" borderId="4" xfId="0" applyFont="1" applyFill="1" applyBorder="1" applyAlignment="1">
      <alignment horizontal="left" vertical="center"/>
    </xf>
    <xf numFmtId="164" fontId="18" fillId="0" borderId="4" xfId="0" applyNumberFormat="1" applyFont="1" applyFill="1" applyBorder="1" applyAlignment="1">
      <alignment horizontal="right" vertical="center"/>
    </xf>
    <xf numFmtId="165" fontId="18" fillId="0" borderId="4" xfId="0" applyNumberFormat="1" applyFont="1" applyFill="1" applyBorder="1" applyAlignment="1">
      <alignment horizontal="right" vertical="center"/>
    </xf>
    <xf numFmtId="166" fontId="18" fillId="0" borderId="4" xfId="0" applyNumberFormat="1" applyFont="1" applyFill="1" applyBorder="1" applyAlignment="1">
      <alignment horizontal="right" vertical="center"/>
    </xf>
    <xf numFmtId="165" fontId="18" fillId="0" borderId="5" xfId="0" applyNumberFormat="1" applyFont="1" applyFill="1" applyBorder="1" applyAlignment="1">
      <alignment horizontal="right" vertical="center"/>
    </xf>
    <xf numFmtId="0" fontId="18" fillId="0" borderId="0" xfId="0" applyFont="1" applyFill="1"/>
    <xf numFmtId="0" fontId="18" fillId="0" borderId="0" xfId="0" applyFont="1" applyFill="1" applyAlignment="1">
      <alignment horizontal="right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9" fillId="0" borderId="4" xfId="0" applyFont="1" applyFill="1" applyBorder="1"/>
    <xf numFmtId="0" fontId="17" fillId="0" borderId="2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left" vertical="center" wrapText="1"/>
    </xf>
    <xf numFmtId="49" fontId="16" fillId="0" borderId="1" xfId="0" applyNumberFormat="1" applyFont="1" applyFill="1" applyBorder="1" applyAlignment="1">
      <alignment horizontal="center" vertical="center" wrapText="1" shrinkToFit="1"/>
    </xf>
    <xf numFmtId="0" fontId="19" fillId="0" borderId="1" xfId="0" applyFont="1" applyFill="1" applyBorder="1"/>
    <xf numFmtId="0" fontId="16" fillId="0" borderId="8" xfId="0" applyFont="1" applyFill="1" applyBorder="1" applyAlignment="1">
      <alignment horizontal="left" vertical="center" wrapText="1"/>
    </xf>
    <xf numFmtId="0" fontId="16" fillId="0" borderId="8" xfId="0" applyFont="1" applyFill="1" applyBorder="1" applyAlignment="1">
      <alignment horizontal="left" vertical="top" wrapText="1"/>
    </xf>
    <xf numFmtId="0" fontId="18" fillId="0" borderId="6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/>
    </xf>
    <xf numFmtId="164" fontId="18" fillId="0" borderId="7" xfId="0" applyNumberFormat="1" applyFont="1" applyFill="1" applyBorder="1" applyAlignment="1">
      <alignment horizontal="right" vertical="center"/>
    </xf>
    <xf numFmtId="165" fontId="18" fillId="0" borderId="7" xfId="0" applyNumberFormat="1" applyFont="1" applyFill="1" applyBorder="1" applyAlignment="1">
      <alignment horizontal="right" vertical="center"/>
    </xf>
    <xf numFmtId="166" fontId="18" fillId="0" borderId="7" xfId="0" applyNumberFormat="1" applyFont="1" applyFill="1" applyBorder="1" applyAlignment="1">
      <alignment horizontal="right" vertical="center"/>
    </xf>
    <xf numFmtId="165" fontId="18" fillId="0" borderId="11" xfId="0" applyNumberFormat="1" applyFont="1" applyFill="1" applyBorder="1" applyAlignment="1">
      <alignment horizontal="right" vertical="center"/>
    </xf>
    <xf numFmtId="0" fontId="18" fillId="0" borderId="4" xfId="0" applyFont="1" applyFill="1" applyBorder="1" applyAlignment="1">
      <alignment horizontal="right"/>
    </xf>
    <xf numFmtId="0" fontId="18" fillId="0" borderId="5" xfId="0" applyFont="1" applyFill="1" applyBorder="1"/>
    <xf numFmtId="49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wrapText="1"/>
    </xf>
    <xf numFmtId="49" fontId="16" fillId="0" borderId="13" xfId="0" applyNumberFormat="1" applyFont="1" applyFill="1" applyBorder="1" applyAlignment="1">
      <alignment horizontal="center" vertical="center" wrapText="1" shrinkToFit="1"/>
    </xf>
    <xf numFmtId="0" fontId="16" fillId="0" borderId="1" xfId="0" applyFont="1" applyFill="1" applyBorder="1" applyAlignment="1">
      <alignment horizontal="center" vertical="center"/>
    </xf>
    <xf numFmtId="14" fontId="21" fillId="0" borderId="1" xfId="0" applyNumberFormat="1" applyFont="1" applyFill="1" applyBorder="1"/>
    <xf numFmtId="0" fontId="18" fillId="0" borderId="2" xfId="0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center"/>
    </xf>
    <xf numFmtId="164" fontId="6" fillId="0" borderId="0" xfId="0" applyNumberFormat="1" applyFont="1" applyFill="1" applyBorder="1" applyAlignment="1">
      <alignment horizontal="right" vertical="center"/>
    </xf>
    <xf numFmtId="165" fontId="6" fillId="0" borderId="0" xfId="0" applyNumberFormat="1" applyFont="1" applyFill="1" applyBorder="1" applyAlignment="1">
      <alignment horizontal="right" vertical="center"/>
    </xf>
    <xf numFmtId="166" fontId="6" fillId="0" borderId="0" xfId="0" applyNumberFormat="1" applyFont="1" applyFill="1" applyBorder="1" applyAlignment="1">
      <alignment horizontal="right" vertical="center"/>
    </xf>
    <xf numFmtId="49" fontId="19" fillId="0" borderId="1" xfId="0" applyNumberFormat="1" applyFont="1" applyFill="1" applyBorder="1"/>
    <xf numFmtId="14" fontId="19" fillId="0" borderId="1" xfId="0" applyNumberFormat="1" applyFont="1" applyFill="1" applyBorder="1"/>
    <xf numFmtId="0" fontId="19" fillId="0" borderId="1" xfId="0" applyFont="1" applyFill="1" applyBorder="1" applyAlignment="1">
      <alignment horizontal="right"/>
    </xf>
    <xf numFmtId="14" fontId="21" fillId="0" borderId="8" xfId="0" applyNumberFormat="1" applyFont="1" applyFill="1" applyBorder="1"/>
    <xf numFmtId="49" fontId="16" fillId="0" borderId="8" xfId="0" applyNumberFormat="1" applyFont="1" applyFill="1" applyBorder="1" applyAlignment="1">
      <alignment horizontal="center" vertical="center" wrapText="1"/>
    </xf>
    <xf numFmtId="14" fontId="16" fillId="0" borderId="8" xfId="0" applyNumberFormat="1" applyFont="1" applyFill="1" applyBorder="1" applyAlignment="1">
      <alignment horizontal="center" vertical="center" wrapText="1" shrinkToFit="1"/>
    </xf>
    <xf numFmtId="0" fontId="16" fillId="0" borderId="8" xfId="0" applyNumberFormat="1" applyFont="1" applyFill="1" applyBorder="1" applyAlignment="1">
      <alignment horizontal="center" vertical="center" wrapText="1"/>
    </xf>
    <xf numFmtId="0" fontId="0" fillId="0" borderId="0" xfId="0" applyBorder="1"/>
    <xf numFmtId="49" fontId="16" fillId="0" borderId="1" xfId="0" applyNumberFormat="1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horizontal="left" vertical="center"/>
    </xf>
    <xf numFmtId="164" fontId="6" fillId="0" borderId="7" xfId="0" applyNumberFormat="1" applyFont="1" applyFill="1" applyBorder="1" applyAlignment="1">
      <alignment horizontal="right" vertical="center"/>
    </xf>
    <xf numFmtId="165" fontId="6" fillId="0" borderId="7" xfId="0" applyNumberFormat="1" applyFont="1" applyFill="1" applyBorder="1" applyAlignment="1">
      <alignment horizontal="right" vertical="center"/>
    </xf>
    <xf numFmtId="166" fontId="6" fillId="0" borderId="7" xfId="0" applyNumberFormat="1" applyFont="1" applyFill="1" applyBorder="1" applyAlignment="1">
      <alignment horizontal="right" vertical="center"/>
    </xf>
    <xf numFmtId="165" fontId="6" fillId="0" borderId="11" xfId="0" applyNumberFormat="1" applyFont="1" applyFill="1" applyBorder="1" applyAlignment="1">
      <alignment horizontal="right" vertical="center"/>
    </xf>
    <xf numFmtId="0" fontId="6" fillId="0" borderId="7" xfId="0" applyFont="1" applyFill="1" applyBorder="1"/>
    <xf numFmtId="164" fontId="6" fillId="0" borderId="7" xfId="0" applyNumberFormat="1" applyFont="1" applyFill="1" applyBorder="1" applyAlignment="1">
      <alignment horizontal="right"/>
    </xf>
    <xf numFmtId="165" fontId="6" fillId="0" borderId="7" xfId="0" applyNumberFormat="1" applyFont="1" applyFill="1" applyBorder="1" applyAlignment="1">
      <alignment horizontal="right"/>
    </xf>
    <xf numFmtId="166" fontId="6" fillId="0" borderId="7" xfId="0" applyNumberFormat="1" applyFont="1" applyFill="1" applyBorder="1" applyAlignment="1">
      <alignment horizontal="right"/>
    </xf>
    <xf numFmtId="0" fontId="3" fillId="0" borderId="7" xfId="0" applyFont="1" applyFill="1" applyBorder="1"/>
    <xf numFmtId="165" fontId="6" fillId="0" borderId="11" xfId="0" applyNumberFormat="1" applyFont="1" applyFill="1" applyBorder="1"/>
    <xf numFmtId="49" fontId="8" fillId="0" borderId="1" xfId="0" applyNumberFormat="1" applyFont="1" applyFill="1" applyBorder="1" applyAlignment="1">
      <alignment horizontal="center" vertical="center" wrapText="1" shrinkToFi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 shrinkToFit="1"/>
    </xf>
    <xf numFmtId="49" fontId="0" fillId="0" borderId="1" xfId="0" applyNumberFormat="1" applyFill="1" applyBorder="1" applyAlignment="1">
      <alignment horizontal="center" vertical="center" wrapText="1" shrinkToFit="1"/>
    </xf>
    <xf numFmtId="14" fontId="9" fillId="0" borderId="8" xfId="0" applyNumberFormat="1" applyFont="1" applyFill="1" applyBorder="1" applyAlignment="1">
      <alignment horizontal="center" vertical="center" wrapTex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10" fillId="0" borderId="9" xfId="0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49" fontId="6" fillId="0" borderId="8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3" xfId="0" applyNumberFormat="1" applyFont="1" applyFill="1" applyBorder="1" applyAlignment="1">
      <alignment horizontal="center" vertical="center"/>
    </xf>
    <xf numFmtId="49" fontId="6" fillId="0" borderId="5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49" fontId="6" fillId="4" borderId="1" xfId="0" applyNumberFormat="1" applyFont="1" applyFill="1" applyBorder="1" applyAlignment="1">
      <alignment horizontal="center" vertical="center" wrapText="1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6" fillId="4" borderId="5" xfId="0" applyNumberFormat="1" applyFont="1" applyFill="1" applyBorder="1" applyAlignment="1">
      <alignment horizontal="center" vertical="center"/>
    </xf>
    <xf numFmtId="49" fontId="6" fillId="4" borderId="8" xfId="0" applyNumberFormat="1" applyFont="1" applyFill="1" applyBorder="1" applyAlignment="1">
      <alignment horizontal="center" vertical="center" wrapText="1"/>
    </xf>
    <xf numFmtId="49" fontId="6" fillId="4" borderId="2" xfId="0" applyNumberFormat="1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/>
    </xf>
  </cellXfs>
  <cellStyles count="1">
    <cellStyle name="Обычный" xfId="0" builtinId="0"/>
  </cellStyles>
  <dxfs count="15"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harset val="204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FF5F51-900D-4DE1-AC88-5A594CADDFCE}" name="Таблица2" displayName="Таблица2" ref="A2:I303" totalsRowShown="0" headerRowDxfId="14" dataDxfId="12" headerRowBorderDxfId="13" tableBorderDxfId="11">
  <autoFilter ref="A2:I303" xr:uid="{706EF4E5-8C70-4D3E-BBBC-9800AAA6C39A}"/>
  <tableColumns count="9">
    <tableColumn id="1" xr3:uid="{EA1E1B4B-9A26-4EB3-B51B-84AEFF233EF5}" name="Выборка/Наименование" dataDxfId="10"/>
    <tableColumn id="2" xr3:uid="{D9ABFFA8-8AFA-4BF2-88EF-F501A1749921}" name="/Партии" dataDxfId="9"/>
    <tableColumn id="3" xr3:uid="{931A0C37-FA8C-45DC-AEAA-62BA7D397266}" name="/Дата" dataDxfId="8"/>
    <tableColumn id="4" xr3:uid="{239C2BCB-D81C-4AAE-A75B-7B6016DA9090}" name="/Кол-во" dataDxfId="7"/>
    <tableColumn id="5" xr3:uid="{205DF198-B67E-4EB8-BC84-11680164FDA3}" name="/Вх.контроль" dataDxfId="6"/>
    <tableColumn id="9" xr3:uid="{0DCF45F5-7294-4B46-B758-A3E70CF35F62}" name="Причина/вх" dataDxfId="5"/>
    <tableColumn id="6" xr3:uid="{2D8E564A-A0B8-45DA-B638-FAB72CC0B39A}" name="/Отбраковка" dataDxfId="4"/>
    <tableColumn id="10" xr3:uid="{F938144E-EADD-4C9C-A468-DA68E8933979}" name="Причина/отб" dataDxfId="3"/>
    <tableColumn id="7" xr3:uid="{C641D73E-A6F8-4F0E-88CF-E6DE043C44CA}" name="/Кол-во,отб-ки" dataDxfId="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EA1D25-F1D3-40CA-AF18-13F9FB1BD49B}" name="Вид" displayName="Вид" ref="A1:B34" totalsRowShown="0" headerRowDxfId="1">
  <autoFilter ref="A1:B34" xr:uid="{3B847936-9E41-4848-889F-1A28276FF736}"/>
  <sortState xmlns:xlrd2="http://schemas.microsoft.com/office/spreadsheetml/2017/richdata2" ref="A2:A7">
    <sortCondition ref="A1:A7"/>
  </sortState>
  <tableColumns count="2">
    <tableColumn id="1" xr3:uid="{2C862E00-383B-4DF9-BA89-D357D6107182}" name="Наименование"/>
    <tableColumn id="3" xr3:uid="{FFDED820-E247-4B34-9DCD-60DEECCF60B3}" name="ID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2A0D-EE2D-4A70-B58F-87BD645346C9}">
  <sheetPr codeName="Лист1">
    <pageSetUpPr fitToPage="1"/>
  </sheetPr>
  <dimension ref="A1:K342"/>
  <sheetViews>
    <sheetView tabSelected="1" zoomScaleNormal="100"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44" style="73" customWidth="1"/>
    <col min="2" max="2" width="13.5703125" style="70" customWidth="1"/>
    <col min="3" max="3" width="17.7109375" style="53" customWidth="1"/>
    <col min="4" max="4" width="12.85546875" style="50" customWidth="1"/>
    <col min="5" max="5" width="16.5703125" style="55" customWidth="1"/>
    <col min="6" max="6" width="16.5703125" style="70" customWidth="1"/>
    <col min="7" max="7" width="17.140625" style="55" customWidth="1"/>
    <col min="8" max="8" width="14.7109375" style="55" customWidth="1"/>
    <col min="9" max="9" width="17.5703125" style="62" customWidth="1"/>
    <col min="10" max="10" width="20.42578125" customWidth="1"/>
    <col min="11" max="11" width="22.28515625" customWidth="1"/>
  </cols>
  <sheetData>
    <row r="1" spans="1:11" x14ac:dyDescent="0.25">
      <c r="A1" s="249" t="s">
        <v>26</v>
      </c>
      <c r="B1" s="250"/>
      <c r="C1" s="250"/>
      <c r="D1" s="251"/>
      <c r="E1" s="66" t="s">
        <v>27</v>
      </c>
      <c r="F1" s="71"/>
      <c r="G1" s="63"/>
      <c r="H1" s="63"/>
      <c r="I1" s="64"/>
      <c r="J1" s="247"/>
      <c r="K1" s="248"/>
    </row>
    <row r="2" spans="1:11" x14ac:dyDescent="0.25">
      <c r="A2" s="45" t="s">
        <v>98</v>
      </c>
      <c r="B2" s="68" t="s">
        <v>101</v>
      </c>
      <c r="C2" s="51" t="s">
        <v>99</v>
      </c>
      <c r="D2" s="48" t="s">
        <v>100</v>
      </c>
      <c r="E2" s="46" t="s">
        <v>102</v>
      </c>
      <c r="F2" s="72" t="s">
        <v>107</v>
      </c>
      <c r="G2" s="46" t="s">
        <v>103</v>
      </c>
      <c r="H2" s="46" t="s">
        <v>106</v>
      </c>
      <c r="I2" s="36" t="s">
        <v>104</v>
      </c>
      <c r="J2" s="247"/>
      <c r="K2" s="248"/>
    </row>
    <row r="3" spans="1:11" ht="45" x14ac:dyDescent="0.25">
      <c r="A3" s="82"/>
      <c r="B3" s="242" t="s">
        <v>24</v>
      </c>
      <c r="C3" s="243" t="s">
        <v>25</v>
      </c>
      <c r="D3" s="244" t="s">
        <v>108</v>
      </c>
      <c r="E3" s="243" t="s">
        <v>29</v>
      </c>
      <c r="F3" s="242" t="s">
        <v>105</v>
      </c>
      <c r="G3" s="243" t="s">
        <v>28</v>
      </c>
      <c r="H3" s="243" t="s">
        <v>105</v>
      </c>
      <c r="I3" s="98" t="s">
        <v>30</v>
      </c>
      <c r="J3" s="247"/>
      <c r="K3" s="248"/>
    </row>
    <row r="4" spans="1:11" s="67" customFormat="1" x14ac:dyDescent="0.25">
      <c r="A4" s="121" t="s">
        <v>51</v>
      </c>
      <c r="B4" s="83">
        <v>5</v>
      </c>
      <c r="C4" s="84">
        <v>43839</v>
      </c>
      <c r="D4" s="85">
        <v>5500</v>
      </c>
      <c r="E4" s="86"/>
      <c r="F4" s="86"/>
      <c r="G4" s="86"/>
      <c r="H4" s="86"/>
      <c r="I4" s="98"/>
    </row>
    <row r="5" spans="1:11" s="67" customFormat="1" x14ac:dyDescent="0.25">
      <c r="A5" s="82" t="s">
        <v>70</v>
      </c>
      <c r="B5" s="83">
        <v>57</v>
      </c>
      <c r="C5" s="84">
        <v>43845</v>
      </c>
      <c r="D5" s="85">
        <v>2016</v>
      </c>
      <c r="E5" s="86"/>
      <c r="F5" s="86"/>
      <c r="G5" s="86"/>
      <c r="H5" s="86"/>
      <c r="I5" s="98"/>
    </row>
    <row r="6" spans="1:11" s="67" customFormat="1" x14ac:dyDescent="0.25">
      <c r="A6" s="82" t="s">
        <v>53</v>
      </c>
      <c r="B6" s="83" t="s">
        <v>118</v>
      </c>
      <c r="C6" s="84">
        <v>43845</v>
      </c>
      <c r="D6" s="85">
        <v>3722</v>
      </c>
      <c r="E6" s="86"/>
      <c r="F6" s="86"/>
      <c r="G6" s="86"/>
      <c r="H6" s="86"/>
      <c r="I6" s="98"/>
    </row>
    <row r="7" spans="1:11" s="67" customFormat="1" ht="45" x14ac:dyDescent="0.25">
      <c r="A7" s="82" t="s">
        <v>34</v>
      </c>
      <c r="B7" s="83" t="s">
        <v>119</v>
      </c>
      <c r="C7" s="84">
        <v>43847</v>
      </c>
      <c r="D7" s="85">
        <v>10000</v>
      </c>
      <c r="E7" s="86" t="s">
        <v>120</v>
      </c>
      <c r="F7" s="83" t="s">
        <v>127</v>
      </c>
      <c r="G7" s="83"/>
      <c r="H7" s="86"/>
      <c r="I7" s="98"/>
    </row>
    <row r="8" spans="1:11" s="67" customFormat="1" ht="90" x14ac:dyDescent="0.25">
      <c r="A8" s="82" t="s">
        <v>131</v>
      </c>
      <c r="B8" s="83" t="s">
        <v>121</v>
      </c>
      <c r="C8" s="84">
        <v>43850</v>
      </c>
      <c r="D8" s="85">
        <v>20000</v>
      </c>
      <c r="E8" s="86" t="s">
        <v>122</v>
      </c>
      <c r="F8" s="83" t="s">
        <v>128</v>
      </c>
      <c r="G8" s="86"/>
      <c r="H8" s="86"/>
      <c r="I8" s="98"/>
    </row>
    <row r="9" spans="1:11" s="67" customFormat="1" x14ac:dyDescent="0.25">
      <c r="A9" s="82" t="s">
        <v>58</v>
      </c>
      <c r="B9" s="83" t="s">
        <v>123</v>
      </c>
      <c r="C9" s="84">
        <v>43860</v>
      </c>
      <c r="D9" s="85">
        <v>2954</v>
      </c>
      <c r="E9" s="86"/>
      <c r="F9" s="83"/>
      <c r="G9" s="86"/>
      <c r="H9" s="86"/>
      <c r="I9" s="98"/>
    </row>
    <row r="10" spans="1:11" s="67" customFormat="1" ht="60" x14ac:dyDescent="0.25">
      <c r="A10" s="82" t="s">
        <v>34</v>
      </c>
      <c r="B10" s="83" t="s">
        <v>125</v>
      </c>
      <c r="C10" s="84">
        <v>43860</v>
      </c>
      <c r="D10" s="85">
        <v>9894</v>
      </c>
      <c r="E10" s="86" t="s">
        <v>124</v>
      </c>
      <c r="F10" s="83" t="s">
        <v>129</v>
      </c>
      <c r="G10" s="86"/>
      <c r="H10" s="86"/>
      <c r="I10" s="98"/>
    </row>
    <row r="11" spans="1:11" s="67" customFormat="1" x14ac:dyDescent="0.25">
      <c r="A11" s="82" t="s">
        <v>66</v>
      </c>
      <c r="B11" s="123" t="s">
        <v>196</v>
      </c>
      <c r="C11" s="84">
        <v>43864</v>
      </c>
      <c r="D11" s="124">
        <v>17944</v>
      </c>
      <c r="E11" s="86"/>
      <c r="F11" s="83"/>
      <c r="G11" s="86"/>
      <c r="H11" s="86"/>
      <c r="I11" s="98"/>
    </row>
    <row r="12" spans="1:11" s="67" customFormat="1" x14ac:dyDescent="0.25">
      <c r="A12" s="82" t="s">
        <v>57</v>
      </c>
      <c r="B12" s="123" t="s">
        <v>231</v>
      </c>
      <c r="C12" s="84">
        <v>43865</v>
      </c>
      <c r="D12" s="124">
        <v>270</v>
      </c>
      <c r="E12" s="86"/>
      <c r="F12" s="83"/>
      <c r="G12" s="86"/>
      <c r="H12" s="86"/>
      <c r="I12" s="98"/>
    </row>
    <row r="13" spans="1:11" s="67" customFormat="1" x14ac:dyDescent="0.25">
      <c r="A13" s="121" t="s">
        <v>51</v>
      </c>
      <c r="B13" s="83" t="s">
        <v>231</v>
      </c>
      <c r="C13" s="84">
        <v>43866</v>
      </c>
      <c r="D13" s="85">
        <v>7000</v>
      </c>
      <c r="E13" s="86"/>
      <c r="F13" s="83"/>
      <c r="G13" s="86"/>
      <c r="H13" s="86"/>
      <c r="I13" s="98"/>
    </row>
    <row r="14" spans="1:11" s="67" customFormat="1" ht="60" x14ac:dyDescent="0.25">
      <c r="A14" s="82" t="s">
        <v>34</v>
      </c>
      <c r="B14" s="83" t="s">
        <v>135</v>
      </c>
      <c r="C14" s="84">
        <v>43867</v>
      </c>
      <c r="D14" s="85">
        <v>9898</v>
      </c>
      <c r="E14" s="86" t="s">
        <v>150</v>
      </c>
      <c r="F14" s="83" t="s">
        <v>129</v>
      </c>
      <c r="G14" s="86"/>
      <c r="H14" s="86"/>
      <c r="I14" s="98"/>
    </row>
    <row r="15" spans="1:11" s="67" customFormat="1" ht="30" x14ac:dyDescent="0.25">
      <c r="A15" s="82" t="s">
        <v>53</v>
      </c>
      <c r="B15" s="83" t="s">
        <v>136</v>
      </c>
      <c r="C15" s="84">
        <v>43872</v>
      </c>
      <c r="D15" s="85">
        <v>13761</v>
      </c>
      <c r="E15" s="86"/>
      <c r="F15" s="83"/>
      <c r="G15" s="86"/>
      <c r="H15" s="86"/>
      <c r="I15" s="98"/>
    </row>
    <row r="16" spans="1:11" s="67" customFormat="1" x14ac:dyDescent="0.25">
      <c r="A16" s="98" t="s">
        <v>70</v>
      </c>
      <c r="B16" s="83" t="s">
        <v>137</v>
      </c>
      <c r="C16" s="84">
        <v>43873</v>
      </c>
      <c r="D16" s="85">
        <v>2034</v>
      </c>
      <c r="E16" s="86"/>
      <c r="F16" s="83"/>
      <c r="G16" s="86"/>
      <c r="H16" s="86"/>
      <c r="I16" s="98"/>
    </row>
    <row r="17" spans="1:9" s="67" customFormat="1" x14ac:dyDescent="0.25">
      <c r="A17" s="98" t="s">
        <v>51</v>
      </c>
      <c r="B17" s="83" t="s">
        <v>138</v>
      </c>
      <c r="C17" s="84">
        <v>43873</v>
      </c>
      <c r="D17" s="85">
        <v>1500</v>
      </c>
      <c r="E17" s="86"/>
      <c r="F17" s="83"/>
      <c r="G17" s="86"/>
      <c r="H17" s="86"/>
      <c r="I17" s="98"/>
    </row>
    <row r="18" spans="1:9" s="67" customFormat="1" x14ac:dyDescent="0.25">
      <c r="A18" s="98" t="s">
        <v>66</v>
      </c>
      <c r="B18" s="83" t="s">
        <v>121</v>
      </c>
      <c r="C18" s="84">
        <v>43875</v>
      </c>
      <c r="D18" s="85">
        <v>18115</v>
      </c>
      <c r="E18" s="86"/>
      <c r="F18" s="83"/>
      <c r="G18" s="86"/>
      <c r="H18" s="86"/>
      <c r="I18" s="98"/>
    </row>
    <row r="19" spans="1:9" s="67" customFormat="1" x14ac:dyDescent="0.25">
      <c r="A19" s="98" t="s">
        <v>58</v>
      </c>
      <c r="B19" s="83" t="s">
        <v>139</v>
      </c>
      <c r="C19" s="84">
        <v>43875</v>
      </c>
      <c r="D19" s="85">
        <v>237</v>
      </c>
      <c r="E19" s="86"/>
      <c r="F19" s="83"/>
      <c r="G19" s="86"/>
      <c r="H19" s="86"/>
      <c r="I19" s="98"/>
    </row>
    <row r="20" spans="1:9" s="67" customFormat="1" ht="30" x14ac:dyDescent="0.25">
      <c r="A20" s="98" t="s">
        <v>55</v>
      </c>
      <c r="B20" s="83" t="s">
        <v>140</v>
      </c>
      <c r="C20" s="84">
        <v>43875</v>
      </c>
      <c r="D20" s="85">
        <v>1888</v>
      </c>
      <c r="E20" s="86"/>
      <c r="F20" s="83"/>
      <c r="G20" s="86"/>
      <c r="H20" s="86"/>
      <c r="I20" s="98"/>
    </row>
    <row r="21" spans="1:9" s="67" customFormat="1" ht="60" x14ac:dyDescent="0.25">
      <c r="A21" s="98" t="s">
        <v>34</v>
      </c>
      <c r="B21" s="83" t="s">
        <v>141</v>
      </c>
      <c r="C21" s="84">
        <v>43875</v>
      </c>
      <c r="D21" s="85">
        <v>9910</v>
      </c>
      <c r="E21" s="86" t="s">
        <v>154</v>
      </c>
      <c r="F21" s="83" t="s">
        <v>129</v>
      </c>
      <c r="G21" s="86"/>
      <c r="H21" s="86"/>
      <c r="I21" s="98"/>
    </row>
    <row r="22" spans="1:9" s="67" customFormat="1" x14ac:dyDescent="0.25">
      <c r="A22" s="98" t="s">
        <v>31</v>
      </c>
      <c r="B22" s="83" t="s">
        <v>142</v>
      </c>
      <c r="C22" s="84">
        <v>43879</v>
      </c>
      <c r="D22" s="85">
        <v>2037</v>
      </c>
      <c r="E22" s="86"/>
      <c r="F22" s="83"/>
      <c r="G22" s="86"/>
      <c r="H22" s="86"/>
      <c r="I22" s="98"/>
    </row>
    <row r="23" spans="1:9" s="67" customFormat="1" x14ac:dyDescent="0.25">
      <c r="A23" s="98" t="s">
        <v>66</v>
      </c>
      <c r="B23" s="83" t="s">
        <v>143</v>
      </c>
      <c r="C23" s="84">
        <v>43880</v>
      </c>
      <c r="D23" s="85">
        <v>18150</v>
      </c>
      <c r="E23" s="86"/>
      <c r="F23" s="83"/>
      <c r="G23" s="86"/>
      <c r="H23" s="86"/>
      <c r="I23" s="98"/>
    </row>
    <row r="24" spans="1:9" s="67" customFormat="1" x14ac:dyDescent="0.25">
      <c r="A24" s="98" t="s">
        <v>60</v>
      </c>
      <c r="B24" s="83" t="s">
        <v>144</v>
      </c>
      <c r="C24" s="84">
        <v>43880</v>
      </c>
      <c r="D24" s="85">
        <v>3000</v>
      </c>
      <c r="E24" s="86"/>
      <c r="F24" s="83"/>
      <c r="G24" s="86"/>
      <c r="H24" s="86"/>
      <c r="I24" s="98"/>
    </row>
    <row r="25" spans="1:9" s="67" customFormat="1" ht="60" x14ac:dyDescent="0.25">
      <c r="A25" s="98" t="s">
        <v>34</v>
      </c>
      <c r="B25" s="83" t="s">
        <v>145</v>
      </c>
      <c r="C25" s="84">
        <v>43880</v>
      </c>
      <c r="D25" s="85">
        <v>9900</v>
      </c>
      <c r="E25" s="86" t="s">
        <v>155</v>
      </c>
      <c r="F25" s="83" t="s">
        <v>129</v>
      </c>
      <c r="G25" s="86"/>
      <c r="H25" s="86"/>
      <c r="I25" s="98"/>
    </row>
    <row r="26" spans="1:9" s="67" customFormat="1" x14ac:dyDescent="0.25">
      <c r="A26" s="98" t="s">
        <v>53</v>
      </c>
      <c r="B26" s="83" t="s">
        <v>146</v>
      </c>
      <c r="C26" s="84">
        <v>43881</v>
      </c>
      <c r="D26" s="85">
        <v>1000</v>
      </c>
      <c r="E26" s="86"/>
      <c r="F26" s="83"/>
      <c r="G26" s="86"/>
      <c r="H26" s="86"/>
      <c r="I26" s="98"/>
    </row>
    <row r="27" spans="1:9" s="67" customFormat="1" ht="45" x14ac:dyDescent="0.25">
      <c r="A27" s="98" t="s">
        <v>131</v>
      </c>
      <c r="B27" s="83" t="s">
        <v>147</v>
      </c>
      <c r="C27" s="84">
        <v>43882</v>
      </c>
      <c r="D27" s="85">
        <v>20000</v>
      </c>
      <c r="E27" s="86" t="s">
        <v>156</v>
      </c>
      <c r="F27" s="83" t="s">
        <v>157</v>
      </c>
      <c r="G27" s="86"/>
      <c r="H27" s="86"/>
      <c r="I27" s="98"/>
    </row>
    <row r="28" spans="1:9" s="67" customFormat="1" x14ac:dyDescent="0.25">
      <c r="A28" s="117" t="s">
        <v>70</v>
      </c>
      <c r="B28" s="118" t="s">
        <v>148</v>
      </c>
      <c r="C28" s="119">
        <v>43882</v>
      </c>
      <c r="D28" s="120">
        <v>2016</v>
      </c>
      <c r="E28" s="126"/>
      <c r="F28" s="118"/>
      <c r="G28" s="126"/>
      <c r="H28" s="126"/>
      <c r="I28" s="117"/>
    </row>
    <row r="29" spans="1:9" s="67" customFormat="1" x14ac:dyDescent="0.25">
      <c r="A29" s="117" t="s">
        <v>66</v>
      </c>
      <c r="B29" s="118" t="s">
        <v>149</v>
      </c>
      <c r="C29" s="119">
        <v>43887</v>
      </c>
      <c r="D29" s="120">
        <v>19500</v>
      </c>
      <c r="E29" s="126"/>
      <c r="F29" s="118"/>
      <c r="G29" s="126"/>
      <c r="H29" s="126"/>
      <c r="I29" s="117"/>
    </row>
    <row r="30" spans="1:9" s="67" customFormat="1" ht="45" x14ac:dyDescent="0.25">
      <c r="A30" s="117" t="s">
        <v>34</v>
      </c>
      <c r="B30" s="118" t="s">
        <v>151</v>
      </c>
      <c r="C30" s="119">
        <v>43873</v>
      </c>
      <c r="D30" s="120">
        <v>9900</v>
      </c>
      <c r="E30" s="126" t="s">
        <v>228</v>
      </c>
      <c r="F30" s="118" t="s">
        <v>153</v>
      </c>
      <c r="G30" s="126"/>
      <c r="H30" s="126"/>
      <c r="I30" s="117"/>
    </row>
    <row r="31" spans="1:9" s="67" customFormat="1" ht="60" x14ac:dyDescent="0.25">
      <c r="A31" s="117" t="s">
        <v>34</v>
      </c>
      <c r="B31" s="118" t="s">
        <v>158</v>
      </c>
      <c r="C31" s="119">
        <v>43888</v>
      </c>
      <c r="D31" s="120">
        <v>10248</v>
      </c>
      <c r="E31" s="126" t="s">
        <v>159</v>
      </c>
      <c r="F31" s="118" t="s">
        <v>129</v>
      </c>
      <c r="G31" s="126"/>
      <c r="H31" s="126"/>
      <c r="I31" s="117"/>
    </row>
    <row r="32" spans="1:9" s="67" customFormat="1" x14ac:dyDescent="0.25">
      <c r="A32" s="117" t="s">
        <v>66</v>
      </c>
      <c r="B32" s="118" t="s">
        <v>160</v>
      </c>
      <c r="C32" s="119">
        <v>43889</v>
      </c>
      <c r="D32" s="120">
        <v>18079</v>
      </c>
      <c r="E32" s="126"/>
      <c r="F32" s="118"/>
      <c r="G32" s="126"/>
      <c r="H32" s="126"/>
      <c r="I32" s="117"/>
    </row>
    <row r="33" spans="1:9" s="67" customFormat="1" x14ac:dyDescent="0.25">
      <c r="A33" s="117" t="s">
        <v>67</v>
      </c>
      <c r="B33" s="118" t="s">
        <v>161</v>
      </c>
      <c r="C33" s="119">
        <v>43896</v>
      </c>
      <c r="D33" s="120">
        <v>19500</v>
      </c>
      <c r="E33" s="126"/>
      <c r="F33" s="83"/>
      <c r="G33" s="126"/>
      <c r="H33" s="126"/>
      <c r="I33" s="117"/>
    </row>
    <row r="34" spans="1:9" s="67" customFormat="1" ht="45" x14ac:dyDescent="0.25">
      <c r="A34" s="121" t="s">
        <v>34</v>
      </c>
      <c r="B34" s="123" t="s">
        <v>193</v>
      </c>
      <c r="C34" s="84">
        <v>43896</v>
      </c>
      <c r="D34" s="124">
        <v>4056</v>
      </c>
      <c r="E34" s="86" t="s">
        <v>195</v>
      </c>
      <c r="F34" s="118" t="s">
        <v>153</v>
      </c>
      <c r="G34" s="86"/>
      <c r="H34" s="86"/>
      <c r="I34" s="98"/>
    </row>
    <row r="35" spans="1:9" s="67" customFormat="1" ht="45" x14ac:dyDescent="0.25">
      <c r="A35" s="121" t="s">
        <v>34</v>
      </c>
      <c r="B35" s="123" t="s">
        <v>194</v>
      </c>
      <c r="C35" s="84">
        <v>43897</v>
      </c>
      <c r="D35" s="124">
        <v>5850</v>
      </c>
      <c r="E35" s="86" t="s">
        <v>195</v>
      </c>
      <c r="F35" s="118" t="s">
        <v>153</v>
      </c>
      <c r="G35" s="86"/>
      <c r="H35" s="86"/>
      <c r="I35" s="98"/>
    </row>
    <row r="36" spans="1:9" s="67" customFormat="1" x14ac:dyDescent="0.25">
      <c r="A36" s="117" t="s">
        <v>53</v>
      </c>
      <c r="B36" s="118" t="s">
        <v>162</v>
      </c>
      <c r="C36" s="119">
        <v>43900</v>
      </c>
      <c r="D36" s="120">
        <v>5035</v>
      </c>
      <c r="E36" s="126"/>
      <c r="F36" s="118"/>
      <c r="G36" s="126"/>
      <c r="H36" s="126"/>
      <c r="I36" s="117"/>
    </row>
    <row r="37" spans="1:9" s="67" customFormat="1" x14ac:dyDescent="0.25">
      <c r="A37" s="117" t="s">
        <v>51</v>
      </c>
      <c r="B37" s="118" t="s">
        <v>163</v>
      </c>
      <c r="C37" s="119">
        <v>43901</v>
      </c>
      <c r="D37" s="120">
        <v>6000</v>
      </c>
      <c r="E37" s="126"/>
      <c r="F37" s="83"/>
      <c r="G37" s="126"/>
      <c r="H37" s="126"/>
      <c r="I37" s="117"/>
    </row>
    <row r="38" spans="1:9" s="67" customFormat="1" ht="45" x14ac:dyDescent="0.25">
      <c r="A38" s="117" t="s">
        <v>131</v>
      </c>
      <c r="B38" s="118" t="s">
        <v>164</v>
      </c>
      <c r="C38" s="119">
        <v>43906</v>
      </c>
      <c r="D38" s="125">
        <v>20000</v>
      </c>
      <c r="E38" s="126" t="s">
        <v>226</v>
      </c>
      <c r="F38" s="83" t="s">
        <v>157</v>
      </c>
      <c r="G38" s="126"/>
      <c r="H38" s="126"/>
      <c r="I38" s="117"/>
    </row>
    <row r="39" spans="1:9" s="67" customFormat="1" x14ac:dyDescent="0.25">
      <c r="A39" s="117" t="s">
        <v>66</v>
      </c>
      <c r="B39" s="83" t="s">
        <v>165</v>
      </c>
      <c r="C39" s="84">
        <v>43906</v>
      </c>
      <c r="D39" s="124">
        <v>18143</v>
      </c>
      <c r="E39" s="126"/>
      <c r="F39" s="118"/>
      <c r="G39" s="126"/>
      <c r="H39" s="126"/>
      <c r="I39" s="117"/>
    </row>
    <row r="40" spans="1:9" s="67" customFormat="1" x14ac:dyDescent="0.25">
      <c r="A40" s="117" t="s">
        <v>31</v>
      </c>
      <c r="B40" s="118" t="s">
        <v>166</v>
      </c>
      <c r="C40" s="119">
        <v>43908</v>
      </c>
      <c r="D40" s="125">
        <v>1665</v>
      </c>
      <c r="E40" s="126"/>
      <c r="F40" s="118"/>
      <c r="G40" s="126"/>
      <c r="H40" s="126"/>
      <c r="I40" s="117"/>
    </row>
    <row r="41" spans="1:9" s="67" customFormat="1" ht="60" x14ac:dyDescent="0.25">
      <c r="A41" s="117" t="s">
        <v>34</v>
      </c>
      <c r="B41" s="118" t="s">
        <v>167</v>
      </c>
      <c r="C41" s="119">
        <v>43909</v>
      </c>
      <c r="D41" s="125">
        <v>9898</v>
      </c>
      <c r="E41" s="126" t="s">
        <v>225</v>
      </c>
      <c r="F41" s="118" t="s">
        <v>129</v>
      </c>
      <c r="G41" s="126"/>
      <c r="H41" s="126"/>
      <c r="I41" s="117"/>
    </row>
    <row r="42" spans="1:9" s="67" customFormat="1" x14ac:dyDescent="0.25">
      <c r="A42" s="117" t="s">
        <v>66</v>
      </c>
      <c r="B42" s="118" t="s">
        <v>168</v>
      </c>
      <c r="C42" s="119">
        <v>43909</v>
      </c>
      <c r="D42" s="125">
        <v>18261</v>
      </c>
      <c r="E42" s="126"/>
      <c r="F42" s="118"/>
      <c r="G42" s="126"/>
      <c r="H42" s="126"/>
      <c r="I42" s="117"/>
    </row>
    <row r="43" spans="1:9" s="67" customFormat="1" x14ac:dyDescent="0.25">
      <c r="A43" s="117" t="s">
        <v>66</v>
      </c>
      <c r="B43" s="118" t="s">
        <v>169</v>
      </c>
      <c r="C43" s="119">
        <v>43913</v>
      </c>
      <c r="D43" s="125">
        <v>17945</v>
      </c>
      <c r="E43" s="126"/>
      <c r="F43" s="118"/>
      <c r="G43" s="126"/>
      <c r="H43" s="126"/>
      <c r="I43" s="117"/>
    </row>
    <row r="44" spans="1:9" s="67" customFormat="1" x14ac:dyDescent="0.25">
      <c r="A44" s="117" t="s">
        <v>66</v>
      </c>
      <c r="B44" s="118" t="s">
        <v>170</v>
      </c>
      <c r="C44" s="119">
        <v>43915</v>
      </c>
      <c r="D44" s="125">
        <v>17580</v>
      </c>
      <c r="E44" s="126"/>
      <c r="F44" s="118"/>
      <c r="G44" s="126"/>
      <c r="H44" s="126"/>
      <c r="I44" s="117"/>
    </row>
    <row r="45" spans="1:9" s="67" customFormat="1" x14ac:dyDescent="0.25">
      <c r="A45" s="117" t="s">
        <v>34</v>
      </c>
      <c r="B45" s="118" t="s">
        <v>171</v>
      </c>
      <c r="C45" s="119">
        <v>43915</v>
      </c>
      <c r="D45" s="125">
        <v>10254</v>
      </c>
      <c r="E45" s="126" t="s">
        <v>191</v>
      </c>
      <c r="F45" s="83"/>
      <c r="G45" s="126"/>
      <c r="H45" s="126"/>
      <c r="I45" s="117"/>
    </row>
    <row r="46" spans="1:9" s="67" customFormat="1" x14ac:dyDescent="0.25">
      <c r="A46" s="117" t="s">
        <v>70</v>
      </c>
      <c r="B46" s="118" t="s">
        <v>172</v>
      </c>
      <c r="C46" s="119">
        <v>43908</v>
      </c>
      <c r="D46" s="125">
        <v>2520</v>
      </c>
      <c r="E46" s="126"/>
      <c r="F46" s="118"/>
      <c r="G46" s="126"/>
      <c r="H46" s="126"/>
      <c r="I46" s="117"/>
    </row>
    <row r="47" spans="1:9" s="67" customFormat="1" x14ac:dyDescent="0.25">
      <c r="A47" s="121" t="s">
        <v>51</v>
      </c>
      <c r="B47" s="123" t="s">
        <v>231</v>
      </c>
      <c r="C47" s="84">
        <v>43927</v>
      </c>
      <c r="D47" s="124">
        <v>9500</v>
      </c>
      <c r="E47" s="86"/>
      <c r="F47" s="83"/>
      <c r="G47" s="86"/>
      <c r="H47" s="86"/>
      <c r="I47" s="98"/>
    </row>
    <row r="48" spans="1:9" s="67" customFormat="1" x14ac:dyDescent="0.25">
      <c r="A48" s="117" t="s">
        <v>53</v>
      </c>
      <c r="B48" s="118" t="s">
        <v>173</v>
      </c>
      <c r="C48" s="119">
        <v>43935</v>
      </c>
      <c r="D48" s="125">
        <v>4474</v>
      </c>
      <c r="E48" s="126"/>
      <c r="F48" s="118"/>
      <c r="G48" s="126"/>
      <c r="H48" s="126"/>
      <c r="I48" s="117"/>
    </row>
    <row r="49" spans="1:9" s="67" customFormat="1" x14ac:dyDescent="0.25">
      <c r="A49" s="117" t="s">
        <v>70</v>
      </c>
      <c r="B49" s="118" t="s">
        <v>174</v>
      </c>
      <c r="C49" s="119">
        <v>43936</v>
      </c>
      <c r="D49" s="125">
        <v>2563</v>
      </c>
      <c r="E49" s="126"/>
      <c r="F49" s="118"/>
      <c r="G49" s="126"/>
      <c r="H49" s="126"/>
      <c r="I49" s="117"/>
    </row>
    <row r="50" spans="1:9" s="67" customFormat="1" x14ac:dyDescent="0.25">
      <c r="A50" s="117" t="s">
        <v>34</v>
      </c>
      <c r="B50" s="118" t="s">
        <v>175</v>
      </c>
      <c r="C50" s="119">
        <v>43937</v>
      </c>
      <c r="D50" s="125">
        <v>10000</v>
      </c>
      <c r="E50" s="126" t="s">
        <v>191</v>
      </c>
      <c r="F50" s="118"/>
      <c r="G50" s="126"/>
      <c r="H50" s="126"/>
      <c r="I50" s="117"/>
    </row>
    <row r="51" spans="1:9" s="67" customFormat="1" x14ac:dyDescent="0.25">
      <c r="A51" s="117" t="s">
        <v>66</v>
      </c>
      <c r="B51" s="118" t="s">
        <v>176</v>
      </c>
      <c r="C51" s="119">
        <v>43938</v>
      </c>
      <c r="D51" s="125">
        <v>17916</v>
      </c>
      <c r="E51" s="126"/>
      <c r="F51" s="83"/>
      <c r="G51" s="126"/>
      <c r="H51" s="126"/>
      <c r="I51" s="117"/>
    </row>
    <row r="52" spans="1:9" s="67" customFormat="1" x14ac:dyDescent="0.25">
      <c r="A52" s="117" t="s">
        <v>66</v>
      </c>
      <c r="B52" s="118" t="s">
        <v>177</v>
      </c>
      <c r="C52" s="119">
        <v>43943</v>
      </c>
      <c r="D52" s="125">
        <v>18494</v>
      </c>
      <c r="E52" s="126"/>
      <c r="F52" s="118"/>
      <c r="G52" s="126"/>
      <c r="H52" s="126"/>
      <c r="I52" s="117"/>
    </row>
    <row r="53" spans="1:9" s="67" customFormat="1" x14ac:dyDescent="0.25">
      <c r="A53" s="117" t="s">
        <v>67</v>
      </c>
      <c r="B53" s="118" t="s">
        <v>126</v>
      </c>
      <c r="C53" s="119">
        <v>43943</v>
      </c>
      <c r="D53" s="125">
        <v>19500</v>
      </c>
      <c r="E53" s="126"/>
      <c r="F53" s="118"/>
      <c r="G53" s="126"/>
      <c r="H53" s="126"/>
      <c r="I53" s="117"/>
    </row>
    <row r="54" spans="1:9" s="67" customFormat="1" x14ac:dyDescent="0.25">
      <c r="A54" s="117" t="s">
        <v>53</v>
      </c>
      <c r="B54" s="118" t="s">
        <v>178</v>
      </c>
      <c r="C54" s="119">
        <v>43943</v>
      </c>
      <c r="D54" s="125">
        <v>7960</v>
      </c>
      <c r="E54" s="126"/>
      <c r="F54" s="118"/>
      <c r="G54" s="126"/>
      <c r="H54" s="126"/>
      <c r="I54" s="117"/>
    </row>
    <row r="55" spans="1:9" s="67" customFormat="1" x14ac:dyDescent="0.25">
      <c r="A55" s="117" t="s">
        <v>34</v>
      </c>
      <c r="B55" s="118" t="s">
        <v>179</v>
      </c>
      <c r="C55" s="119">
        <v>43944</v>
      </c>
      <c r="D55" s="125">
        <v>10294</v>
      </c>
      <c r="E55" s="126" t="s">
        <v>191</v>
      </c>
      <c r="F55" s="83"/>
      <c r="G55" s="126"/>
      <c r="H55" s="126"/>
      <c r="I55" s="117"/>
    </row>
    <row r="56" spans="1:9" s="67" customFormat="1" x14ac:dyDescent="0.25">
      <c r="A56" s="117" t="s">
        <v>66</v>
      </c>
      <c r="B56" s="118" t="s">
        <v>180</v>
      </c>
      <c r="C56" s="119">
        <v>43951</v>
      </c>
      <c r="D56" s="125">
        <v>18360</v>
      </c>
      <c r="E56" s="126"/>
      <c r="F56" s="118"/>
      <c r="G56" s="126"/>
      <c r="H56" s="126"/>
      <c r="I56" s="117"/>
    </row>
    <row r="57" spans="1:9" s="67" customFormat="1" x14ac:dyDescent="0.25">
      <c r="A57" s="117" t="s">
        <v>34</v>
      </c>
      <c r="B57" s="118" t="s">
        <v>181</v>
      </c>
      <c r="C57" s="119">
        <v>43951</v>
      </c>
      <c r="D57" s="125">
        <v>10004</v>
      </c>
      <c r="E57" s="126" t="s">
        <v>191</v>
      </c>
      <c r="F57" s="118"/>
      <c r="G57" s="126"/>
      <c r="H57" s="126"/>
      <c r="I57" s="117"/>
    </row>
    <row r="58" spans="1:9" s="67" customFormat="1" x14ac:dyDescent="0.25">
      <c r="A58" s="117" t="s">
        <v>31</v>
      </c>
      <c r="B58" s="118" t="s">
        <v>182</v>
      </c>
      <c r="C58" s="119">
        <v>43958</v>
      </c>
      <c r="D58" s="125">
        <v>2920</v>
      </c>
      <c r="E58" s="126"/>
      <c r="F58" s="118"/>
      <c r="G58" s="126"/>
      <c r="H58" s="126"/>
      <c r="I58" s="117"/>
    </row>
    <row r="59" spans="1:9" s="67" customFormat="1" ht="30" x14ac:dyDescent="0.25">
      <c r="A59" s="117" t="s">
        <v>32</v>
      </c>
      <c r="B59" s="118" t="s">
        <v>183</v>
      </c>
      <c r="C59" s="119">
        <v>43958</v>
      </c>
      <c r="D59" s="125">
        <v>534</v>
      </c>
      <c r="E59" s="126"/>
      <c r="F59" s="83"/>
      <c r="G59" s="126"/>
      <c r="H59" s="126"/>
      <c r="I59" s="117"/>
    </row>
    <row r="60" spans="1:9" s="67" customFormat="1" x14ac:dyDescent="0.25">
      <c r="A60" s="117" t="s">
        <v>34</v>
      </c>
      <c r="B60" s="118" t="s">
        <v>184</v>
      </c>
      <c r="C60" s="119">
        <v>43963</v>
      </c>
      <c r="D60" s="125">
        <v>9768</v>
      </c>
      <c r="E60" s="126" t="s">
        <v>191</v>
      </c>
      <c r="F60" s="118"/>
      <c r="G60" s="126"/>
      <c r="H60" s="126"/>
      <c r="I60" s="117"/>
    </row>
    <row r="61" spans="1:9" s="67" customFormat="1" x14ac:dyDescent="0.25">
      <c r="A61" s="117" t="s">
        <v>51</v>
      </c>
      <c r="B61" s="118" t="s">
        <v>185</v>
      </c>
      <c r="C61" s="119">
        <v>43963</v>
      </c>
      <c r="D61" s="125">
        <v>6000</v>
      </c>
      <c r="E61" s="126"/>
      <c r="F61" s="83"/>
      <c r="G61" s="126"/>
      <c r="H61" s="126"/>
      <c r="I61" s="117"/>
    </row>
    <row r="62" spans="1:9" s="67" customFormat="1" x14ac:dyDescent="0.25">
      <c r="A62" s="117" t="s">
        <v>59</v>
      </c>
      <c r="B62" s="118" t="s">
        <v>186</v>
      </c>
      <c r="C62" s="119">
        <v>43964</v>
      </c>
      <c r="D62" s="125">
        <v>216</v>
      </c>
      <c r="E62" s="126"/>
      <c r="F62" s="118"/>
      <c r="G62" s="126"/>
      <c r="H62" s="126"/>
      <c r="I62" s="117"/>
    </row>
    <row r="63" spans="1:9" s="67" customFormat="1" x14ac:dyDescent="0.25">
      <c r="A63" s="117" t="s">
        <v>70</v>
      </c>
      <c r="B63" s="118" t="s">
        <v>187</v>
      </c>
      <c r="C63" s="119">
        <v>43964</v>
      </c>
      <c r="D63" s="125">
        <v>4536</v>
      </c>
      <c r="E63" s="126"/>
      <c r="F63" s="118"/>
      <c r="G63" s="126"/>
      <c r="H63" s="126"/>
      <c r="I63" s="117"/>
    </row>
    <row r="64" spans="1:9" s="67" customFormat="1" x14ac:dyDescent="0.25">
      <c r="A64" s="117" t="s">
        <v>34</v>
      </c>
      <c r="B64" s="118" t="s">
        <v>188</v>
      </c>
      <c r="C64" s="119">
        <v>43964</v>
      </c>
      <c r="D64" s="125">
        <v>10098</v>
      </c>
      <c r="E64" s="126" t="s">
        <v>191</v>
      </c>
      <c r="F64" s="118"/>
      <c r="G64" s="126"/>
      <c r="H64" s="126"/>
      <c r="I64" s="117"/>
    </row>
    <row r="65" spans="1:9" s="67" customFormat="1" x14ac:dyDescent="0.25">
      <c r="A65" s="117" t="s">
        <v>66</v>
      </c>
      <c r="B65" s="118" t="s">
        <v>189</v>
      </c>
      <c r="C65" s="119">
        <v>43965</v>
      </c>
      <c r="D65" s="125">
        <v>18212</v>
      </c>
      <c r="E65" s="126"/>
      <c r="F65" s="118"/>
      <c r="G65" s="126"/>
      <c r="H65" s="126"/>
      <c r="I65" s="117"/>
    </row>
    <row r="66" spans="1:9" s="67" customFormat="1" x14ac:dyDescent="0.25">
      <c r="A66" s="121" t="s">
        <v>52</v>
      </c>
      <c r="B66" s="123" t="s">
        <v>231</v>
      </c>
      <c r="C66" s="84">
        <v>43965</v>
      </c>
      <c r="D66" s="124">
        <v>2985</v>
      </c>
      <c r="E66" s="86"/>
      <c r="F66" s="83"/>
      <c r="G66" s="86"/>
      <c r="H66" s="86"/>
      <c r="I66" s="98"/>
    </row>
    <row r="67" spans="1:9" s="67" customFormat="1" ht="45" x14ac:dyDescent="0.25">
      <c r="A67" s="117" t="s">
        <v>131</v>
      </c>
      <c r="B67" s="118" t="s">
        <v>190</v>
      </c>
      <c r="C67" s="119">
        <v>43966</v>
      </c>
      <c r="D67" s="125">
        <v>17754</v>
      </c>
      <c r="E67" s="126" t="s">
        <v>227</v>
      </c>
      <c r="F67" s="83" t="s">
        <v>157</v>
      </c>
      <c r="G67" s="126"/>
      <c r="H67" s="126"/>
      <c r="I67" s="117"/>
    </row>
    <row r="68" spans="1:9" s="67" customFormat="1" x14ac:dyDescent="0.25">
      <c r="A68" s="117" t="s">
        <v>67</v>
      </c>
      <c r="B68" s="118" t="s">
        <v>197</v>
      </c>
      <c r="C68" s="119">
        <v>43971</v>
      </c>
      <c r="D68" s="120">
        <v>19500</v>
      </c>
      <c r="E68" s="126"/>
      <c r="F68" s="118"/>
      <c r="G68" s="126"/>
      <c r="H68" s="126"/>
      <c r="I68" s="117"/>
    </row>
    <row r="69" spans="1:9" s="67" customFormat="1" x14ac:dyDescent="0.25">
      <c r="A69" s="117" t="s">
        <v>34</v>
      </c>
      <c r="B69" s="118" t="s">
        <v>198</v>
      </c>
      <c r="C69" s="119">
        <v>43973</v>
      </c>
      <c r="D69" s="120">
        <v>9750</v>
      </c>
      <c r="E69" s="86" t="s">
        <v>191</v>
      </c>
      <c r="F69" s="245"/>
      <c r="G69" s="126"/>
      <c r="H69" s="126"/>
      <c r="I69" s="117"/>
    </row>
    <row r="70" spans="1:9" s="67" customFormat="1" ht="45" x14ac:dyDescent="0.25">
      <c r="A70" s="117" t="s">
        <v>131</v>
      </c>
      <c r="B70" s="118" t="s">
        <v>200</v>
      </c>
      <c r="C70" s="119">
        <v>43973</v>
      </c>
      <c r="D70" s="120">
        <v>19999</v>
      </c>
      <c r="E70" s="126" t="s">
        <v>199</v>
      </c>
      <c r="F70" s="118" t="s">
        <v>157</v>
      </c>
      <c r="G70" s="126"/>
      <c r="H70" s="126"/>
      <c r="I70" s="117"/>
    </row>
    <row r="71" spans="1:9" s="67" customFormat="1" x14ac:dyDescent="0.25">
      <c r="A71" s="117" t="s">
        <v>66</v>
      </c>
      <c r="B71" s="118" t="s">
        <v>201</v>
      </c>
      <c r="C71" s="119">
        <v>43974</v>
      </c>
      <c r="D71" s="120">
        <v>18670</v>
      </c>
      <c r="E71" s="126"/>
      <c r="F71" s="83"/>
      <c r="G71" s="126"/>
      <c r="H71" s="126"/>
      <c r="I71" s="117"/>
    </row>
    <row r="72" spans="1:9" s="67" customFormat="1" x14ac:dyDescent="0.25">
      <c r="A72" s="117" t="s">
        <v>66</v>
      </c>
      <c r="B72" s="118" t="s">
        <v>202</v>
      </c>
      <c r="C72" s="119">
        <v>43978</v>
      </c>
      <c r="D72" s="120">
        <v>19061</v>
      </c>
      <c r="E72" s="126"/>
      <c r="F72" s="118"/>
      <c r="G72" s="126"/>
      <c r="H72" s="126"/>
      <c r="I72" s="117"/>
    </row>
    <row r="73" spans="1:9" s="67" customFormat="1" ht="60" x14ac:dyDescent="0.25">
      <c r="A73" s="117" t="s">
        <v>34</v>
      </c>
      <c r="B73" s="118" t="s">
        <v>203</v>
      </c>
      <c r="C73" s="119">
        <v>43978</v>
      </c>
      <c r="D73" s="120">
        <v>10036</v>
      </c>
      <c r="E73" s="126" t="s">
        <v>204</v>
      </c>
      <c r="F73" s="118" t="s">
        <v>129</v>
      </c>
      <c r="G73" s="126"/>
      <c r="H73" s="126"/>
      <c r="I73" s="117"/>
    </row>
    <row r="74" spans="1:9" s="67" customFormat="1" x14ac:dyDescent="0.25">
      <c r="A74" s="117" t="s">
        <v>66</v>
      </c>
      <c r="B74" s="118" t="s">
        <v>205</v>
      </c>
      <c r="C74" s="119">
        <v>43979</v>
      </c>
      <c r="D74" s="120">
        <v>19052</v>
      </c>
      <c r="E74" s="126"/>
      <c r="F74" s="118"/>
      <c r="G74" s="126"/>
      <c r="H74" s="126"/>
      <c r="I74" s="117"/>
    </row>
    <row r="75" spans="1:9" s="67" customFormat="1" x14ac:dyDescent="0.25">
      <c r="A75" s="121" t="s">
        <v>57</v>
      </c>
      <c r="B75" s="123" t="s">
        <v>231</v>
      </c>
      <c r="C75" s="84">
        <v>43984</v>
      </c>
      <c r="D75" s="124">
        <v>306</v>
      </c>
      <c r="E75" s="86"/>
      <c r="F75" s="83"/>
      <c r="G75" s="86"/>
      <c r="H75" s="86"/>
      <c r="I75" s="98"/>
    </row>
    <row r="76" spans="1:9" s="67" customFormat="1" x14ac:dyDescent="0.25">
      <c r="A76" s="117" t="s">
        <v>34</v>
      </c>
      <c r="B76" s="118" t="s">
        <v>206</v>
      </c>
      <c r="C76" s="119">
        <v>43985</v>
      </c>
      <c r="D76" s="120">
        <v>10006</v>
      </c>
      <c r="E76" s="126" t="s">
        <v>230</v>
      </c>
      <c r="F76" s="118"/>
      <c r="G76" s="126"/>
      <c r="H76" s="126"/>
      <c r="I76" s="117"/>
    </row>
    <row r="77" spans="1:9" s="67" customFormat="1" x14ac:dyDescent="0.25">
      <c r="A77" s="117" t="s">
        <v>53</v>
      </c>
      <c r="B77" s="118" t="s">
        <v>207</v>
      </c>
      <c r="C77" s="119">
        <v>43986</v>
      </c>
      <c r="D77" s="120">
        <v>4226</v>
      </c>
      <c r="E77" s="126"/>
      <c r="F77" s="118"/>
      <c r="G77" s="126"/>
      <c r="H77" s="126"/>
      <c r="I77" s="117"/>
    </row>
    <row r="78" spans="1:9" s="67" customFormat="1" x14ac:dyDescent="0.25">
      <c r="A78" s="117" t="s">
        <v>51</v>
      </c>
      <c r="B78" s="118" t="s">
        <v>208</v>
      </c>
      <c r="C78" s="119">
        <v>43986</v>
      </c>
      <c r="D78" s="120">
        <v>8000</v>
      </c>
      <c r="E78" s="126"/>
      <c r="F78" s="118"/>
      <c r="G78" s="126"/>
      <c r="H78" s="126"/>
      <c r="I78" s="117"/>
    </row>
    <row r="79" spans="1:9" s="67" customFormat="1" x14ac:dyDescent="0.25">
      <c r="A79" s="117" t="s">
        <v>66</v>
      </c>
      <c r="B79" s="118" t="s">
        <v>209</v>
      </c>
      <c r="C79" s="119">
        <v>43990</v>
      </c>
      <c r="D79" s="120">
        <v>18564</v>
      </c>
      <c r="E79" s="126"/>
      <c r="F79" s="83"/>
      <c r="G79" s="126"/>
      <c r="H79" s="126"/>
      <c r="I79" s="117"/>
    </row>
    <row r="80" spans="1:9" s="67" customFormat="1" ht="60" x14ac:dyDescent="0.25">
      <c r="A80" s="117" t="s">
        <v>34</v>
      </c>
      <c r="B80" s="118" t="s">
        <v>210</v>
      </c>
      <c r="C80" s="119">
        <v>43991</v>
      </c>
      <c r="D80" s="120">
        <v>10000</v>
      </c>
      <c r="E80" s="126" t="s">
        <v>211</v>
      </c>
      <c r="F80" s="118" t="s">
        <v>129</v>
      </c>
      <c r="G80" s="126"/>
      <c r="H80" s="126"/>
      <c r="I80" s="117"/>
    </row>
    <row r="81" spans="1:9" s="67" customFormat="1" ht="30" x14ac:dyDescent="0.25">
      <c r="A81" s="117" t="s">
        <v>131</v>
      </c>
      <c r="B81" s="118" t="s">
        <v>212</v>
      </c>
      <c r="C81" s="119">
        <v>43997</v>
      </c>
      <c r="D81" s="120">
        <v>66</v>
      </c>
      <c r="E81" s="126"/>
      <c r="F81" s="118"/>
      <c r="G81" s="126"/>
      <c r="H81" s="126"/>
      <c r="I81" s="117"/>
    </row>
    <row r="82" spans="1:9" s="67" customFormat="1" x14ac:dyDescent="0.25">
      <c r="A82" s="117" t="s">
        <v>66</v>
      </c>
      <c r="B82" s="118" t="s">
        <v>213</v>
      </c>
      <c r="C82" s="119">
        <v>43998</v>
      </c>
      <c r="D82" s="120">
        <v>18631</v>
      </c>
      <c r="E82" s="126"/>
      <c r="F82" s="118"/>
      <c r="G82" s="126"/>
      <c r="H82" s="126"/>
      <c r="I82" s="117"/>
    </row>
    <row r="83" spans="1:9" s="67" customFormat="1" ht="60" x14ac:dyDescent="0.25">
      <c r="A83" s="117" t="s">
        <v>34</v>
      </c>
      <c r="B83" s="118" t="s">
        <v>214</v>
      </c>
      <c r="C83" s="119">
        <v>43998</v>
      </c>
      <c r="D83" s="120">
        <v>10002</v>
      </c>
      <c r="E83" s="126" t="s">
        <v>215</v>
      </c>
      <c r="F83" s="118" t="s">
        <v>129</v>
      </c>
      <c r="G83" s="126" t="s">
        <v>216</v>
      </c>
      <c r="H83" s="126" t="s">
        <v>217</v>
      </c>
      <c r="I83" s="117">
        <v>127</v>
      </c>
    </row>
    <row r="84" spans="1:9" s="67" customFormat="1" x14ac:dyDescent="0.25">
      <c r="A84" s="117" t="s">
        <v>53</v>
      </c>
      <c r="B84" s="118" t="s">
        <v>218</v>
      </c>
      <c r="C84" s="119">
        <v>44005</v>
      </c>
      <c r="D84" s="120">
        <v>3000</v>
      </c>
      <c r="E84" s="126"/>
      <c r="F84" s="118"/>
      <c r="G84" s="126"/>
      <c r="H84" s="126"/>
      <c r="I84" s="117"/>
    </row>
    <row r="85" spans="1:9" s="67" customFormat="1" x14ac:dyDescent="0.25">
      <c r="A85" s="117" t="s">
        <v>70</v>
      </c>
      <c r="B85" s="118" t="s">
        <v>219</v>
      </c>
      <c r="C85" s="119">
        <v>44005</v>
      </c>
      <c r="D85" s="120">
        <v>1512</v>
      </c>
      <c r="E85" s="126"/>
      <c r="F85" s="83"/>
      <c r="G85" s="126"/>
      <c r="H85" s="126"/>
      <c r="I85" s="117"/>
    </row>
    <row r="86" spans="1:9" s="67" customFormat="1" x14ac:dyDescent="0.25">
      <c r="A86" s="117" t="s">
        <v>66</v>
      </c>
      <c r="B86" s="126" t="s">
        <v>220</v>
      </c>
      <c r="C86" s="119">
        <v>44005</v>
      </c>
      <c r="D86" s="120">
        <v>18365</v>
      </c>
      <c r="E86" s="126"/>
      <c r="F86" s="118"/>
      <c r="G86" s="126"/>
      <c r="H86" s="117"/>
      <c r="I86" s="117"/>
    </row>
    <row r="87" spans="1:9" s="67" customFormat="1" x14ac:dyDescent="0.25">
      <c r="A87" s="117" t="s">
        <v>31</v>
      </c>
      <c r="B87" s="126" t="s">
        <v>221</v>
      </c>
      <c r="C87" s="246">
        <v>44006</v>
      </c>
      <c r="D87" s="117">
        <v>2799</v>
      </c>
      <c r="E87" s="126"/>
      <c r="F87" s="118"/>
      <c r="G87" s="126"/>
      <c r="H87" s="117"/>
      <c r="I87" s="117"/>
    </row>
    <row r="88" spans="1:9" s="67" customFormat="1" x14ac:dyDescent="0.25">
      <c r="A88" s="121" t="s">
        <v>131</v>
      </c>
      <c r="B88" s="82">
        <v>218.21899999999999</v>
      </c>
      <c r="C88" s="182">
        <v>44008</v>
      </c>
      <c r="D88" s="82">
        <v>20000</v>
      </c>
      <c r="E88" s="86"/>
      <c r="F88" s="83"/>
      <c r="G88" s="86"/>
      <c r="H88" s="86"/>
      <c r="I88" s="98"/>
    </row>
    <row r="89" spans="1:9" s="67" customFormat="1" x14ac:dyDescent="0.25">
      <c r="A89" s="117" t="s">
        <v>51</v>
      </c>
      <c r="B89" s="126" t="s">
        <v>222</v>
      </c>
      <c r="C89" s="246">
        <v>44014</v>
      </c>
      <c r="D89" s="126" t="s">
        <v>223</v>
      </c>
      <c r="E89" s="126"/>
      <c r="F89" s="118"/>
      <c r="G89" s="126"/>
      <c r="H89" s="117"/>
      <c r="I89" s="117"/>
    </row>
    <row r="90" spans="1:9" s="67" customFormat="1" x14ac:dyDescent="0.25">
      <c r="A90" s="117" t="s">
        <v>53</v>
      </c>
      <c r="B90" s="118" t="s">
        <v>224</v>
      </c>
      <c r="C90" s="119">
        <v>44018</v>
      </c>
      <c r="D90" s="120">
        <v>5531</v>
      </c>
      <c r="E90" s="126"/>
      <c r="F90" s="118"/>
      <c r="G90" s="126"/>
      <c r="H90" s="126"/>
      <c r="I90" s="117"/>
    </row>
    <row r="91" spans="1:9" s="67" customFormat="1" ht="30" x14ac:dyDescent="0.25">
      <c r="A91" s="117" t="s">
        <v>66</v>
      </c>
      <c r="B91" s="118" t="s">
        <v>237</v>
      </c>
      <c r="C91" s="119">
        <v>44019</v>
      </c>
      <c r="D91" s="125">
        <v>18788</v>
      </c>
      <c r="E91" s="126"/>
      <c r="F91" s="118"/>
      <c r="G91" s="126"/>
      <c r="H91" s="126"/>
      <c r="I91" s="117"/>
    </row>
    <row r="92" spans="1:9" s="67" customFormat="1" ht="60" x14ac:dyDescent="0.25">
      <c r="A92" s="117" t="s">
        <v>34</v>
      </c>
      <c r="B92" s="118" t="s">
        <v>238</v>
      </c>
      <c r="C92" s="119">
        <v>44019</v>
      </c>
      <c r="D92" s="125">
        <v>9996</v>
      </c>
      <c r="E92" s="126" t="s">
        <v>243</v>
      </c>
      <c r="F92" s="118" t="s">
        <v>129</v>
      </c>
      <c r="G92" s="126"/>
      <c r="H92" s="126"/>
      <c r="I92" s="117"/>
    </row>
    <row r="93" spans="1:9" s="67" customFormat="1" x14ac:dyDescent="0.25">
      <c r="A93" s="117" t="s">
        <v>70</v>
      </c>
      <c r="B93" s="118" t="s">
        <v>239</v>
      </c>
      <c r="C93" s="119">
        <v>44020</v>
      </c>
      <c r="D93" s="125">
        <v>2520</v>
      </c>
      <c r="E93" s="126"/>
      <c r="F93" s="118"/>
      <c r="G93" s="126"/>
      <c r="H93" s="126"/>
      <c r="I93" s="117"/>
    </row>
    <row r="94" spans="1:9" s="67" customFormat="1" x14ac:dyDescent="0.25">
      <c r="A94" s="117" t="s">
        <v>66</v>
      </c>
      <c r="B94" s="118" t="s">
        <v>240</v>
      </c>
      <c r="C94" s="119">
        <v>44021</v>
      </c>
      <c r="D94" s="125">
        <v>18252</v>
      </c>
      <c r="E94" s="126"/>
      <c r="F94" s="118"/>
      <c r="G94" s="126"/>
      <c r="H94" s="126"/>
      <c r="I94" s="117"/>
    </row>
    <row r="95" spans="1:9" s="67" customFormat="1" x14ac:dyDescent="0.25">
      <c r="A95" s="117" t="s">
        <v>66</v>
      </c>
      <c r="B95" s="118" t="s">
        <v>241</v>
      </c>
      <c r="C95" s="119">
        <v>44027</v>
      </c>
      <c r="D95" s="125">
        <v>18398</v>
      </c>
      <c r="E95" s="126"/>
      <c r="F95" s="118"/>
      <c r="G95" s="126"/>
      <c r="H95" s="126"/>
      <c r="I95" s="117"/>
    </row>
    <row r="96" spans="1:9" s="67" customFormat="1" ht="60" x14ac:dyDescent="0.25">
      <c r="A96" s="117" t="s">
        <v>34</v>
      </c>
      <c r="B96" s="118" t="s">
        <v>242</v>
      </c>
      <c r="C96" s="119">
        <v>44027</v>
      </c>
      <c r="D96" s="125">
        <v>10003</v>
      </c>
      <c r="E96" s="126" t="s">
        <v>244</v>
      </c>
      <c r="F96" s="118" t="s">
        <v>129</v>
      </c>
      <c r="G96" s="126"/>
      <c r="H96" s="126"/>
      <c r="I96" s="117"/>
    </row>
    <row r="97" spans="1:9" s="67" customFormat="1" x14ac:dyDescent="0.25">
      <c r="A97" s="117" t="s">
        <v>31</v>
      </c>
      <c r="B97" s="118" t="s">
        <v>245</v>
      </c>
      <c r="C97" s="119">
        <v>44029</v>
      </c>
      <c r="D97" s="125">
        <v>1645</v>
      </c>
      <c r="E97" s="126"/>
      <c r="F97" s="118"/>
      <c r="G97" s="126"/>
      <c r="H97" s="126"/>
      <c r="I97" s="117"/>
    </row>
    <row r="98" spans="1:9" s="67" customFormat="1" ht="60" x14ac:dyDescent="0.25">
      <c r="A98" s="117" t="s">
        <v>34</v>
      </c>
      <c r="B98" s="118" t="s">
        <v>246</v>
      </c>
      <c r="C98" s="119">
        <v>44029</v>
      </c>
      <c r="D98" s="125">
        <v>10002</v>
      </c>
      <c r="E98" s="126" t="s">
        <v>251</v>
      </c>
      <c r="F98" s="118" t="s">
        <v>129</v>
      </c>
      <c r="G98" s="126"/>
      <c r="H98" s="126"/>
      <c r="I98" s="117"/>
    </row>
    <row r="99" spans="1:9" s="67" customFormat="1" x14ac:dyDescent="0.25">
      <c r="A99" s="117" t="s">
        <v>67</v>
      </c>
      <c r="B99" s="118" t="s">
        <v>176</v>
      </c>
      <c r="C99" s="119">
        <v>44033</v>
      </c>
      <c r="D99" s="125">
        <v>19500</v>
      </c>
      <c r="E99" s="126"/>
      <c r="F99" s="118"/>
      <c r="G99" s="126"/>
      <c r="H99" s="126"/>
      <c r="I99" s="117"/>
    </row>
    <row r="100" spans="1:9" s="67" customFormat="1" ht="30" x14ac:dyDescent="0.25">
      <c r="A100" s="117" t="s">
        <v>66</v>
      </c>
      <c r="B100" s="118" t="s">
        <v>247</v>
      </c>
      <c r="C100" s="119">
        <v>44034</v>
      </c>
      <c r="D100" s="125">
        <v>18419</v>
      </c>
      <c r="E100" s="126"/>
      <c r="F100" s="83"/>
      <c r="G100" s="126"/>
      <c r="H100" s="126"/>
      <c r="I100" s="117"/>
    </row>
    <row r="101" spans="1:9" s="67" customFormat="1" ht="60" x14ac:dyDescent="0.25">
      <c r="A101" s="117" t="s">
        <v>34</v>
      </c>
      <c r="B101" s="118" t="s">
        <v>248</v>
      </c>
      <c r="C101" s="119">
        <v>44034</v>
      </c>
      <c r="D101" s="125">
        <v>9994</v>
      </c>
      <c r="E101" s="126" t="s">
        <v>252</v>
      </c>
      <c r="F101" s="118" t="s">
        <v>129</v>
      </c>
      <c r="G101" s="126"/>
      <c r="H101" s="126"/>
      <c r="I101" s="117"/>
    </row>
    <row r="102" spans="1:9" s="67" customFormat="1" x14ac:dyDescent="0.25">
      <c r="A102" s="117" t="s">
        <v>55</v>
      </c>
      <c r="B102" s="118" t="s">
        <v>249</v>
      </c>
      <c r="C102" s="119">
        <v>44036</v>
      </c>
      <c r="D102" s="125">
        <v>1818</v>
      </c>
      <c r="E102" s="126"/>
      <c r="F102" s="118"/>
      <c r="G102" s="126"/>
      <c r="H102" s="126"/>
      <c r="I102" s="117"/>
    </row>
    <row r="103" spans="1:9" s="67" customFormat="1" x14ac:dyDescent="0.25">
      <c r="A103" s="117" t="s">
        <v>60</v>
      </c>
      <c r="B103" s="118" t="s">
        <v>250</v>
      </c>
      <c r="C103" s="119">
        <v>44036</v>
      </c>
      <c r="D103" s="125">
        <v>1200</v>
      </c>
      <c r="E103" s="126"/>
      <c r="F103" s="118"/>
      <c r="G103" s="126"/>
      <c r="H103" s="126"/>
      <c r="I103" s="117"/>
    </row>
    <row r="104" spans="1:9" s="67" customFormat="1" ht="60" x14ac:dyDescent="0.25">
      <c r="A104" s="117" t="s">
        <v>34</v>
      </c>
      <c r="B104" s="118" t="s">
        <v>253</v>
      </c>
      <c r="C104" s="119">
        <v>44041</v>
      </c>
      <c r="D104" s="125">
        <v>9996</v>
      </c>
      <c r="E104" s="126" t="s">
        <v>258</v>
      </c>
      <c r="F104" s="118" t="s">
        <v>129</v>
      </c>
      <c r="G104" s="126"/>
      <c r="H104" s="126"/>
      <c r="I104" s="117"/>
    </row>
    <row r="105" spans="1:9" s="67" customFormat="1" x14ac:dyDescent="0.25">
      <c r="A105" s="117" t="s">
        <v>55</v>
      </c>
      <c r="B105" s="118" t="s">
        <v>249</v>
      </c>
      <c r="C105" s="119">
        <v>44042</v>
      </c>
      <c r="D105" s="125">
        <v>1269</v>
      </c>
      <c r="E105" s="126"/>
      <c r="F105" s="118"/>
      <c r="G105" s="126"/>
      <c r="H105" s="126"/>
      <c r="I105" s="117"/>
    </row>
    <row r="106" spans="1:9" s="67" customFormat="1" x14ac:dyDescent="0.25">
      <c r="A106" s="117" t="s">
        <v>53</v>
      </c>
      <c r="B106" s="118" t="s">
        <v>254</v>
      </c>
      <c r="C106" s="119">
        <v>44046</v>
      </c>
      <c r="D106" s="125">
        <v>6148</v>
      </c>
      <c r="E106" s="126"/>
      <c r="F106" s="118"/>
      <c r="G106" s="126"/>
      <c r="H106" s="126"/>
      <c r="I106" s="117"/>
    </row>
    <row r="107" spans="1:9" s="67" customFormat="1" x14ac:dyDescent="0.25">
      <c r="A107" s="117" t="s">
        <v>66</v>
      </c>
      <c r="B107" s="118" t="s">
        <v>255</v>
      </c>
      <c r="C107" s="119">
        <v>44047</v>
      </c>
      <c r="D107" s="125">
        <v>18585</v>
      </c>
      <c r="E107" s="126"/>
      <c r="F107" s="83"/>
      <c r="G107" s="126"/>
      <c r="H107" s="126"/>
      <c r="I107" s="117"/>
    </row>
    <row r="108" spans="1:9" s="67" customFormat="1" x14ac:dyDescent="0.25">
      <c r="A108" s="117" t="s">
        <v>67</v>
      </c>
      <c r="B108" s="118" t="s">
        <v>256</v>
      </c>
      <c r="C108" s="119">
        <v>44048</v>
      </c>
      <c r="D108" s="125">
        <v>19500</v>
      </c>
      <c r="E108" s="126"/>
      <c r="F108" s="118"/>
      <c r="G108" s="126"/>
      <c r="H108" s="126"/>
      <c r="I108" s="117"/>
    </row>
    <row r="109" spans="1:9" s="67" customFormat="1" x14ac:dyDescent="0.25">
      <c r="A109" s="121" t="s">
        <v>51</v>
      </c>
      <c r="B109" s="123" t="s">
        <v>231</v>
      </c>
      <c r="C109" s="84">
        <v>44048</v>
      </c>
      <c r="D109" s="124">
        <v>5500</v>
      </c>
      <c r="E109" s="86"/>
      <c r="F109" s="83"/>
      <c r="G109" s="86"/>
      <c r="H109" s="86"/>
      <c r="I109" s="98"/>
    </row>
    <row r="110" spans="1:9" s="67" customFormat="1" ht="45" x14ac:dyDescent="0.25">
      <c r="A110" s="121" t="s">
        <v>131</v>
      </c>
      <c r="B110" s="118" t="s">
        <v>257</v>
      </c>
      <c r="C110" s="119">
        <v>44049</v>
      </c>
      <c r="D110" s="125">
        <v>19990</v>
      </c>
      <c r="E110" s="126" t="s">
        <v>261</v>
      </c>
      <c r="F110" s="83" t="s">
        <v>157</v>
      </c>
      <c r="G110" s="126"/>
      <c r="H110" s="126"/>
      <c r="I110" s="117"/>
    </row>
    <row r="111" spans="1:9" s="67" customFormat="1" ht="60" x14ac:dyDescent="0.25">
      <c r="A111" s="117" t="s">
        <v>34</v>
      </c>
      <c r="B111" s="118" t="s">
        <v>259</v>
      </c>
      <c r="C111" s="119">
        <v>44049</v>
      </c>
      <c r="D111" s="125">
        <v>10040</v>
      </c>
      <c r="E111" s="126" t="s">
        <v>260</v>
      </c>
      <c r="F111" s="118" t="s">
        <v>129</v>
      </c>
      <c r="G111" s="126"/>
      <c r="H111" s="126"/>
      <c r="I111" s="117"/>
    </row>
    <row r="112" spans="1:9" s="67" customFormat="1" x14ac:dyDescent="0.25">
      <c r="A112" s="117" t="s">
        <v>70</v>
      </c>
      <c r="B112" s="118" t="s">
        <v>262</v>
      </c>
      <c r="C112" s="119">
        <v>44056</v>
      </c>
      <c r="D112" s="125">
        <v>1512</v>
      </c>
      <c r="E112" s="126"/>
      <c r="F112" s="118"/>
      <c r="G112" s="126"/>
      <c r="H112" s="126"/>
      <c r="I112" s="117"/>
    </row>
    <row r="113" spans="1:9" s="67" customFormat="1" ht="60" x14ac:dyDescent="0.25">
      <c r="A113" s="117" t="s">
        <v>34</v>
      </c>
      <c r="B113" s="118" t="s">
        <v>263</v>
      </c>
      <c r="C113" s="119">
        <v>44056</v>
      </c>
      <c r="D113" s="125">
        <v>10020</v>
      </c>
      <c r="E113" s="126" t="s">
        <v>264</v>
      </c>
      <c r="F113" s="118" t="s">
        <v>129</v>
      </c>
      <c r="G113" s="126"/>
      <c r="H113" s="126"/>
      <c r="I113" s="117"/>
    </row>
    <row r="114" spans="1:9" s="67" customFormat="1" ht="60" x14ac:dyDescent="0.25">
      <c r="A114" s="117" t="s">
        <v>34</v>
      </c>
      <c r="B114" s="118" t="s">
        <v>265</v>
      </c>
      <c r="C114" s="119">
        <v>44063</v>
      </c>
      <c r="D114" s="125">
        <v>10015</v>
      </c>
      <c r="E114" s="126" t="s">
        <v>266</v>
      </c>
      <c r="F114" s="118" t="s">
        <v>129</v>
      </c>
      <c r="G114" s="126"/>
      <c r="H114" s="126"/>
      <c r="I114" s="117"/>
    </row>
    <row r="115" spans="1:9" s="67" customFormat="1" x14ac:dyDescent="0.25">
      <c r="A115" s="117" t="s">
        <v>66</v>
      </c>
      <c r="B115" s="118" t="s">
        <v>267</v>
      </c>
      <c r="C115" s="119">
        <v>44064</v>
      </c>
      <c r="D115" s="125">
        <v>18550</v>
      </c>
      <c r="E115" s="126"/>
      <c r="F115" s="118"/>
      <c r="G115" s="126"/>
      <c r="H115" s="126"/>
      <c r="I115" s="117"/>
    </row>
    <row r="116" spans="1:9" s="67" customFormat="1" x14ac:dyDescent="0.25">
      <c r="A116" s="117" t="s">
        <v>60</v>
      </c>
      <c r="B116" s="118" t="s">
        <v>268</v>
      </c>
      <c r="C116" s="119">
        <v>44067</v>
      </c>
      <c r="D116" s="125">
        <v>3000</v>
      </c>
      <c r="E116" s="126"/>
      <c r="F116" s="118"/>
      <c r="G116" s="126"/>
      <c r="H116" s="126"/>
      <c r="I116" s="117"/>
    </row>
    <row r="117" spans="1:9" s="67" customFormat="1" ht="30" x14ac:dyDescent="0.25">
      <c r="A117" s="117" t="s">
        <v>66</v>
      </c>
      <c r="B117" s="118" t="s">
        <v>269</v>
      </c>
      <c r="C117" s="119">
        <v>44070</v>
      </c>
      <c r="D117" s="125">
        <v>18512</v>
      </c>
      <c r="E117" s="126"/>
      <c r="F117" s="118"/>
      <c r="G117" s="126"/>
      <c r="H117" s="126"/>
      <c r="I117" s="117"/>
    </row>
    <row r="118" spans="1:9" s="67" customFormat="1" x14ac:dyDescent="0.25">
      <c r="A118" s="117" t="s">
        <v>31</v>
      </c>
      <c r="B118" s="118" t="s">
        <v>270</v>
      </c>
      <c r="C118" s="119">
        <v>44071</v>
      </c>
      <c r="D118" s="125">
        <v>2586</v>
      </c>
      <c r="E118" s="126"/>
      <c r="F118" s="118"/>
      <c r="G118" s="126"/>
      <c r="H118" s="126"/>
      <c r="I118" s="117"/>
    </row>
    <row r="119" spans="1:9" s="67" customFormat="1" ht="60" x14ac:dyDescent="0.25">
      <c r="A119" s="117" t="s">
        <v>34</v>
      </c>
      <c r="B119" s="118" t="s">
        <v>271</v>
      </c>
      <c r="C119" s="119">
        <v>44075</v>
      </c>
      <c r="D119" s="125">
        <v>10002</v>
      </c>
      <c r="E119" s="126" t="s">
        <v>272</v>
      </c>
      <c r="F119" s="118" t="s">
        <v>129</v>
      </c>
      <c r="G119" s="126"/>
      <c r="H119" s="126"/>
      <c r="I119" s="117"/>
    </row>
    <row r="120" spans="1:9" s="67" customFormat="1" x14ac:dyDescent="0.25">
      <c r="A120" s="117" t="s">
        <v>66</v>
      </c>
      <c r="B120" s="118" t="s">
        <v>273</v>
      </c>
      <c r="C120" s="119">
        <v>44076</v>
      </c>
      <c r="D120" s="125">
        <v>18679</v>
      </c>
      <c r="E120" s="126"/>
      <c r="F120" s="118"/>
      <c r="G120" s="126"/>
      <c r="H120" s="126"/>
      <c r="I120" s="117"/>
    </row>
    <row r="121" spans="1:9" s="67" customFormat="1" x14ac:dyDescent="0.25">
      <c r="A121" s="117" t="s">
        <v>53</v>
      </c>
      <c r="B121" s="118" t="s">
        <v>274</v>
      </c>
      <c r="C121" s="119">
        <v>44076</v>
      </c>
      <c r="D121" s="125">
        <v>8010</v>
      </c>
      <c r="E121" s="126"/>
      <c r="F121" s="118"/>
      <c r="G121" s="126"/>
      <c r="H121" s="126"/>
      <c r="I121" s="117"/>
    </row>
    <row r="122" spans="1:9" s="67" customFormat="1" x14ac:dyDescent="0.25">
      <c r="A122" s="117" t="s">
        <v>62</v>
      </c>
      <c r="B122" s="118" t="s">
        <v>275</v>
      </c>
      <c r="C122" s="119">
        <v>44077</v>
      </c>
      <c r="D122" s="125">
        <v>700</v>
      </c>
      <c r="E122" s="126"/>
      <c r="F122" s="118"/>
      <c r="G122" s="126"/>
      <c r="H122" s="126"/>
      <c r="I122" s="117"/>
    </row>
    <row r="123" spans="1:9" s="67" customFormat="1" x14ac:dyDescent="0.25">
      <c r="A123" s="117" t="s">
        <v>51</v>
      </c>
      <c r="B123" s="118" t="s">
        <v>276</v>
      </c>
      <c r="C123" s="119">
        <v>44077</v>
      </c>
      <c r="D123" s="125">
        <v>15000</v>
      </c>
      <c r="E123" s="126"/>
      <c r="F123" s="118"/>
      <c r="G123" s="126"/>
      <c r="H123" s="126"/>
      <c r="I123" s="117"/>
    </row>
    <row r="124" spans="1:9" s="67" customFormat="1" ht="60" x14ac:dyDescent="0.25">
      <c r="A124" s="121" t="s">
        <v>131</v>
      </c>
      <c r="B124" s="118" t="s">
        <v>277</v>
      </c>
      <c r="C124" s="119">
        <v>44077</v>
      </c>
      <c r="D124" s="125">
        <v>19540</v>
      </c>
      <c r="E124" s="126" t="s">
        <v>281</v>
      </c>
      <c r="F124" s="83" t="s">
        <v>157</v>
      </c>
      <c r="G124" s="126" t="s">
        <v>351</v>
      </c>
      <c r="H124" s="126" t="s">
        <v>352</v>
      </c>
      <c r="I124" s="117"/>
    </row>
    <row r="125" spans="1:9" s="67" customFormat="1" x14ac:dyDescent="0.25">
      <c r="A125" s="117" t="s">
        <v>70</v>
      </c>
      <c r="B125" s="118" t="s">
        <v>278</v>
      </c>
      <c r="C125" s="119">
        <v>44077</v>
      </c>
      <c r="D125" s="125">
        <v>5508</v>
      </c>
      <c r="E125" s="126"/>
      <c r="F125" s="83"/>
      <c r="G125" s="126"/>
      <c r="H125" s="126"/>
      <c r="I125" s="117"/>
    </row>
    <row r="126" spans="1:9" s="67" customFormat="1" ht="105" x14ac:dyDescent="0.25">
      <c r="A126" s="117" t="s">
        <v>67</v>
      </c>
      <c r="B126" s="118" t="s">
        <v>279</v>
      </c>
      <c r="C126" s="119">
        <v>44081</v>
      </c>
      <c r="D126" s="125">
        <v>19500</v>
      </c>
      <c r="E126" s="126" t="s">
        <v>295</v>
      </c>
      <c r="F126" s="118" t="s">
        <v>296</v>
      </c>
      <c r="G126" s="126"/>
      <c r="H126" s="126"/>
      <c r="I126" s="117"/>
    </row>
    <row r="127" spans="1:9" s="67" customFormat="1" ht="30" x14ac:dyDescent="0.25">
      <c r="A127" s="117" t="s">
        <v>66</v>
      </c>
      <c r="B127" s="118" t="s">
        <v>280</v>
      </c>
      <c r="C127" s="119">
        <v>44082</v>
      </c>
      <c r="D127" s="125">
        <v>37489</v>
      </c>
      <c r="E127" s="126"/>
      <c r="F127" s="118"/>
      <c r="G127" s="126"/>
      <c r="H127" s="126"/>
      <c r="I127" s="117"/>
    </row>
    <row r="128" spans="1:9" s="67" customFormat="1" ht="60" x14ac:dyDescent="0.25">
      <c r="A128" s="117" t="s">
        <v>34</v>
      </c>
      <c r="B128" s="118" t="s">
        <v>282</v>
      </c>
      <c r="C128" s="119">
        <v>44082</v>
      </c>
      <c r="D128" s="125">
        <v>10012</v>
      </c>
      <c r="E128" s="126" t="s">
        <v>283</v>
      </c>
      <c r="F128" s="118" t="s">
        <v>129</v>
      </c>
      <c r="G128" s="126"/>
      <c r="H128" s="126"/>
      <c r="I128" s="117"/>
    </row>
    <row r="129" spans="1:9" s="67" customFormat="1" ht="60" x14ac:dyDescent="0.25">
      <c r="A129" s="117" t="s">
        <v>34</v>
      </c>
      <c r="B129" s="83" t="s">
        <v>284</v>
      </c>
      <c r="C129" s="84">
        <v>44084</v>
      </c>
      <c r="D129" s="124">
        <v>10014</v>
      </c>
      <c r="E129" s="86" t="s">
        <v>285</v>
      </c>
      <c r="F129" s="118" t="s">
        <v>129</v>
      </c>
      <c r="G129" s="86"/>
      <c r="H129" s="86"/>
      <c r="I129" s="98"/>
    </row>
    <row r="130" spans="1:9" s="67" customFormat="1" ht="30" x14ac:dyDescent="0.25">
      <c r="A130" s="117" t="s">
        <v>66</v>
      </c>
      <c r="B130" s="118" t="s">
        <v>286</v>
      </c>
      <c r="C130" s="119">
        <v>44085</v>
      </c>
      <c r="D130" s="125">
        <v>18762</v>
      </c>
      <c r="E130" s="126"/>
      <c r="F130" s="118"/>
      <c r="G130" s="126"/>
      <c r="H130" s="126"/>
      <c r="I130" s="117"/>
    </row>
    <row r="131" spans="1:9" s="67" customFormat="1" x14ac:dyDescent="0.25">
      <c r="A131" s="117" t="s">
        <v>66</v>
      </c>
      <c r="B131" s="118" t="s">
        <v>287</v>
      </c>
      <c r="C131" s="119">
        <v>44089</v>
      </c>
      <c r="D131" s="125">
        <v>18440</v>
      </c>
      <c r="E131" s="126"/>
      <c r="F131" s="118"/>
      <c r="G131" s="126"/>
      <c r="H131" s="126"/>
      <c r="I131" s="117"/>
    </row>
    <row r="132" spans="1:9" s="67" customFormat="1" x14ac:dyDescent="0.25">
      <c r="A132" s="117" t="s">
        <v>66</v>
      </c>
      <c r="B132" s="118" t="s">
        <v>288</v>
      </c>
      <c r="C132" s="119">
        <v>44089</v>
      </c>
      <c r="D132" s="125">
        <v>15692</v>
      </c>
      <c r="E132" s="126"/>
      <c r="F132" s="118"/>
      <c r="G132" s="126"/>
      <c r="H132" s="126"/>
      <c r="I132" s="117"/>
    </row>
    <row r="133" spans="1:9" s="67" customFormat="1" ht="60" x14ac:dyDescent="0.25">
      <c r="A133" s="117" t="s">
        <v>34</v>
      </c>
      <c r="B133" s="118" t="s">
        <v>289</v>
      </c>
      <c r="C133" s="119">
        <v>44090</v>
      </c>
      <c r="D133" s="125">
        <v>10000</v>
      </c>
      <c r="E133" s="126" t="s">
        <v>290</v>
      </c>
      <c r="F133" s="118" t="s">
        <v>129</v>
      </c>
      <c r="G133" s="126"/>
      <c r="H133" s="126"/>
      <c r="I133" s="117"/>
    </row>
    <row r="134" spans="1:9" s="67" customFormat="1" x14ac:dyDescent="0.25">
      <c r="A134" s="117" t="s">
        <v>53</v>
      </c>
      <c r="B134" s="118" t="s">
        <v>291</v>
      </c>
      <c r="C134" s="119">
        <v>44091</v>
      </c>
      <c r="D134" s="125">
        <v>1750</v>
      </c>
      <c r="E134" s="126"/>
      <c r="F134" s="83"/>
      <c r="G134" s="126"/>
      <c r="H134" s="126"/>
      <c r="I134" s="117"/>
    </row>
    <row r="135" spans="1:9" s="67" customFormat="1" x14ac:dyDescent="0.25">
      <c r="A135" s="117" t="s">
        <v>66</v>
      </c>
      <c r="B135" s="118" t="s">
        <v>292</v>
      </c>
      <c r="C135" s="119">
        <v>44092</v>
      </c>
      <c r="D135" s="125">
        <v>18685</v>
      </c>
      <c r="E135" s="126"/>
      <c r="F135" s="118"/>
      <c r="G135" s="126"/>
      <c r="H135" s="126"/>
      <c r="I135" s="117"/>
    </row>
    <row r="136" spans="1:9" s="67" customFormat="1" x14ac:dyDescent="0.25">
      <c r="A136" s="117" t="s">
        <v>66</v>
      </c>
      <c r="B136" s="118" t="s">
        <v>293</v>
      </c>
      <c r="C136" s="119">
        <v>44096</v>
      </c>
      <c r="D136" s="125">
        <v>18561</v>
      </c>
      <c r="E136" s="126"/>
      <c r="F136" s="118"/>
      <c r="G136" s="126"/>
      <c r="H136" s="126"/>
      <c r="I136" s="117"/>
    </row>
    <row r="137" spans="1:9" s="67" customFormat="1" ht="60" x14ac:dyDescent="0.25">
      <c r="A137" s="117" t="s">
        <v>34</v>
      </c>
      <c r="B137" s="118" t="s">
        <v>294</v>
      </c>
      <c r="C137" s="119">
        <v>44096</v>
      </c>
      <c r="D137" s="125">
        <v>9998</v>
      </c>
      <c r="E137" s="126" t="s">
        <v>297</v>
      </c>
      <c r="F137" s="118" t="s">
        <v>129</v>
      </c>
      <c r="G137" s="126"/>
      <c r="H137" s="126"/>
      <c r="I137" s="117"/>
    </row>
    <row r="138" spans="1:9" s="67" customFormat="1" x14ac:dyDescent="0.25">
      <c r="A138" s="117" t="s">
        <v>31</v>
      </c>
      <c r="B138" s="118" t="s">
        <v>298</v>
      </c>
      <c r="C138" s="119">
        <v>44097</v>
      </c>
      <c r="D138" s="125">
        <v>3013</v>
      </c>
      <c r="E138" s="126"/>
      <c r="F138" s="118"/>
      <c r="G138" s="126"/>
      <c r="H138" s="126"/>
      <c r="I138" s="117"/>
    </row>
    <row r="139" spans="1:9" s="67" customFormat="1" ht="60" x14ac:dyDescent="0.25">
      <c r="A139" s="117" t="s">
        <v>34</v>
      </c>
      <c r="B139" s="118" t="s">
        <v>311</v>
      </c>
      <c r="C139" s="119">
        <v>44098</v>
      </c>
      <c r="D139" s="125">
        <v>9998</v>
      </c>
      <c r="E139" s="126" t="s">
        <v>300</v>
      </c>
      <c r="F139" s="118" t="s">
        <v>129</v>
      </c>
      <c r="G139" s="126"/>
      <c r="H139" s="126"/>
      <c r="I139" s="117"/>
    </row>
    <row r="140" spans="1:9" s="67" customFormat="1" ht="30" x14ac:dyDescent="0.25">
      <c r="A140" s="117" t="s">
        <v>66</v>
      </c>
      <c r="B140" s="118" t="s">
        <v>310</v>
      </c>
      <c r="C140" s="119">
        <v>44107</v>
      </c>
      <c r="D140" s="125">
        <v>18401</v>
      </c>
      <c r="E140" s="126"/>
      <c r="F140" s="118"/>
      <c r="G140" s="126"/>
      <c r="H140" s="126"/>
      <c r="I140" s="117"/>
    </row>
    <row r="141" spans="1:9" s="67" customFormat="1" x14ac:dyDescent="0.25">
      <c r="A141" s="121" t="s">
        <v>51</v>
      </c>
      <c r="B141" s="123" t="s">
        <v>231</v>
      </c>
      <c r="C141" s="84">
        <v>44109</v>
      </c>
      <c r="D141" s="124">
        <v>6000</v>
      </c>
      <c r="E141" s="86"/>
      <c r="F141" s="83"/>
      <c r="G141" s="86"/>
      <c r="H141" s="86"/>
      <c r="I141" s="98"/>
    </row>
    <row r="142" spans="1:9" s="67" customFormat="1" x14ac:dyDescent="0.25">
      <c r="A142" s="117" t="s">
        <v>60</v>
      </c>
      <c r="B142" s="118" t="s">
        <v>302</v>
      </c>
      <c r="C142" s="119">
        <v>44110</v>
      </c>
      <c r="D142" s="125">
        <v>3000</v>
      </c>
      <c r="E142" s="126"/>
      <c r="F142" s="118"/>
      <c r="G142" s="126"/>
      <c r="H142" s="126"/>
      <c r="I142" s="117"/>
    </row>
    <row r="143" spans="1:9" s="67" customFormat="1" x14ac:dyDescent="0.25">
      <c r="A143" s="117" t="s">
        <v>53</v>
      </c>
      <c r="B143" s="118" t="s">
        <v>303</v>
      </c>
      <c r="C143" s="119">
        <v>44110</v>
      </c>
      <c r="D143" s="125">
        <v>4199</v>
      </c>
      <c r="E143" s="126"/>
      <c r="F143" s="118"/>
      <c r="G143" s="126"/>
      <c r="H143" s="126"/>
      <c r="I143" s="117"/>
    </row>
    <row r="144" spans="1:9" s="67" customFormat="1" ht="60" x14ac:dyDescent="0.25">
      <c r="A144" s="117" t="s">
        <v>34</v>
      </c>
      <c r="B144" s="118" t="s">
        <v>304</v>
      </c>
      <c r="C144" s="119">
        <v>44110</v>
      </c>
      <c r="D144" s="125">
        <v>10000</v>
      </c>
      <c r="E144" s="126" t="s">
        <v>309</v>
      </c>
      <c r="F144" s="118" t="s">
        <v>129</v>
      </c>
      <c r="G144" s="126"/>
      <c r="H144" s="126"/>
      <c r="I144" s="117"/>
    </row>
    <row r="145" spans="1:9" s="67" customFormat="1" ht="30" x14ac:dyDescent="0.25">
      <c r="A145" s="117" t="s">
        <v>66</v>
      </c>
      <c r="B145" s="118" t="s">
        <v>305</v>
      </c>
      <c r="C145" s="119">
        <v>44111</v>
      </c>
      <c r="D145" s="125">
        <v>18102</v>
      </c>
      <c r="E145" s="126"/>
      <c r="F145" s="118"/>
      <c r="G145" s="126"/>
      <c r="H145" s="126"/>
      <c r="I145" s="117"/>
    </row>
    <row r="146" spans="1:9" s="67" customFormat="1" x14ac:dyDescent="0.25">
      <c r="A146" s="117" t="s">
        <v>70</v>
      </c>
      <c r="B146" s="118" t="s">
        <v>306</v>
      </c>
      <c r="C146" s="119">
        <v>44111</v>
      </c>
      <c r="D146" s="125">
        <v>2016</v>
      </c>
      <c r="E146" s="126"/>
      <c r="F146" s="118"/>
      <c r="G146" s="126"/>
      <c r="H146" s="126"/>
      <c r="I146" s="117"/>
    </row>
    <row r="147" spans="1:9" s="67" customFormat="1" ht="60" x14ac:dyDescent="0.25">
      <c r="A147" s="117" t="s">
        <v>131</v>
      </c>
      <c r="B147" s="118" t="s">
        <v>307</v>
      </c>
      <c r="C147" s="119">
        <v>44116</v>
      </c>
      <c r="D147" s="125">
        <v>19971.5</v>
      </c>
      <c r="E147" s="126" t="s">
        <v>354</v>
      </c>
      <c r="F147" s="83" t="s">
        <v>355</v>
      </c>
      <c r="G147" s="126"/>
      <c r="H147" s="126"/>
      <c r="I147" s="117"/>
    </row>
    <row r="148" spans="1:9" s="67" customFormat="1" ht="30" x14ac:dyDescent="0.25">
      <c r="A148" s="117" t="s">
        <v>66</v>
      </c>
      <c r="B148" s="118" t="s">
        <v>308</v>
      </c>
      <c r="C148" s="119">
        <v>44118</v>
      </c>
      <c r="D148" s="125">
        <v>17979</v>
      </c>
      <c r="E148" s="126"/>
      <c r="F148" s="118"/>
      <c r="G148" s="126"/>
      <c r="H148" s="126"/>
      <c r="I148" s="117"/>
    </row>
    <row r="149" spans="1:9" s="67" customFormat="1" ht="60" x14ac:dyDescent="0.25">
      <c r="A149" s="117" t="s">
        <v>34</v>
      </c>
      <c r="B149" s="118" t="s">
        <v>312</v>
      </c>
      <c r="C149" s="119">
        <v>44123</v>
      </c>
      <c r="D149" s="125">
        <v>10000</v>
      </c>
      <c r="E149" s="126" t="s">
        <v>333</v>
      </c>
      <c r="F149" s="118" t="s">
        <v>129</v>
      </c>
      <c r="G149" s="126"/>
      <c r="H149" s="126"/>
      <c r="I149" s="117"/>
    </row>
    <row r="150" spans="1:9" s="67" customFormat="1" x14ac:dyDescent="0.25">
      <c r="A150" s="117" t="s">
        <v>66</v>
      </c>
      <c r="B150" s="118" t="s">
        <v>313</v>
      </c>
      <c r="C150" s="119">
        <v>44134</v>
      </c>
      <c r="D150" s="125">
        <v>18206</v>
      </c>
      <c r="E150" s="126"/>
      <c r="F150" s="118"/>
      <c r="G150" s="126"/>
      <c r="H150" s="126"/>
      <c r="I150" s="117"/>
    </row>
    <row r="151" spans="1:9" s="67" customFormat="1" ht="105" x14ac:dyDescent="0.25">
      <c r="A151" s="117" t="s">
        <v>66</v>
      </c>
      <c r="B151" s="118" t="s">
        <v>121</v>
      </c>
      <c r="C151" s="119">
        <v>44134</v>
      </c>
      <c r="D151" s="125">
        <v>19500</v>
      </c>
      <c r="E151" s="126" t="s">
        <v>334</v>
      </c>
      <c r="F151" s="118" t="s">
        <v>296</v>
      </c>
      <c r="G151" s="126"/>
      <c r="H151" s="126"/>
      <c r="I151" s="117"/>
    </row>
    <row r="152" spans="1:9" s="67" customFormat="1" x14ac:dyDescent="0.25">
      <c r="A152" s="117" t="s">
        <v>53</v>
      </c>
      <c r="B152" s="118" t="s">
        <v>314</v>
      </c>
      <c r="C152" s="119">
        <v>44138</v>
      </c>
      <c r="D152" s="125">
        <v>7059</v>
      </c>
      <c r="E152" s="126"/>
      <c r="F152" s="83"/>
      <c r="G152" s="126"/>
      <c r="H152" s="126"/>
      <c r="I152" s="117"/>
    </row>
    <row r="153" spans="1:9" s="67" customFormat="1" x14ac:dyDescent="0.25">
      <c r="A153" s="117" t="s">
        <v>51</v>
      </c>
      <c r="B153" s="118" t="s">
        <v>315</v>
      </c>
      <c r="C153" s="119">
        <v>44141</v>
      </c>
      <c r="D153" s="125">
        <v>6000</v>
      </c>
      <c r="E153" s="126"/>
      <c r="F153" s="118"/>
      <c r="G153" s="126"/>
      <c r="H153" s="126"/>
      <c r="I153" s="117"/>
    </row>
    <row r="154" spans="1:9" s="67" customFormat="1" x14ac:dyDescent="0.25">
      <c r="A154" s="121" t="s">
        <v>55</v>
      </c>
      <c r="B154" s="123" t="s">
        <v>231</v>
      </c>
      <c r="C154" s="84">
        <v>44144</v>
      </c>
      <c r="D154" s="124">
        <v>1794</v>
      </c>
      <c r="E154" s="86"/>
      <c r="F154" s="83"/>
      <c r="G154" s="86"/>
      <c r="H154" s="86"/>
      <c r="I154" s="98"/>
    </row>
    <row r="155" spans="1:9" s="67" customFormat="1" x14ac:dyDescent="0.25">
      <c r="A155" s="117" t="s">
        <v>34</v>
      </c>
      <c r="B155" s="118" t="s">
        <v>316</v>
      </c>
      <c r="C155" s="119">
        <v>44144</v>
      </c>
      <c r="D155" s="125">
        <v>9985</v>
      </c>
      <c r="E155" s="126" t="s">
        <v>191</v>
      </c>
      <c r="F155" s="118"/>
      <c r="G155" s="126"/>
      <c r="H155" s="126"/>
      <c r="I155" s="117"/>
    </row>
    <row r="156" spans="1:9" s="67" customFormat="1" ht="30" x14ac:dyDescent="0.25">
      <c r="A156" s="117" t="s">
        <v>66</v>
      </c>
      <c r="B156" s="118" t="s">
        <v>317</v>
      </c>
      <c r="C156" s="119">
        <v>44145</v>
      </c>
      <c r="D156" s="125">
        <v>18810</v>
      </c>
      <c r="E156" s="126"/>
      <c r="F156" s="118"/>
      <c r="G156" s="126"/>
      <c r="H156" s="126"/>
      <c r="I156" s="117"/>
    </row>
    <row r="157" spans="1:9" s="67" customFormat="1" ht="30" x14ac:dyDescent="0.25">
      <c r="A157" s="117" t="s">
        <v>66</v>
      </c>
      <c r="B157" s="118" t="s">
        <v>318</v>
      </c>
      <c r="C157" s="119">
        <v>44148</v>
      </c>
      <c r="D157" s="125">
        <v>18150</v>
      </c>
      <c r="E157" s="126"/>
      <c r="F157" s="118"/>
      <c r="G157" s="126"/>
      <c r="H157" s="126"/>
      <c r="I157" s="117"/>
    </row>
    <row r="158" spans="1:9" s="67" customFormat="1" x14ac:dyDescent="0.25">
      <c r="A158" s="117" t="s">
        <v>59</v>
      </c>
      <c r="B158" s="118" t="s">
        <v>319</v>
      </c>
      <c r="C158" s="119">
        <v>44148</v>
      </c>
      <c r="D158" s="125">
        <v>324</v>
      </c>
      <c r="E158" s="126"/>
      <c r="F158" s="118"/>
      <c r="G158" s="126"/>
      <c r="H158" s="126"/>
      <c r="I158" s="117"/>
    </row>
    <row r="159" spans="1:9" s="67" customFormat="1" x14ac:dyDescent="0.25">
      <c r="A159" s="117" t="s">
        <v>34</v>
      </c>
      <c r="B159" s="118" t="s">
        <v>320</v>
      </c>
      <c r="C159" s="119">
        <v>44151</v>
      </c>
      <c r="D159" s="125">
        <v>10016</v>
      </c>
      <c r="E159" s="126" t="s">
        <v>191</v>
      </c>
      <c r="F159" s="118"/>
      <c r="G159" s="126"/>
      <c r="H159" s="126"/>
      <c r="I159" s="117"/>
    </row>
    <row r="160" spans="1:9" s="67" customFormat="1" ht="30" x14ac:dyDescent="0.25">
      <c r="A160" s="117" t="s">
        <v>66</v>
      </c>
      <c r="B160" s="118" t="s">
        <v>321</v>
      </c>
      <c r="C160" s="119">
        <v>44152</v>
      </c>
      <c r="D160" s="125">
        <v>36801</v>
      </c>
      <c r="E160" s="126"/>
      <c r="F160" s="118"/>
      <c r="G160" s="126"/>
      <c r="H160" s="126"/>
      <c r="I160" s="117"/>
    </row>
    <row r="161" spans="1:9" s="67" customFormat="1" x14ac:dyDescent="0.25">
      <c r="A161" s="117" t="s">
        <v>31</v>
      </c>
      <c r="B161" s="118" t="s">
        <v>322</v>
      </c>
      <c r="C161" s="119">
        <v>44155</v>
      </c>
      <c r="D161" s="125">
        <v>1175</v>
      </c>
      <c r="E161" s="126"/>
      <c r="F161" s="118"/>
      <c r="G161" s="126"/>
      <c r="H161" s="126"/>
      <c r="I161" s="117"/>
    </row>
    <row r="162" spans="1:9" s="67" customFormat="1" x14ac:dyDescent="0.25">
      <c r="A162" s="117" t="s">
        <v>51</v>
      </c>
      <c r="B162" s="118" t="s">
        <v>324</v>
      </c>
      <c r="C162" s="119">
        <v>44155</v>
      </c>
      <c r="D162" s="125">
        <v>2000</v>
      </c>
      <c r="E162" s="126"/>
      <c r="F162" s="118"/>
      <c r="G162" s="126"/>
      <c r="H162" s="126"/>
      <c r="I162" s="117"/>
    </row>
    <row r="163" spans="1:9" s="67" customFormat="1" x14ac:dyDescent="0.25">
      <c r="A163" s="98" t="s">
        <v>69</v>
      </c>
      <c r="B163" s="83" t="s">
        <v>325</v>
      </c>
      <c r="C163" s="84">
        <v>44156</v>
      </c>
      <c r="D163" s="124">
        <v>18368</v>
      </c>
      <c r="E163" s="86"/>
      <c r="F163" s="83"/>
      <c r="G163" s="86"/>
      <c r="H163" s="86"/>
      <c r="I163" s="98"/>
    </row>
    <row r="164" spans="1:9" s="67" customFormat="1" x14ac:dyDescent="0.25">
      <c r="A164" s="98" t="s">
        <v>53</v>
      </c>
      <c r="B164" s="83" t="s">
        <v>326</v>
      </c>
      <c r="C164" s="84">
        <v>44158</v>
      </c>
      <c r="D164" s="124">
        <v>2500</v>
      </c>
      <c r="E164" s="86"/>
      <c r="F164" s="83"/>
      <c r="G164" s="86"/>
      <c r="H164" s="86"/>
      <c r="I164" s="98"/>
    </row>
    <row r="165" spans="1:9" s="67" customFormat="1" ht="60" x14ac:dyDescent="0.25">
      <c r="A165" s="98" t="s">
        <v>34</v>
      </c>
      <c r="B165" s="83" t="s">
        <v>327</v>
      </c>
      <c r="C165" s="84">
        <v>44159</v>
      </c>
      <c r="D165" s="124">
        <v>5488</v>
      </c>
      <c r="E165" s="86" t="s">
        <v>335</v>
      </c>
      <c r="F165" s="118" t="s">
        <v>129</v>
      </c>
      <c r="G165" s="86"/>
      <c r="H165" s="86"/>
      <c r="I165" s="98"/>
    </row>
    <row r="166" spans="1:9" s="67" customFormat="1" x14ac:dyDescent="0.25">
      <c r="A166" s="98" t="s">
        <v>66</v>
      </c>
      <c r="B166" s="83" t="s">
        <v>186</v>
      </c>
      <c r="C166" s="84">
        <v>44160</v>
      </c>
      <c r="D166" s="124">
        <v>19500</v>
      </c>
      <c r="E166" s="86"/>
      <c r="F166" s="83"/>
      <c r="G166" s="86"/>
      <c r="H166" s="86"/>
      <c r="I166" s="98"/>
    </row>
    <row r="167" spans="1:9" s="67" customFormat="1" ht="30" x14ac:dyDescent="0.25">
      <c r="A167" s="98" t="s">
        <v>66</v>
      </c>
      <c r="B167" s="83" t="s">
        <v>328</v>
      </c>
      <c r="C167" s="84">
        <v>44161</v>
      </c>
      <c r="D167" s="124">
        <v>18639</v>
      </c>
      <c r="E167" s="86"/>
      <c r="F167" s="83"/>
      <c r="G167" s="86"/>
      <c r="H167" s="86"/>
      <c r="I167" s="98"/>
    </row>
    <row r="168" spans="1:9" s="67" customFormat="1" ht="30" x14ac:dyDescent="0.25">
      <c r="A168" s="98" t="s">
        <v>69</v>
      </c>
      <c r="B168" s="83" t="s">
        <v>329</v>
      </c>
      <c r="C168" s="84">
        <v>44161</v>
      </c>
      <c r="D168" s="124">
        <v>18432</v>
      </c>
      <c r="E168" s="86"/>
      <c r="F168" s="83"/>
      <c r="G168" s="86"/>
      <c r="H168" s="86"/>
      <c r="I168" s="98"/>
    </row>
    <row r="169" spans="1:9" s="67" customFormat="1" x14ac:dyDescent="0.25">
      <c r="A169" s="98" t="s">
        <v>66</v>
      </c>
      <c r="B169" s="83" t="s">
        <v>330</v>
      </c>
      <c r="C169" s="84">
        <v>44162</v>
      </c>
      <c r="D169" s="124">
        <v>6818</v>
      </c>
      <c r="E169" s="86"/>
      <c r="F169" s="83"/>
      <c r="G169" s="86"/>
      <c r="H169" s="86"/>
      <c r="I169" s="98"/>
    </row>
    <row r="170" spans="1:9" s="67" customFormat="1" x14ac:dyDescent="0.25">
      <c r="A170" s="98" t="s">
        <v>69</v>
      </c>
      <c r="B170" s="83" t="s">
        <v>331</v>
      </c>
      <c r="C170" s="84">
        <v>44162</v>
      </c>
      <c r="D170" s="124">
        <v>11902</v>
      </c>
      <c r="E170" s="86"/>
      <c r="F170" s="83"/>
      <c r="G170" s="86"/>
      <c r="H170" s="86"/>
      <c r="I170" s="98"/>
    </row>
    <row r="171" spans="1:9" s="67" customFormat="1" x14ac:dyDescent="0.25">
      <c r="A171" s="98" t="s">
        <v>34</v>
      </c>
      <c r="B171" s="83" t="s">
        <v>332</v>
      </c>
      <c r="C171" s="84">
        <v>44162</v>
      </c>
      <c r="D171" s="124">
        <v>10344</v>
      </c>
      <c r="E171" s="86" t="s">
        <v>191</v>
      </c>
      <c r="F171" s="83"/>
      <c r="G171" s="86"/>
      <c r="H171" s="86"/>
      <c r="I171" s="98"/>
    </row>
    <row r="172" spans="1:9" s="67" customFormat="1" x14ac:dyDescent="0.25">
      <c r="A172" s="98" t="s">
        <v>34</v>
      </c>
      <c r="B172" s="83" t="s">
        <v>332</v>
      </c>
      <c r="C172" s="84">
        <v>44165</v>
      </c>
      <c r="D172" s="124">
        <v>4239</v>
      </c>
      <c r="E172" s="86" t="s">
        <v>191</v>
      </c>
      <c r="F172" s="83"/>
      <c r="G172" s="86"/>
      <c r="H172" s="86"/>
      <c r="I172" s="98"/>
    </row>
    <row r="173" spans="1:9" s="67" customFormat="1" ht="30" x14ac:dyDescent="0.25">
      <c r="A173" s="98" t="s">
        <v>32</v>
      </c>
      <c r="B173" s="83" t="s">
        <v>323</v>
      </c>
      <c r="C173" s="84">
        <v>44155</v>
      </c>
      <c r="D173" s="124">
        <v>512</v>
      </c>
      <c r="E173" s="86"/>
      <c r="F173" s="83"/>
      <c r="G173" s="86"/>
      <c r="H173" s="86"/>
      <c r="I173" s="98"/>
    </row>
    <row r="174" spans="1:9" s="67" customFormat="1" x14ac:dyDescent="0.25">
      <c r="A174" s="98" t="s">
        <v>66</v>
      </c>
      <c r="B174" s="83" t="s">
        <v>330</v>
      </c>
      <c r="C174" s="84">
        <v>44166</v>
      </c>
      <c r="D174" s="124">
        <v>18782</v>
      </c>
      <c r="E174" s="86"/>
      <c r="F174" s="83"/>
      <c r="G174" s="86"/>
      <c r="H174" s="86"/>
      <c r="I174" s="98"/>
    </row>
    <row r="175" spans="1:9" s="67" customFormat="1" x14ac:dyDescent="0.25">
      <c r="A175" s="98" t="s">
        <v>66</v>
      </c>
      <c r="B175" s="83" t="s">
        <v>336</v>
      </c>
      <c r="C175" s="84">
        <v>44167</v>
      </c>
      <c r="D175" s="124">
        <v>13680</v>
      </c>
      <c r="E175" s="86"/>
      <c r="F175" s="83"/>
      <c r="G175" s="86"/>
      <c r="H175" s="86"/>
      <c r="I175" s="98"/>
    </row>
    <row r="176" spans="1:9" s="67" customFormat="1" ht="45" x14ac:dyDescent="0.25">
      <c r="A176" s="98" t="s">
        <v>131</v>
      </c>
      <c r="B176" s="83" t="s">
        <v>337</v>
      </c>
      <c r="C176" s="84">
        <v>44167</v>
      </c>
      <c r="D176" s="124">
        <v>10432</v>
      </c>
      <c r="E176" s="86" t="s">
        <v>348</v>
      </c>
      <c r="F176" s="83" t="s">
        <v>157</v>
      </c>
      <c r="G176" s="86"/>
      <c r="H176" s="86"/>
      <c r="I176" s="98"/>
    </row>
    <row r="177" spans="1:9" s="67" customFormat="1" x14ac:dyDescent="0.25">
      <c r="A177" s="98" t="s">
        <v>34</v>
      </c>
      <c r="B177" s="83" t="s">
        <v>338</v>
      </c>
      <c r="C177" s="84">
        <v>44169</v>
      </c>
      <c r="D177" s="124">
        <v>9825</v>
      </c>
      <c r="E177" s="86" t="s">
        <v>191</v>
      </c>
      <c r="F177" s="83"/>
      <c r="G177" s="86"/>
      <c r="H177" s="86"/>
      <c r="I177" s="98"/>
    </row>
    <row r="178" spans="1:9" s="67" customFormat="1" x14ac:dyDescent="0.25">
      <c r="A178" s="98" t="s">
        <v>55</v>
      </c>
      <c r="B178" s="83" t="s">
        <v>339</v>
      </c>
      <c r="C178" s="84">
        <v>44174</v>
      </c>
      <c r="D178" s="124">
        <v>1835</v>
      </c>
      <c r="E178" s="86"/>
      <c r="F178" s="83"/>
      <c r="G178" s="86"/>
      <c r="H178" s="86"/>
      <c r="I178" s="98"/>
    </row>
    <row r="179" spans="1:9" s="67" customFormat="1" x14ac:dyDescent="0.25">
      <c r="A179" s="117" t="s">
        <v>51</v>
      </c>
      <c r="B179" s="118" t="s">
        <v>315</v>
      </c>
      <c r="C179" s="119">
        <v>44174</v>
      </c>
      <c r="D179" s="125">
        <v>3000</v>
      </c>
      <c r="E179" s="126"/>
      <c r="F179" s="118"/>
      <c r="G179" s="126"/>
      <c r="H179" s="126"/>
      <c r="I179" s="117"/>
    </row>
    <row r="180" spans="1:9" s="67" customFormat="1" x14ac:dyDescent="0.25">
      <c r="A180" s="98" t="s">
        <v>31</v>
      </c>
      <c r="B180" s="83" t="s">
        <v>322</v>
      </c>
      <c r="C180" s="84">
        <v>44175</v>
      </c>
      <c r="D180" s="124">
        <v>2382</v>
      </c>
      <c r="E180" s="86"/>
      <c r="F180" s="83"/>
      <c r="G180" s="86"/>
      <c r="H180" s="86"/>
      <c r="I180" s="98"/>
    </row>
    <row r="181" spans="1:9" s="67" customFormat="1" ht="60" x14ac:dyDescent="0.25">
      <c r="A181" s="98" t="s">
        <v>34</v>
      </c>
      <c r="B181" s="83" t="s">
        <v>340</v>
      </c>
      <c r="C181" s="84">
        <v>44179</v>
      </c>
      <c r="D181" s="124">
        <v>10082</v>
      </c>
      <c r="E181" s="86" t="s">
        <v>353</v>
      </c>
      <c r="F181" s="118" t="s">
        <v>129</v>
      </c>
      <c r="G181" s="86"/>
      <c r="H181" s="86"/>
      <c r="I181" s="98"/>
    </row>
    <row r="182" spans="1:9" s="67" customFormat="1" x14ac:dyDescent="0.25">
      <c r="A182" s="98" t="s">
        <v>60</v>
      </c>
      <c r="B182" s="83" t="s">
        <v>341</v>
      </c>
      <c r="C182" s="84">
        <v>44179</v>
      </c>
      <c r="D182" s="124">
        <v>1500</v>
      </c>
      <c r="E182" s="86"/>
      <c r="F182" s="83"/>
      <c r="G182" s="86"/>
      <c r="H182" s="86"/>
      <c r="I182" s="98"/>
    </row>
    <row r="183" spans="1:9" s="67" customFormat="1" x14ac:dyDescent="0.25">
      <c r="A183" s="98" t="s">
        <v>66</v>
      </c>
      <c r="B183" s="83" t="s">
        <v>342</v>
      </c>
      <c r="C183" s="84">
        <v>44180</v>
      </c>
      <c r="D183" s="124">
        <v>19463</v>
      </c>
      <c r="E183" s="86"/>
      <c r="F183" s="83"/>
      <c r="G183" s="86"/>
      <c r="H183" s="86"/>
      <c r="I183" s="98"/>
    </row>
    <row r="184" spans="1:9" s="67" customFormat="1" x14ac:dyDescent="0.25">
      <c r="A184" s="98" t="s">
        <v>70</v>
      </c>
      <c r="B184" s="83" t="s">
        <v>343</v>
      </c>
      <c r="C184" s="84">
        <v>44181</v>
      </c>
      <c r="D184" s="124">
        <v>2016</v>
      </c>
      <c r="E184" s="86"/>
      <c r="F184" s="83"/>
      <c r="G184" s="86"/>
      <c r="H184" s="86"/>
      <c r="I184" s="98"/>
    </row>
    <row r="185" spans="1:9" s="67" customFormat="1" ht="45" x14ac:dyDescent="0.25">
      <c r="A185" s="98" t="s">
        <v>131</v>
      </c>
      <c r="B185" s="83" t="s">
        <v>344</v>
      </c>
      <c r="C185" s="84">
        <v>44183</v>
      </c>
      <c r="D185" s="124">
        <v>20000</v>
      </c>
      <c r="E185" s="86" t="s">
        <v>349</v>
      </c>
      <c r="F185" s="83" t="s">
        <v>157</v>
      </c>
      <c r="G185" s="86"/>
      <c r="H185" s="86"/>
      <c r="I185" s="98"/>
    </row>
    <row r="186" spans="1:9" s="67" customFormat="1" x14ac:dyDescent="0.25">
      <c r="A186" s="98" t="s">
        <v>31</v>
      </c>
      <c r="B186" s="83" t="s">
        <v>345</v>
      </c>
      <c r="C186" s="84">
        <v>44183</v>
      </c>
      <c r="D186" s="124">
        <v>1014</v>
      </c>
      <c r="E186" s="86"/>
      <c r="F186" s="83"/>
      <c r="G186" s="86"/>
      <c r="H186" s="86"/>
      <c r="I186" s="98"/>
    </row>
    <row r="187" spans="1:9" s="67" customFormat="1" x14ac:dyDescent="0.25">
      <c r="A187" s="98" t="s">
        <v>34</v>
      </c>
      <c r="B187" s="83" t="s">
        <v>346</v>
      </c>
      <c r="C187" s="84">
        <v>44186</v>
      </c>
      <c r="D187" s="124">
        <v>9929</v>
      </c>
      <c r="E187" s="86" t="s">
        <v>191</v>
      </c>
      <c r="F187" s="83"/>
      <c r="G187" s="86"/>
      <c r="H187" s="86"/>
      <c r="I187" s="98"/>
    </row>
    <row r="188" spans="1:9" s="67" customFormat="1" x14ac:dyDescent="0.25">
      <c r="A188" s="98" t="s">
        <v>66</v>
      </c>
      <c r="B188" s="83" t="s">
        <v>347</v>
      </c>
      <c r="C188" s="84">
        <v>44187</v>
      </c>
      <c r="D188" s="124">
        <v>19500</v>
      </c>
      <c r="E188" s="86"/>
      <c r="F188" s="83"/>
      <c r="G188" s="86"/>
      <c r="H188" s="86"/>
      <c r="I188" s="98"/>
    </row>
    <row r="189" spans="1:9" s="67" customFormat="1" ht="30" x14ac:dyDescent="0.25">
      <c r="A189" s="98" t="s">
        <v>66</v>
      </c>
      <c r="B189" s="83" t="s">
        <v>350</v>
      </c>
      <c r="C189" s="84">
        <v>44194</v>
      </c>
      <c r="D189" s="124">
        <v>33691</v>
      </c>
      <c r="E189" s="86"/>
      <c r="F189" s="83"/>
      <c r="G189" s="86"/>
      <c r="H189" s="86"/>
      <c r="I189" s="98"/>
    </row>
    <row r="190" spans="1:9" s="67" customFormat="1" x14ac:dyDescent="0.25">
      <c r="A190" s="98"/>
      <c r="B190" s="83"/>
      <c r="C190" s="84"/>
      <c r="D190" s="124"/>
      <c r="E190" s="86"/>
      <c r="F190" s="83"/>
      <c r="G190" s="86"/>
      <c r="H190" s="86"/>
      <c r="I190" s="98"/>
    </row>
    <row r="191" spans="1:9" s="67" customFormat="1" x14ac:dyDescent="0.25">
      <c r="A191" s="98"/>
      <c r="B191" s="83"/>
      <c r="C191" s="84"/>
      <c r="D191" s="124"/>
      <c r="E191" s="86"/>
      <c r="F191" s="83"/>
      <c r="G191" s="86"/>
      <c r="H191" s="86"/>
      <c r="I191" s="98"/>
    </row>
    <row r="192" spans="1:9" s="67" customFormat="1" x14ac:dyDescent="0.25">
      <c r="A192" s="98"/>
      <c r="B192" s="83"/>
      <c r="C192" s="84"/>
      <c r="D192" s="124"/>
      <c r="E192" s="86"/>
      <c r="F192" s="83"/>
      <c r="G192" s="86"/>
      <c r="H192" s="86"/>
      <c r="I192" s="98"/>
    </row>
    <row r="193" spans="1:9" s="67" customFormat="1" x14ac:dyDescent="0.25">
      <c r="A193" s="98"/>
      <c r="B193" s="83"/>
      <c r="C193" s="84"/>
      <c r="D193" s="124"/>
      <c r="E193" s="86"/>
      <c r="F193" s="83"/>
      <c r="G193" s="86"/>
      <c r="H193" s="86"/>
      <c r="I193" s="98"/>
    </row>
    <row r="194" spans="1:9" s="67" customFormat="1" x14ac:dyDescent="0.25">
      <c r="A194" s="98"/>
      <c r="B194" s="83"/>
      <c r="C194" s="84"/>
      <c r="D194" s="124"/>
      <c r="E194" s="86"/>
      <c r="F194" s="83"/>
      <c r="G194" s="86"/>
      <c r="H194" s="86"/>
      <c r="I194" s="98"/>
    </row>
    <row r="195" spans="1:9" s="67" customFormat="1" x14ac:dyDescent="0.25">
      <c r="A195" s="98"/>
      <c r="B195" s="83"/>
      <c r="C195" s="84"/>
      <c r="D195" s="124"/>
      <c r="E195" s="86"/>
      <c r="F195" s="83"/>
      <c r="G195" s="86"/>
      <c r="H195" s="86"/>
      <c r="I195" s="98"/>
    </row>
    <row r="196" spans="1:9" s="67" customFormat="1" x14ac:dyDescent="0.25">
      <c r="A196" s="98"/>
      <c r="B196" s="83"/>
      <c r="C196" s="84"/>
      <c r="D196" s="124"/>
      <c r="E196" s="86"/>
      <c r="F196" s="83"/>
      <c r="G196" s="86"/>
      <c r="H196" s="86"/>
      <c r="I196" s="98"/>
    </row>
    <row r="197" spans="1:9" s="67" customFormat="1" x14ac:dyDescent="0.25">
      <c r="A197" s="98"/>
      <c r="B197" s="83"/>
      <c r="C197" s="84"/>
      <c r="D197" s="124"/>
      <c r="E197" s="86"/>
      <c r="F197" s="83"/>
      <c r="G197" s="86"/>
      <c r="H197" s="86"/>
      <c r="I197" s="98"/>
    </row>
    <row r="198" spans="1:9" s="67" customFormat="1" x14ac:dyDescent="0.25">
      <c r="A198" s="98"/>
      <c r="B198" s="83"/>
      <c r="C198" s="84"/>
      <c r="D198" s="124"/>
      <c r="E198" s="86"/>
      <c r="F198" s="83"/>
      <c r="G198" s="86"/>
      <c r="H198" s="86"/>
      <c r="I198" s="98"/>
    </row>
    <row r="199" spans="1:9" s="67" customFormat="1" x14ac:dyDescent="0.25">
      <c r="A199" s="117"/>
      <c r="B199" s="118"/>
      <c r="C199" s="119"/>
      <c r="D199" s="125"/>
      <c r="E199" s="126"/>
      <c r="F199" s="118"/>
      <c r="G199" s="126"/>
      <c r="H199" s="126"/>
      <c r="I199" s="117"/>
    </row>
    <row r="200" spans="1:9" s="67" customFormat="1" x14ac:dyDescent="0.25">
      <c r="A200" s="98"/>
      <c r="B200" s="83"/>
      <c r="C200" s="84"/>
      <c r="D200" s="124"/>
      <c r="E200" s="86"/>
      <c r="F200" s="83"/>
      <c r="G200" s="86"/>
      <c r="H200" s="86"/>
      <c r="I200" s="98"/>
    </row>
    <row r="201" spans="1:9" s="67" customFormat="1" x14ac:dyDescent="0.25">
      <c r="A201" s="98"/>
      <c r="B201" s="83"/>
      <c r="C201" s="84"/>
      <c r="D201" s="124"/>
      <c r="E201" s="86"/>
      <c r="F201" s="83"/>
      <c r="G201" s="86"/>
      <c r="H201" s="86"/>
      <c r="I201" s="98"/>
    </row>
    <row r="202" spans="1:9" s="67" customFormat="1" x14ac:dyDescent="0.25">
      <c r="A202" s="98"/>
      <c r="B202" s="83"/>
      <c r="C202" s="84"/>
      <c r="D202" s="124"/>
      <c r="E202" s="86"/>
      <c r="F202" s="83"/>
      <c r="G202" s="86"/>
      <c r="H202" s="86"/>
      <c r="I202" s="98"/>
    </row>
    <row r="203" spans="1:9" s="67" customFormat="1" x14ac:dyDescent="0.25">
      <c r="A203" s="98"/>
      <c r="B203" s="83"/>
      <c r="C203" s="84"/>
      <c r="D203" s="124"/>
      <c r="E203" s="86"/>
      <c r="F203" s="83"/>
      <c r="G203" s="86"/>
      <c r="H203" s="86"/>
      <c r="I203" s="98"/>
    </row>
    <row r="204" spans="1:9" s="67" customFormat="1" x14ac:dyDescent="0.25">
      <c r="A204" s="98"/>
      <c r="B204" s="83"/>
      <c r="C204" s="84"/>
      <c r="D204" s="124"/>
      <c r="E204" s="86"/>
      <c r="F204" s="83"/>
      <c r="G204" s="86"/>
      <c r="H204" s="86"/>
      <c r="I204" s="98"/>
    </row>
    <row r="205" spans="1:9" s="67" customFormat="1" x14ac:dyDescent="0.25">
      <c r="A205" s="98"/>
      <c r="B205" s="83"/>
      <c r="C205" s="84"/>
      <c r="D205" s="124"/>
      <c r="E205" s="86"/>
      <c r="F205" s="83"/>
      <c r="G205" s="86"/>
      <c r="H205" s="86"/>
      <c r="I205" s="98"/>
    </row>
    <row r="206" spans="1:9" s="67" customFormat="1" x14ac:dyDescent="0.25">
      <c r="A206" s="98"/>
      <c r="B206" s="83"/>
      <c r="C206" s="84"/>
      <c r="D206" s="124"/>
      <c r="E206" s="86"/>
      <c r="F206" s="83"/>
      <c r="G206" s="86"/>
      <c r="H206" s="86"/>
      <c r="I206" s="98"/>
    </row>
    <row r="207" spans="1:9" s="67" customFormat="1" x14ac:dyDescent="0.25">
      <c r="A207" s="98"/>
      <c r="B207" s="83"/>
      <c r="C207" s="84"/>
      <c r="D207" s="124"/>
      <c r="E207" s="86"/>
      <c r="F207" s="83"/>
      <c r="G207" s="86"/>
      <c r="H207" s="86"/>
      <c r="I207" s="98"/>
    </row>
    <row r="208" spans="1:9" s="67" customFormat="1" x14ac:dyDescent="0.25">
      <c r="A208" s="98"/>
      <c r="B208" s="83"/>
      <c r="C208" s="84"/>
      <c r="D208" s="124"/>
      <c r="E208" s="86"/>
      <c r="F208" s="83"/>
      <c r="G208" s="86"/>
      <c r="H208" s="86"/>
      <c r="I208" s="98"/>
    </row>
    <row r="209" spans="1:9" s="67" customFormat="1" x14ac:dyDescent="0.25">
      <c r="A209" s="98"/>
      <c r="B209" s="83"/>
      <c r="C209" s="84"/>
      <c r="D209" s="124"/>
      <c r="E209" s="86"/>
      <c r="F209" s="83"/>
      <c r="G209" s="86"/>
      <c r="H209" s="86"/>
      <c r="I209" s="98"/>
    </row>
    <row r="210" spans="1:9" s="67" customFormat="1" x14ac:dyDescent="0.25">
      <c r="A210" s="98"/>
      <c r="B210" s="83"/>
      <c r="C210" s="84"/>
      <c r="D210" s="124"/>
      <c r="E210" s="86"/>
      <c r="F210" s="83"/>
      <c r="G210" s="86"/>
      <c r="H210" s="86"/>
      <c r="I210" s="98"/>
    </row>
    <row r="211" spans="1:9" s="67" customFormat="1" x14ac:dyDescent="0.25">
      <c r="A211" s="98"/>
      <c r="B211" s="83"/>
      <c r="C211" s="84"/>
      <c r="D211" s="124"/>
      <c r="E211" s="86"/>
      <c r="F211" s="83"/>
      <c r="G211" s="86"/>
      <c r="H211" s="86"/>
      <c r="I211" s="98"/>
    </row>
    <row r="212" spans="1:9" s="67" customFormat="1" x14ac:dyDescent="0.25">
      <c r="A212" s="98"/>
      <c r="B212" s="83"/>
      <c r="C212" s="84"/>
      <c r="D212" s="124"/>
      <c r="E212" s="86"/>
      <c r="F212" s="83"/>
      <c r="G212" s="86"/>
      <c r="H212" s="86"/>
      <c r="I212" s="98"/>
    </row>
    <row r="213" spans="1:9" s="67" customFormat="1" x14ac:dyDescent="0.25">
      <c r="A213" s="98"/>
      <c r="B213" s="83"/>
      <c r="C213" s="84"/>
      <c r="D213" s="124"/>
      <c r="E213" s="86"/>
      <c r="F213" s="83"/>
      <c r="G213" s="86"/>
      <c r="H213" s="86"/>
      <c r="I213" s="98"/>
    </row>
    <row r="214" spans="1:9" s="67" customFormat="1" x14ac:dyDescent="0.25">
      <c r="A214" s="98"/>
      <c r="B214" s="83"/>
      <c r="C214" s="84"/>
      <c r="D214" s="124"/>
      <c r="E214" s="86"/>
      <c r="F214" s="83"/>
      <c r="G214" s="86"/>
      <c r="H214" s="86"/>
      <c r="I214" s="98"/>
    </row>
    <row r="215" spans="1:9" s="67" customFormat="1" x14ac:dyDescent="0.25">
      <c r="A215" s="98"/>
      <c r="B215" s="83"/>
      <c r="C215" s="84"/>
      <c r="D215" s="124"/>
      <c r="E215" s="86"/>
      <c r="F215" s="83"/>
      <c r="G215" s="86"/>
      <c r="H215" s="86"/>
      <c r="I215" s="98"/>
    </row>
    <row r="216" spans="1:9" s="67" customFormat="1" x14ac:dyDescent="0.25">
      <c r="A216" s="98"/>
      <c r="B216" s="83"/>
      <c r="C216" s="84"/>
      <c r="D216" s="124"/>
      <c r="E216" s="86"/>
      <c r="F216" s="83"/>
      <c r="G216" s="86"/>
      <c r="H216" s="86"/>
      <c r="I216" s="98"/>
    </row>
    <row r="217" spans="1:9" s="67" customFormat="1" x14ac:dyDescent="0.25">
      <c r="A217" s="98"/>
      <c r="B217" s="83"/>
      <c r="C217" s="84"/>
      <c r="D217" s="124"/>
      <c r="E217" s="86"/>
      <c r="F217" s="83"/>
      <c r="G217" s="86"/>
      <c r="H217" s="86"/>
      <c r="I217" s="98"/>
    </row>
    <row r="218" spans="1:9" s="67" customFormat="1" x14ac:dyDescent="0.25">
      <c r="A218" s="98"/>
      <c r="B218" s="83"/>
      <c r="C218" s="84"/>
      <c r="D218" s="124"/>
      <c r="E218" s="86"/>
      <c r="F218" s="83"/>
      <c r="G218" s="86"/>
      <c r="H218" s="86"/>
      <c r="I218" s="98"/>
    </row>
    <row r="219" spans="1:9" s="67" customFormat="1" x14ac:dyDescent="0.25">
      <c r="A219" s="98"/>
      <c r="B219" s="83"/>
      <c r="C219" s="84"/>
      <c r="D219" s="124"/>
      <c r="E219" s="86"/>
      <c r="F219" s="83"/>
      <c r="G219" s="86"/>
      <c r="H219" s="86"/>
      <c r="I219" s="98"/>
    </row>
    <row r="220" spans="1:9" s="67" customFormat="1" x14ac:dyDescent="0.25">
      <c r="A220" s="98"/>
      <c r="B220" s="83"/>
      <c r="C220" s="84"/>
      <c r="D220" s="124"/>
      <c r="E220" s="86"/>
      <c r="F220" s="83"/>
      <c r="G220" s="86"/>
      <c r="H220" s="86"/>
      <c r="I220" s="98"/>
    </row>
    <row r="221" spans="1:9" s="67" customFormat="1" x14ac:dyDescent="0.25">
      <c r="A221" s="98"/>
      <c r="B221" s="83"/>
      <c r="C221" s="84"/>
      <c r="D221" s="124"/>
      <c r="E221" s="86"/>
      <c r="F221" s="83"/>
      <c r="G221" s="86"/>
      <c r="H221" s="86"/>
      <c r="I221" s="98"/>
    </row>
    <row r="222" spans="1:9" s="67" customFormat="1" x14ac:dyDescent="0.25">
      <c r="A222" s="98"/>
      <c r="B222" s="83"/>
      <c r="C222" s="84"/>
      <c r="D222" s="124"/>
      <c r="E222" s="86"/>
      <c r="F222" s="83"/>
      <c r="G222" s="86"/>
      <c r="H222" s="86"/>
      <c r="I222" s="98"/>
    </row>
    <row r="223" spans="1:9" s="67" customFormat="1" x14ac:dyDescent="0.25">
      <c r="A223" s="98"/>
      <c r="B223" s="83"/>
      <c r="C223" s="84"/>
      <c r="D223" s="124"/>
      <c r="E223" s="86"/>
      <c r="F223" s="83"/>
      <c r="G223" s="86"/>
      <c r="H223" s="86"/>
      <c r="I223" s="98"/>
    </row>
    <row r="224" spans="1:9" s="67" customFormat="1" x14ac:dyDescent="0.25">
      <c r="A224" s="98"/>
      <c r="B224" s="83"/>
      <c r="C224" s="84"/>
      <c r="D224" s="124"/>
      <c r="E224" s="86"/>
      <c r="F224" s="83"/>
      <c r="G224" s="86"/>
      <c r="H224" s="86"/>
      <c r="I224" s="98"/>
    </row>
    <row r="225" spans="1:9" s="67" customFormat="1" x14ac:dyDescent="0.25">
      <c r="A225" s="98"/>
      <c r="B225" s="83"/>
      <c r="C225" s="84"/>
      <c r="D225" s="124"/>
      <c r="E225" s="86"/>
      <c r="F225" s="83"/>
      <c r="G225" s="86"/>
      <c r="H225" s="86"/>
      <c r="I225" s="98"/>
    </row>
    <row r="226" spans="1:9" s="67" customFormat="1" x14ac:dyDescent="0.25">
      <c r="A226" s="98"/>
      <c r="B226" s="83"/>
      <c r="C226" s="84"/>
      <c r="D226" s="124"/>
      <c r="E226" s="86"/>
      <c r="F226" s="83"/>
      <c r="G226" s="86"/>
      <c r="H226" s="86"/>
      <c r="I226" s="98"/>
    </row>
    <row r="227" spans="1:9" s="67" customFormat="1" x14ac:dyDescent="0.25">
      <c r="A227" s="98"/>
      <c r="B227" s="83"/>
      <c r="C227" s="84"/>
      <c r="D227" s="124"/>
      <c r="E227" s="86"/>
      <c r="F227" s="83"/>
      <c r="G227" s="86"/>
      <c r="H227" s="86"/>
      <c r="I227" s="98"/>
    </row>
    <row r="228" spans="1:9" s="67" customFormat="1" x14ac:dyDescent="0.25">
      <c r="A228" s="98"/>
      <c r="B228" s="83"/>
      <c r="C228" s="84"/>
      <c r="D228" s="124"/>
      <c r="E228" s="86"/>
      <c r="F228" s="83"/>
      <c r="G228" s="86"/>
      <c r="H228" s="86"/>
      <c r="I228" s="98"/>
    </row>
    <row r="229" spans="1:9" s="67" customFormat="1" x14ac:dyDescent="0.25">
      <c r="A229" s="98"/>
      <c r="B229" s="83"/>
      <c r="C229" s="84"/>
      <c r="D229" s="124"/>
      <c r="E229" s="86"/>
      <c r="F229" s="83"/>
      <c r="G229" s="86"/>
      <c r="H229" s="86"/>
      <c r="I229" s="98"/>
    </row>
    <row r="230" spans="1:9" s="67" customFormat="1" x14ac:dyDescent="0.25">
      <c r="A230" s="98"/>
      <c r="B230" s="83"/>
      <c r="C230" s="84"/>
      <c r="D230" s="124"/>
      <c r="E230" s="86"/>
      <c r="F230" s="83"/>
      <c r="G230" s="86"/>
      <c r="H230" s="86"/>
      <c r="I230" s="98"/>
    </row>
    <row r="231" spans="1:9" s="67" customFormat="1" x14ac:dyDescent="0.25">
      <c r="A231" s="98"/>
      <c r="B231" s="83"/>
      <c r="C231" s="84"/>
      <c r="D231" s="124"/>
      <c r="E231" s="86"/>
      <c r="F231" s="83"/>
      <c r="G231" s="86"/>
      <c r="H231" s="86"/>
      <c r="I231" s="98"/>
    </row>
    <row r="232" spans="1:9" s="67" customFormat="1" x14ac:dyDescent="0.25">
      <c r="A232" s="98"/>
      <c r="B232" s="83"/>
      <c r="C232" s="84"/>
      <c r="D232" s="124"/>
      <c r="E232" s="86"/>
      <c r="F232" s="83"/>
      <c r="G232" s="86"/>
      <c r="H232" s="86"/>
      <c r="I232" s="98"/>
    </row>
    <row r="233" spans="1:9" s="67" customFormat="1" x14ac:dyDescent="0.25">
      <c r="A233" s="98"/>
      <c r="B233" s="83"/>
      <c r="C233" s="84"/>
      <c r="D233" s="124"/>
      <c r="E233" s="86"/>
      <c r="F233" s="83"/>
      <c r="G233" s="86"/>
      <c r="H233" s="86"/>
      <c r="I233" s="98"/>
    </row>
    <row r="234" spans="1:9" s="67" customFormat="1" x14ac:dyDescent="0.25">
      <c r="A234" s="98"/>
      <c r="B234" s="83"/>
      <c r="C234" s="84"/>
      <c r="D234" s="124"/>
      <c r="E234" s="86"/>
      <c r="F234" s="83"/>
      <c r="G234" s="86"/>
      <c r="H234" s="86"/>
      <c r="I234" s="98"/>
    </row>
    <row r="235" spans="1:9" s="67" customFormat="1" x14ac:dyDescent="0.25">
      <c r="A235" s="98"/>
      <c r="B235" s="83"/>
      <c r="C235" s="84"/>
      <c r="D235" s="124"/>
      <c r="E235" s="86"/>
      <c r="F235" s="83"/>
      <c r="G235" s="86"/>
      <c r="H235" s="86"/>
      <c r="I235" s="98"/>
    </row>
    <row r="236" spans="1:9" s="67" customFormat="1" x14ac:dyDescent="0.25">
      <c r="A236" s="98"/>
      <c r="B236" s="83"/>
      <c r="C236" s="84"/>
      <c r="D236" s="124"/>
      <c r="E236" s="86"/>
      <c r="F236" s="83"/>
      <c r="G236" s="86"/>
      <c r="H236" s="86"/>
      <c r="I236" s="98"/>
    </row>
    <row r="237" spans="1:9" s="67" customFormat="1" x14ac:dyDescent="0.25">
      <c r="A237" s="98"/>
      <c r="B237" s="83"/>
      <c r="C237" s="84"/>
      <c r="D237" s="124"/>
      <c r="E237" s="86"/>
      <c r="F237" s="83"/>
      <c r="G237" s="86"/>
      <c r="H237" s="86"/>
      <c r="I237" s="98"/>
    </row>
    <row r="238" spans="1:9" s="67" customFormat="1" x14ac:dyDescent="0.25">
      <c r="A238" s="98"/>
      <c r="B238" s="83"/>
      <c r="C238" s="84"/>
      <c r="D238" s="124"/>
      <c r="E238" s="86"/>
      <c r="F238" s="83"/>
      <c r="G238" s="86"/>
      <c r="H238" s="86"/>
      <c r="I238" s="98"/>
    </row>
    <row r="239" spans="1:9" s="67" customFormat="1" x14ac:dyDescent="0.25">
      <c r="A239" s="98"/>
      <c r="B239" s="83"/>
      <c r="C239" s="84"/>
      <c r="D239" s="124"/>
      <c r="E239" s="86"/>
      <c r="F239" s="83"/>
      <c r="G239" s="86"/>
      <c r="H239" s="86"/>
      <c r="I239" s="98"/>
    </row>
    <row r="240" spans="1:9" s="67" customFormat="1" x14ac:dyDescent="0.25">
      <c r="A240" s="98"/>
      <c r="B240" s="83"/>
      <c r="C240" s="84"/>
      <c r="D240" s="124"/>
      <c r="E240" s="86"/>
      <c r="F240" s="83"/>
      <c r="G240" s="86"/>
      <c r="H240" s="86"/>
      <c r="I240" s="98"/>
    </row>
    <row r="241" spans="1:9" s="67" customFormat="1" x14ac:dyDescent="0.25">
      <c r="A241" s="98"/>
      <c r="B241" s="83"/>
      <c r="C241" s="84"/>
      <c r="D241" s="124"/>
      <c r="E241" s="86"/>
      <c r="F241" s="83"/>
      <c r="G241" s="86"/>
      <c r="H241" s="86"/>
      <c r="I241" s="98"/>
    </row>
    <row r="242" spans="1:9" s="67" customFormat="1" x14ac:dyDescent="0.25">
      <c r="A242" s="98"/>
      <c r="B242" s="83"/>
      <c r="C242" s="84"/>
      <c r="D242" s="124"/>
      <c r="E242" s="86"/>
      <c r="F242" s="83"/>
      <c r="G242" s="86"/>
      <c r="H242" s="86"/>
      <c r="I242" s="98"/>
    </row>
    <row r="243" spans="1:9" s="67" customFormat="1" x14ac:dyDescent="0.25">
      <c r="A243" s="98"/>
      <c r="B243" s="83"/>
      <c r="C243" s="84"/>
      <c r="D243" s="124"/>
      <c r="E243" s="86"/>
      <c r="F243" s="83"/>
      <c r="G243" s="86"/>
      <c r="H243" s="86"/>
      <c r="I243" s="98"/>
    </row>
    <row r="244" spans="1:9" s="67" customFormat="1" x14ac:dyDescent="0.25">
      <c r="A244" s="98"/>
      <c r="B244" s="83"/>
      <c r="C244" s="84"/>
      <c r="D244" s="124"/>
      <c r="E244" s="86"/>
      <c r="F244" s="83"/>
      <c r="G244" s="86"/>
      <c r="H244" s="86"/>
      <c r="I244" s="98"/>
    </row>
    <row r="245" spans="1:9" s="67" customFormat="1" x14ac:dyDescent="0.25">
      <c r="A245" s="98"/>
      <c r="B245" s="83"/>
      <c r="C245" s="84"/>
      <c r="D245" s="124"/>
      <c r="E245" s="86"/>
      <c r="F245" s="83"/>
      <c r="G245" s="86"/>
      <c r="H245" s="86"/>
      <c r="I245" s="98"/>
    </row>
    <row r="246" spans="1:9" s="67" customFormat="1" x14ac:dyDescent="0.25">
      <c r="A246" s="98"/>
      <c r="B246" s="83"/>
      <c r="C246" s="84"/>
      <c r="D246" s="124"/>
      <c r="E246" s="86"/>
      <c r="F246" s="83"/>
      <c r="G246" s="86"/>
      <c r="H246" s="86"/>
      <c r="I246" s="98"/>
    </row>
    <row r="247" spans="1:9" s="67" customFormat="1" x14ac:dyDescent="0.25">
      <c r="A247" s="98"/>
      <c r="B247" s="83"/>
      <c r="C247" s="84"/>
      <c r="D247" s="124"/>
      <c r="E247" s="86"/>
      <c r="F247" s="83"/>
      <c r="G247" s="86"/>
      <c r="H247" s="86"/>
      <c r="I247" s="98"/>
    </row>
    <row r="248" spans="1:9" s="67" customFormat="1" x14ac:dyDescent="0.25">
      <c r="A248" s="98"/>
      <c r="B248" s="83"/>
      <c r="C248" s="84"/>
      <c r="D248" s="124"/>
      <c r="E248" s="86"/>
      <c r="F248" s="83"/>
      <c r="G248" s="86"/>
      <c r="H248" s="86"/>
      <c r="I248" s="98"/>
    </row>
    <row r="249" spans="1:9" s="67" customFormat="1" x14ac:dyDescent="0.25">
      <c r="A249" s="98"/>
      <c r="B249" s="83"/>
      <c r="C249" s="84"/>
      <c r="D249" s="124"/>
      <c r="E249" s="86"/>
      <c r="F249" s="83"/>
      <c r="G249" s="86"/>
      <c r="H249" s="86"/>
      <c r="I249" s="98"/>
    </row>
    <row r="250" spans="1:9" s="67" customFormat="1" x14ac:dyDescent="0.25">
      <c r="A250" s="98"/>
      <c r="B250" s="83"/>
      <c r="C250" s="84"/>
      <c r="D250" s="124"/>
      <c r="E250" s="86"/>
      <c r="F250" s="83"/>
      <c r="G250" s="86"/>
      <c r="H250" s="86"/>
      <c r="I250" s="98"/>
    </row>
    <row r="251" spans="1:9" s="67" customFormat="1" x14ac:dyDescent="0.25">
      <c r="A251" s="98"/>
      <c r="B251" s="83"/>
      <c r="C251" s="84"/>
      <c r="D251" s="124"/>
      <c r="E251" s="86"/>
      <c r="F251" s="83"/>
      <c r="G251" s="86"/>
      <c r="H251" s="86"/>
      <c r="I251" s="98"/>
    </row>
    <row r="252" spans="1:9" s="67" customFormat="1" x14ac:dyDescent="0.25">
      <c r="A252" s="98"/>
      <c r="B252" s="83"/>
      <c r="C252" s="84"/>
      <c r="D252" s="124"/>
      <c r="E252" s="86"/>
      <c r="F252" s="83"/>
      <c r="G252" s="86"/>
      <c r="H252" s="86"/>
      <c r="I252" s="98"/>
    </row>
    <row r="253" spans="1:9" s="67" customFormat="1" x14ac:dyDescent="0.25">
      <c r="A253" s="98"/>
      <c r="B253" s="83"/>
      <c r="C253" s="84"/>
      <c r="D253" s="124"/>
      <c r="E253" s="86"/>
      <c r="F253" s="83"/>
      <c r="G253" s="86"/>
      <c r="H253" s="86"/>
      <c r="I253" s="98"/>
    </row>
    <row r="254" spans="1:9" s="67" customFormat="1" x14ac:dyDescent="0.25">
      <c r="A254" s="98"/>
      <c r="B254" s="83"/>
      <c r="C254" s="84"/>
      <c r="D254" s="124"/>
      <c r="E254" s="86"/>
      <c r="F254" s="83"/>
      <c r="G254" s="86"/>
      <c r="H254" s="86"/>
      <c r="I254" s="98"/>
    </row>
    <row r="255" spans="1:9" s="67" customFormat="1" x14ac:dyDescent="0.25">
      <c r="A255" s="98"/>
      <c r="B255" s="83"/>
      <c r="C255" s="84"/>
      <c r="D255" s="124"/>
      <c r="E255" s="86"/>
      <c r="F255" s="83"/>
      <c r="G255" s="86"/>
      <c r="H255" s="86"/>
      <c r="I255" s="98"/>
    </row>
    <row r="256" spans="1:9" s="67" customFormat="1" x14ac:dyDescent="0.25">
      <c r="A256" s="98"/>
      <c r="B256" s="83"/>
      <c r="C256" s="84"/>
      <c r="D256" s="124"/>
      <c r="E256" s="86"/>
      <c r="F256" s="83"/>
      <c r="G256" s="86"/>
      <c r="H256" s="86"/>
      <c r="I256" s="98"/>
    </row>
    <row r="257" spans="1:9" s="67" customFormat="1" x14ac:dyDescent="0.25">
      <c r="A257" s="98"/>
      <c r="B257" s="83"/>
      <c r="C257" s="84"/>
      <c r="D257" s="124"/>
      <c r="E257" s="86"/>
      <c r="F257" s="83"/>
      <c r="G257" s="86"/>
      <c r="H257" s="86"/>
      <c r="I257" s="98"/>
    </row>
    <row r="258" spans="1:9" s="67" customFormat="1" x14ac:dyDescent="0.25">
      <c r="A258" s="98"/>
      <c r="B258" s="83"/>
      <c r="C258" s="84"/>
      <c r="D258" s="124"/>
      <c r="E258" s="86"/>
      <c r="F258" s="83"/>
      <c r="G258" s="86"/>
      <c r="H258" s="86"/>
      <c r="I258" s="98"/>
    </row>
    <row r="259" spans="1:9" s="67" customFormat="1" x14ac:dyDescent="0.25">
      <c r="A259" s="98"/>
      <c r="B259" s="83"/>
      <c r="C259" s="84"/>
      <c r="D259" s="124"/>
      <c r="E259" s="86"/>
      <c r="F259" s="83"/>
      <c r="G259" s="86"/>
      <c r="H259" s="86"/>
      <c r="I259" s="98"/>
    </row>
    <row r="260" spans="1:9" s="67" customFormat="1" x14ac:dyDescent="0.25">
      <c r="A260" s="98"/>
      <c r="B260" s="83"/>
      <c r="C260" s="84"/>
      <c r="D260" s="124"/>
      <c r="E260" s="86"/>
      <c r="F260" s="83"/>
      <c r="G260" s="86"/>
      <c r="H260" s="86"/>
      <c r="I260" s="98"/>
    </row>
    <row r="261" spans="1:9" s="67" customFormat="1" x14ac:dyDescent="0.25">
      <c r="A261" s="98"/>
      <c r="B261" s="83"/>
      <c r="C261" s="84"/>
      <c r="D261" s="124"/>
      <c r="E261" s="86"/>
      <c r="F261" s="83"/>
      <c r="G261" s="86"/>
      <c r="H261" s="86"/>
      <c r="I261" s="98"/>
    </row>
    <row r="262" spans="1:9" s="67" customFormat="1" x14ac:dyDescent="0.25">
      <c r="A262" s="98"/>
      <c r="B262" s="83"/>
      <c r="C262" s="84"/>
      <c r="D262" s="124"/>
      <c r="E262" s="86"/>
      <c r="F262" s="83"/>
      <c r="G262" s="86"/>
      <c r="H262" s="86"/>
      <c r="I262" s="98"/>
    </row>
    <row r="263" spans="1:9" s="67" customFormat="1" x14ac:dyDescent="0.25">
      <c r="A263" s="98"/>
      <c r="B263" s="83"/>
      <c r="C263" s="84"/>
      <c r="D263" s="124"/>
      <c r="E263" s="86"/>
      <c r="F263" s="83"/>
      <c r="G263" s="86"/>
      <c r="H263" s="86"/>
      <c r="I263" s="98"/>
    </row>
    <row r="264" spans="1:9" s="67" customFormat="1" x14ac:dyDescent="0.25">
      <c r="A264" s="98"/>
      <c r="B264" s="83"/>
      <c r="C264" s="84"/>
      <c r="D264" s="124"/>
      <c r="E264" s="86"/>
      <c r="F264" s="83"/>
      <c r="G264" s="86"/>
      <c r="H264" s="86"/>
      <c r="I264" s="98"/>
    </row>
    <row r="265" spans="1:9" s="67" customFormat="1" x14ac:dyDescent="0.25">
      <c r="A265" s="98"/>
      <c r="B265" s="83"/>
      <c r="C265" s="84"/>
      <c r="D265" s="124"/>
      <c r="E265" s="86"/>
      <c r="F265" s="83"/>
      <c r="G265" s="86"/>
      <c r="H265" s="86"/>
      <c r="I265" s="98"/>
    </row>
    <row r="266" spans="1:9" s="67" customFormat="1" x14ac:dyDescent="0.25">
      <c r="A266" s="98"/>
      <c r="B266" s="83"/>
      <c r="C266" s="84"/>
      <c r="D266" s="124"/>
      <c r="E266" s="86"/>
      <c r="F266" s="83"/>
      <c r="G266" s="86"/>
      <c r="H266" s="86"/>
      <c r="I266" s="98"/>
    </row>
    <row r="267" spans="1:9" s="67" customFormat="1" x14ac:dyDescent="0.25">
      <c r="A267" s="98"/>
      <c r="B267" s="83"/>
      <c r="C267" s="84"/>
      <c r="D267" s="124"/>
      <c r="E267" s="86"/>
      <c r="F267" s="83"/>
      <c r="G267" s="86"/>
      <c r="H267" s="86"/>
      <c r="I267" s="98"/>
    </row>
    <row r="268" spans="1:9" s="67" customFormat="1" x14ac:dyDescent="0.25">
      <c r="A268" s="98"/>
      <c r="B268" s="83"/>
      <c r="C268" s="84"/>
      <c r="D268" s="124"/>
      <c r="E268" s="86"/>
      <c r="F268" s="83"/>
      <c r="G268" s="86"/>
      <c r="H268" s="86"/>
      <c r="I268" s="98"/>
    </row>
    <row r="269" spans="1:9" s="67" customFormat="1" x14ac:dyDescent="0.25">
      <c r="A269" s="98"/>
      <c r="B269" s="83"/>
      <c r="C269" s="84"/>
      <c r="D269" s="124"/>
      <c r="E269" s="86"/>
      <c r="F269" s="83"/>
      <c r="G269" s="86"/>
      <c r="H269" s="86"/>
      <c r="I269" s="98"/>
    </row>
    <row r="270" spans="1:9" s="67" customFormat="1" x14ac:dyDescent="0.25">
      <c r="A270" s="98"/>
      <c r="B270" s="83"/>
      <c r="C270" s="84"/>
      <c r="D270" s="124"/>
      <c r="E270" s="86"/>
      <c r="F270" s="83"/>
      <c r="G270" s="86"/>
      <c r="H270" s="86"/>
      <c r="I270" s="98"/>
    </row>
    <row r="271" spans="1:9" s="67" customFormat="1" x14ac:dyDescent="0.25">
      <c r="A271" s="98"/>
      <c r="B271" s="83"/>
      <c r="C271" s="84"/>
      <c r="D271" s="124"/>
      <c r="E271" s="86"/>
      <c r="F271" s="83"/>
      <c r="G271" s="86"/>
      <c r="H271" s="86"/>
      <c r="I271" s="98"/>
    </row>
    <row r="272" spans="1:9" s="67" customFormat="1" x14ac:dyDescent="0.25">
      <c r="A272" s="98"/>
      <c r="B272" s="83"/>
      <c r="C272" s="84"/>
      <c r="D272" s="124"/>
      <c r="E272" s="86"/>
      <c r="F272" s="83"/>
      <c r="G272" s="86"/>
      <c r="H272" s="86"/>
      <c r="I272" s="98"/>
    </row>
    <row r="273" spans="1:9" s="67" customFormat="1" x14ac:dyDescent="0.25">
      <c r="A273" s="98"/>
      <c r="B273" s="83"/>
      <c r="C273" s="84"/>
      <c r="D273" s="124"/>
      <c r="E273" s="86"/>
      <c r="F273" s="83"/>
      <c r="G273" s="86"/>
      <c r="H273" s="86"/>
      <c r="I273" s="98"/>
    </row>
    <row r="274" spans="1:9" s="67" customFormat="1" x14ac:dyDescent="0.25">
      <c r="A274" s="98"/>
      <c r="B274" s="83"/>
      <c r="C274" s="84"/>
      <c r="D274" s="124"/>
      <c r="E274" s="86"/>
      <c r="F274" s="83"/>
      <c r="G274" s="86"/>
      <c r="H274" s="86"/>
      <c r="I274" s="98"/>
    </row>
    <row r="275" spans="1:9" s="67" customFormat="1" x14ac:dyDescent="0.25">
      <c r="A275" s="98"/>
      <c r="B275" s="83"/>
      <c r="C275" s="84"/>
      <c r="D275" s="124"/>
      <c r="E275" s="86"/>
      <c r="F275" s="83"/>
      <c r="G275" s="86"/>
      <c r="H275" s="86"/>
      <c r="I275" s="98"/>
    </row>
    <row r="276" spans="1:9" s="67" customFormat="1" x14ac:dyDescent="0.25">
      <c r="A276" s="98"/>
      <c r="B276" s="83"/>
      <c r="C276" s="84"/>
      <c r="D276" s="124"/>
      <c r="E276" s="86"/>
      <c r="F276" s="83"/>
      <c r="G276" s="86"/>
      <c r="H276" s="86"/>
      <c r="I276" s="98"/>
    </row>
    <row r="277" spans="1:9" s="67" customFormat="1" x14ac:dyDescent="0.25">
      <c r="A277" s="98"/>
      <c r="B277" s="83"/>
      <c r="C277" s="84"/>
      <c r="D277" s="124"/>
      <c r="E277" s="86"/>
      <c r="F277" s="83"/>
      <c r="G277" s="86"/>
      <c r="H277" s="86"/>
      <c r="I277" s="98"/>
    </row>
    <row r="278" spans="1:9" s="67" customFormat="1" x14ac:dyDescent="0.25">
      <c r="A278" s="98"/>
      <c r="B278" s="83"/>
      <c r="C278" s="84"/>
      <c r="D278" s="124"/>
      <c r="E278" s="86"/>
      <c r="F278" s="83"/>
      <c r="G278" s="86"/>
      <c r="H278" s="86"/>
      <c r="I278" s="98"/>
    </row>
    <row r="279" spans="1:9" s="67" customFormat="1" x14ac:dyDescent="0.25">
      <c r="A279" s="98"/>
      <c r="B279" s="83"/>
      <c r="C279" s="84"/>
      <c r="D279" s="124"/>
      <c r="E279" s="86"/>
      <c r="F279" s="83"/>
      <c r="G279" s="86"/>
      <c r="H279" s="86"/>
      <c r="I279" s="98"/>
    </row>
    <row r="280" spans="1:9" s="67" customFormat="1" x14ac:dyDescent="0.25">
      <c r="A280" s="98"/>
      <c r="B280" s="83"/>
      <c r="C280" s="84"/>
      <c r="D280" s="124"/>
      <c r="E280" s="86"/>
      <c r="F280" s="83"/>
      <c r="G280" s="86"/>
      <c r="H280" s="86"/>
      <c r="I280" s="98"/>
    </row>
    <row r="281" spans="1:9" s="67" customFormat="1" x14ac:dyDescent="0.25">
      <c r="A281" s="98"/>
      <c r="B281" s="83"/>
      <c r="C281" s="84"/>
      <c r="D281" s="124"/>
      <c r="E281" s="86"/>
      <c r="F281" s="83"/>
      <c r="G281" s="86"/>
      <c r="H281" s="86"/>
      <c r="I281" s="98"/>
    </row>
    <row r="282" spans="1:9" s="67" customFormat="1" x14ac:dyDescent="0.25">
      <c r="A282" s="98"/>
      <c r="B282" s="83"/>
      <c r="C282" s="84"/>
      <c r="D282" s="124"/>
      <c r="E282" s="86"/>
      <c r="F282" s="83"/>
      <c r="G282" s="86"/>
      <c r="H282" s="86"/>
      <c r="I282" s="98"/>
    </row>
    <row r="283" spans="1:9" s="67" customFormat="1" x14ac:dyDescent="0.25">
      <c r="A283" s="98"/>
      <c r="B283" s="83"/>
      <c r="C283" s="84"/>
      <c r="D283" s="124"/>
      <c r="E283" s="86"/>
      <c r="F283" s="83"/>
      <c r="G283" s="86"/>
      <c r="H283" s="86"/>
      <c r="I283" s="98"/>
    </row>
    <row r="284" spans="1:9" s="67" customFormat="1" x14ac:dyDescent="0.25">
      <c r="A284" s="98"/>
      <c r="B284" s="83"/>
      <c r="C284" s="84"/>
      <c r="D284" s="124"/>
      <c r="E284" s="86"/>
      <c r="F284" s="83"/>
      <c r="G284" s="86"/>
      <c r="H284" s="86"/>
      <c r="I284" s="98"/>
    </row>
    <row r="285" spans="1:9" s="67" customFormat="1" x14ac:dyDescent="0.25">
      <c r="A285" s="98"/>
      <c r="B285" s="83"/>
      <c r="C285" s="84"/>
      <c r="D285" s="124"/>
      <c r="E285" s="86"/>
      <c r="F285" s="83"/>
      <c r="G285" s="86"/>
      <c r="H285" s="86"/>
      <c r="I285" s="98"/>
    </row>
    <row r="286" spans="1:9" s="67" customFormat="1" x14ac:dyDescent="0.25">
      <c r="A286" s="98"/>
      <c r="B286" s="83"/>
      <c r="C286" s="84"/>
      <c r="D286" s="124"/>
      <c r="E286" s="86"/>
      <c r="F286" s="83"/>
      <c r="G286" s="86"/>
      <c r="H286" s="86"/>
      <c r="I286" s="98"/>
    </row>
    <row r="287" spans="1:9" s="67" customFormat="1" x14ac:dyDescent="0.25">
      <c r="A287" s="98"/>
      <c r="B287" s="83"/>
      <c r="C287" s="84"/>
      <c r="D287" s="124"/>
      <c r="E287" s="86"/>
      <c r="F287" s="83"/>
      <c r="G287" s="86"/>
      <c r="H287" s="86"/>
      <c r="I287" s="98"/>
    </row>
    <row r="288" spans="1:9" s="67" customFormat="1" x14ac:dyDescent="0.25">
      <c r="A288" s="98"/>
      <c r="B288" s="83"/>
      <c r="C288" s="84"/>
      <c r="D288" s="124"/>
      <c r="E288" s="86"/>
      <c r="F288" s="83"/>
      <c r="G288" s="86"/>
      <c r="H288" s="86"/>
      <c r="I288" s="98"/>
    </row>
    <row r="289" spans="1:9" s="67" customFormat="1" x14ac:dyDescent="0.25">
      <c r="A289" s="98"/>
      <c r="B289" s="83"/>
      <c r="C289" s="84"/>
      <c r="D289" s="124"/>
      <c r="E289" s="86"/>
      <c r="F289" s="83"/>
      <c r="G289" s="86"/>
      <c r="H289" s="86"/>
      <c r="I289" s="98"/>
    </row>
    <row r="290" spans="1:9" s="67" customFormat="1" x14ac:dyDescent="0.25">
      <c r="A290" s="98"/>
      <c r="B290" s="83"/>
      <c r="C290" s="84"/>
      <c r="D290" s="124"/>
      <c r="E290" s="86"/>
      <c r="F290" s="83"/>
      <c r="G290" s="86"/>
      <c r="H290" s="86"/>
      <c r="I290" s="98"/>
    </row>
    <row r="291" spans="1:9" s="67" customFormat="1" x14ac:dyDescent="0.25">
      <c r="A291" s="98"/>
      <c r="B291" s="83"/>
      <c r="C291" s="84"/>
      <c r="D291" s="124"/>
      <c r="E291" s="86"/>
      <c r="F291" s="83"/>
      <c r="G291" s="86"/>
      <c r="H291" s="86"/>
      <c r="I291" s="98"/>
    </row>
    <row r="292" spans="1:9" s="67" customFormat="1" x14ac:dyDescent="0.25">
      <c r="A292" s="98"/>
      <c r="B292" s="83"/>
      <c r="C292" s="84"/>
      <c r="D292" s="124"/>
      <c r="E292" s="86"/>
      <c r="F292" s="83"/>
      <c r="G292" s="86"/>
      <c r="H292" s="86"/>
      <c r="I292" s="98"/>
    </row>
    <row r="293" spans="1:9" s="67" customFormat="1" x14ac:dyDescent="0.25">
      <c r="A293" s="98"/>
      <c r="B293" s="83"/>
      <c r="C293" s="84"/>
      <c r="D293" s="124"/>
      <c r="E293" s="86"/>
      <c r="F293" s="83"/>
      <c r="G293" s="86"/>
      <c r="H293" s="86"/>
      <c r="I293" s="98"/>
    </row>
    <row r="294" spans="1:9" s="67" customFormat="1" x14ac:dyDescent="0.25">
      <c r="A294" s="98"/>
      <c r="B294" s="83"/>
      <c r="C294" s="84"/>
      <c r="D294" s="124"/>
      <c r="E294" s="86"/>
      <c r="F294" s="83"/>
      <c r="G294" s="86"/>
      <c r="H294" s="86"/>
      <c r="I294" s="98"/>
    </row>
    <row r="295" spans="1:9" s="67" customFormat="1" x14ac:dyDescent="0.25">
      <c r="A295" s="98"/>
      <c r="B295" s="83"/>
      <c r="C295" s="84"/>
      <c r="D295" s="124"/>
      <c r="E295" s="86"/>
      <c r="F295" s="83"/>
      <c r="G295" s="86"/>
      <c r="H295" s="86"/>
      <c r="I295" s="98"/>
    </row>
    <row r="296" spans="1:9" s="67" customFormat="1" x14ac:dyDescent="0.25">
      <c r="A296" s="98"/>
      <c r="B296" s="83"/>
      <c r="C296" s="84"/>
      <c r="D296" s="124"/>
      <c r="E296" s="86"/>
      <c r="F296" s="83"/>
      <c r="G296" s="86"/>
      <c r="H296" s="86"/>
      <c r="I296" s="98"/>
    </row>
    <row r="297" spans="1:9" s="67" customFormat="1" x14ac:dyDescent="0.25">
      <c r="A297" s="98"/>
      <c r="B297" s="83"/>
      <c r="C297" s="84"/>
      <c r="D297" s="124"/>
      <c r="E297" s="86"/>
      <c r="F297" s="83"/>
      <c r="G297" s="86"/>
      <c r="H297" s="86"/>
      <c r="I297" s="98"/>
    </row>
    <row r="298" spans="1:9" s="67" customFormat="1" x14ac:dyDescent="0.25">
      <c r="A298" s="98"/>
      <c r="B298" s="83"/>
      <c r="C298" s="84"/>
      <c r="D298" s="124"/>
      <c r="E298" s="86"/>
      <c r="F298" s="83"/>
      <c r="G298" s="86"/>
      <c r="H298" s="86"/>
      <c r="I298" s="98"/>
    </row>
    <row r="299" spans="1:9" s="67" customFormat="1" x14ac:dyDescent="0.25">
      <c r="A299" s="98"/>
      <c r="B299" s="83"/>
      <c r="C299" s="84"/>
      <c r="D299" s="124"/>
      <c r="E299" s="86"/>
      <c r="F299" s="83"/>
      <c r="G299" s="86"/>
      <c r="H299" s="86"/>
      <c r="I299" s="98"/>
    </row>
    <row r="300" spans="1:9" s="67" customFormat="1" x14ac:dyDescent="0.25">
      <c r="A300" s="98"/>
      <c r="B300" s="83"/>
      <c r="C300" s="84"/>
      <c r="D300" s="124"/>
      <c r="E300" s="86"/>
      <c r="F300" s="83"/>
      <c r="G300" s="86"/>
      <c r="H300" s="86"/>
      <c r="I300" s="98"/>
    </row>
    <row r="301" spans="1:9" s="67" customFormat="1" x14ac:dyDescent="0.25">
      <c r="A301" s="98"/>
      <c r="B301" s="83"/>
      <c r="C301" s="84"/>
      <c r="D301" s="124"/>
      <c r="E301" s="86"/>
      <c r="F301" s="83"/>
      <c r="G301" s="86"/>
      <c r="H301" s="86"/>
      <c r="I301" s="98"/>
    </row>
    <row r="302" spans="1:9" s="67" customFormat="1" x14ac:dyDescent="0.25">
      <c r="A302" s="98"/>
      <c r="B302" s="83"/>
      <c r="C302" s="84"/>
      <c r="D302" s="124"/>
      <c r="E302" s="86"/>
      <c r="F302" s="83"/>
      <c r="G302" s="86"/>
      <c r="H302" s="86"/>
      <c r="I302" s="98"/>
    </row>
    <row r="303" spans="1:9" s="67" customFormat="1" x14ac:dyDescent="0.25">
      <c r="A303" s="117"/>
      <c r="B303" s="118"/>
      <c r="C303" s="119"/>
      <c r="D303" s="125"/>
      <c r="E303" s="126"/>
      <c r="F303" s="118"/>
      <c r="G303" s="126"/>
      <c r="H303" s="126"/>
      <c r="I303" s="117"/>
    </row>
    <row r="304" spans="1:9" s="67" customFormat="1" x14ac:dyDescent="0.25">
      <c r="A304" s="65"/>
      <c r="B304" s="69"/>
      <c r="C304" s="52"/>
      <c r="D304" s="49"/>
      <c r="E304" s="54"/>
      <c r="F304" s="69"/>
      <c r="G304" s="54"/>
      <c r="H304" s="54"/>
      <c r="I304" s="65"/>
    </row>
    <row r="305" spans="1:9" s="67" customFormat="1" x14ac:dyDescent="0.25">
      <c r="A305" s="47"/>
      <c r="B305" s="69"/>
      <c r="C305" s="52"/>
      <c r="D305" s="49"/>
      <c r="E305" s="54"/>
      <c r="F305" s="69"/>
      <c r="G305" s="54"/>
      <c r="H305" s="54"/>
      <c r="I305" s="65"/>
    </row>
    <row r="306" spans="1:9" s="67" customFormat="1" x14ac:dyDescent="0.25">
      <c r="A306" s="47"/>
      <c r="B306" s="69"/>
      <c r="C306" s="52"/>
      <c r="D306" s="49"/>
      <c r="E306" s="54"/>
      <c r="F306" s="69"/>
      <c r="G306" s="54"/>
      <c r="H306" s="54"/>
      <c r="I306" s="65"/>
    </row>
    <row r="307" spans="1:9" s="67" customFormat="1" x14ac:dyDescent="0.25">
      <c r="A307" s="47"/>
      <c r="B307" s="69"/>
      <c r="C307" s="52"/>
      <c r="D307" s="49"/>
      <c r="E307" s="54"/>
      <c r="F307" s="69"/>
      <c r="G307" s="54"/>
      <c r="H307" s="54"/>
      <c r="I307" s="65"/>
    </row>
    <row r="308" spans="1:9" s="67" customFormat="1" x14ac:dyDescent="0.25">
      <c r="A308" s="47"/>
      <c r="B308" s="69"/>
      <c r="C308" s="52"/>
      <c r="D308" s="49"/>
      <c r="E308" s="54"/>
      <c r="F308" s="69"/>
      <c r="G308" s="54"/>
      <c r="H308" s="54"/>
      <c r="I308" s="65"/>
    </row>
    <row r="309" spans="1:9" s="67" customFormat="1" x14ac:dyDescent="0.25">
      <c r="A309" s="47"/>
      <c r="B309" s="69"/>
      <c r="C309" s="52"/>
      <c r="D309" s="49"/>
      <c r="E309" s="54"/>
      <c r="F309" s="69"/>
      <c r="G309" s="54"/>
      <c r="H309" s="54"/>
      <c r="I309" s="65"/>
    </row>
    <row r="310" spans="1:9" s="67" customFormat="1" x14ac:dyDescent="0.25">
      <c r="A310" s="47"/>
      <c r="B310" s="69"/>
      <c r="C310" s="52"/>
      <c r="D310" s="49"/>
      <c r="E310" s="54"/>
      <c r="F310" s="69"/>
      <c r="G310" s="54"/>
      <c r="H310" s="54"/>
      <c r="I310" s="65"/>
    </row>
    <row r="311" spans="1:9" s="67" customFormat="1" x14ac:dyDescent="0.25">
      <c r="A311" s="47"/>
      <c r="B311" s="69"/>
      <c r="C311" s="52"/>
      <c r="D311" s="49"/>
      <c r="E311" s="54"/>
      <c r="F311" s="69"/>
      <c r="G311" s="54"/>
      <c r="H311" s="54"/>
      <c r="I311" s="65"/>
    </row>
    <row r="312" spans="1:9" s="67" customFormat="1" x14ac:dyDescent="0.25">
      <c r="A312" s="47"/>
      <c r="B312" s="69"/>
      <c r="C312" s="52"/>
      <c r="D312" s="49"/>
      <c r="E312" s="54"/>
      <c r="F312" s="69"/>
      <c r="G312" s="54"/>
      <c r="H312" s="54"/>
      <c r="I312" s="65"/>
    </row>
    <row r="313" spans="1:9" s="67" customFormat="1" x14ac:dyDescent="0.25">
      <c r="A313" s="47"/>
      <c r="B313" s="69"/>
      <c r="C313" s="52"/>
      <c r="D313" s="49"/>
      <c r="E313" s="54"/>
      <c r="F313" s="69"/>
      <c r="G313" s="54"/>
      <c r="H313" s="54"/>
      <c r="I313" s="65"/>
    </row>
    <row r="314" spans="1:9" s="67" customFormat="1" x14ac:dyDescent="0.25">
      <c r="A314" s="47"/>
      <c r="B314" s="69"/>
      <c r="C314" s="52"/>
      <c r="D314" s="49"/>
      <c r="E314" s="54"/>
      <c r="F314" s="69"/>
      <c r="G314" s="54"/>
      <c r="H314" s="54"/>
      <c r="I314" s="65"/>
    </row>
    <row r="315" spans="1:9" s="67" customFormat="1" x14ac:dyDescent="0.25">
      <c r="A315" s="47"/>
      <c r="B315" s="69"/>
      <c r="C315" s="52"/>
      <c r="D315" s="49"/>
      <c r="E315" s="54"/>
      <c r="F315" s="69"/>
      <c r="G315" s="54"/>
      <c r="H315" s="54"/>
      <c r="I315" s="65"/>
    </row>
    <row r="316" spans="1:9" s="67" customFormat="1" x14ac:dyDescent="0.25">
      <c r="A316" s="47"/>
      <c r="B316" s="69"/>
      <c r="C316" s="52"/>
      <c r="D316" s="49"/>
      <c r="E316" s="54"/>
      <c r="F316" s="69"/>
      <c r="G316" s="54"/>
      <c r="H316" s="54"/>
      <c r="I316" s="65"/>
    </row>
    <row r="317" spans="1:9" s="67" customFormat="1" x14ac:dyDescent="0.25">
      <c r="A317" s="47"/>
      <c r="B317" s="69"/>
      <c r="C317" s="52"/>
      <c r="D317" s="49"/>
      <c r="E317" s="54"/>
      <c r="F317" s="69"/>
      <c r="G317" s="54"/>
      <c r="H317" s="54"/>
      <c r="I317" s="65"/>
    </row>
    <row r="318" spans="1:9" s="67" customFormat="1" x14ac:dyDescent="0.25">
      <c r="A318" s="47"/>
      <c r="B318" s="69"/>
      <c r="C318" s="52"/>
      <c r="D318" s="49"/>
      <c r="E318" s="54"/>
      <c r="F318" s="69"/>
      <c r="G318" s="54"/>
      <c r="H318" s="54"/>
      <c r="I318" s="65"/>
    </row>
    <row r="319" spans="1:9" s="67" customFormat="1" x14ac:dyDescent="0.25">
      <c r="A319" s="47"/>
      <c r="B319" s="69"/>
      <c r="C319" s="52"/>
      <c r="D319" s="49"/>
      <c r="E319" s="54"/>
      <c r="F319" s="69"/>
      <c r="G319" s="54"/>
      <c r="H319" s="54"/>
      <c r="I319" s="65"/>
    </row>
    <row r="320" spans="1:9" s="67" customFormat="1" x14ac:dyDescent="0.25">
      <c r="A320" s="47"/>
      <c r="B320" s="69"/>
      <c r="C320" s="52"/>
      <c r="D320" s="49"/>
      <c r="E320" s="54"/>
      <c r="F320" s="69"/>
      <c r="G320" s="54"/>
      <c r="H320" s="54"/>
      <c r="I320" s="65"/>
    </row>
    <row r="321" spans="1:9" s="67" customFormat="1" x14ac:dyDescent="0.25">
      <c r="A321" s="47"/>
      <c r="B321" s="69"/>
      <c r="C321" s="52"/>
      <c r="D321" s="49"/>
      <c r="E321" s="54"/>
      <c r="F321" s="69"/>
      <c r="G321" s="54"/>
      <c r="H321" s="54"/>
      <c r="I321" s="65"/>
    </row>
    <row r="322" spans="1:9" x14ac:dyDescent="0.25">
      <c r="A322" s="47"/>
      <c r="B322" s="69"/>
      <c r="C322" s="52"/>
      <c r="D322" s="49"/>
      <c r="E322" s="54"/>
      <c r="F322" s="69"/>
      <c r="G322" s="54"/>
      <c r="H322" s="54"/>
      <c r="I322" s="65"/>
    </row>
    <row r="323" spans="1:9" x14ac:dyDescent="0.25">
      <c r="A323" s="47"/>
      <c r="B323" s="69"/>
      <c r="C323" s="52"/>
      <c r="D323" s="49"/>
      <c r="E323" s="54"/>
      <c r="F323" s="69"/>
      <c r="G323" s="54"/>
      <c r="H323" s="54"/>
      <c r="I323" s="65"/>
    </row>
    <row r="324" spans="1:9" x14ac:dyDescent="0.25">
      <c r="A324" s="47"/>
      <c r="B324" s="69"/>
      <c r="C324" s="52"/>
      <c r="D324" s="49"/>
      <c r="E324" s="54"/>
      <c r="F324" s="69"/>
      <c r="G324" s="54"/>
      <c r="H324" s="54"/>
      <c r="I324" s="65"/>
    </row>
    <row r="325" spans="1:9" x14ac:dyDescent="0.25">
      <c r="A325" s="47"/>
      <c r="B325" s="69"/>
      <c r="C325" s="52"/>
      <c r="D325" s="49"/>
      <c r="E325" s="54"/>
      <c r="F325" s="69"/>
      <c r="G325" s="54"/>
      <c r="H325" s="54"/>
      <c r="I325" s="65"/>
    </row>
    <row r="326" spans="1:9" x14ac:dyDescent="0.25">
      <c r="A326" s="47"/>
      <c r="B326" s="69"/>
      <c r="C326" s="52"/>
      <c r="D326" s="49"/>
      <c r="E326" s="54"/>
      <c r="F326" s="69"/>
      <c r="G326" s="54"/>
      <c r="H326" s="54"/>
      <c r="I326" s="65"/>
    </row>
    <row r="327" spans="1:9" x14ac:dyDescent="0.25">
      <c r="A327" s="47"/>
      <c r="B327" s="69"/>
      <c r="C327" s="52"/>
      <c r="D327" s="49"/>
      <c r="E327" s="54"/>
      <c r="F327" s="69"/>
      <c r="G327" s="54"/>
      <c r="H327" s="54"/>
      <c r="I327" s="65"/>
    </row>
    <row r="328" spans="1:9" x14ac:dyDescent="0.25">
      <c r="A328" s="47"/>
      <c r="B328" s="69"/>
      <c r="C328" s="52"/>
      <c r="D328" s="49"/>
      <c r="E328" s="54"/>
      <c r="F328" s="69"/>
      <c r="G328" s="54"/>
      <c r="H328" s="54"/>
      <c r="I328" s="65"/>
    </row>
    <row r="329" spans="1:9" x14ac:dyDescent="0.25">
      <c r="A329" s="47"/>
      <c r="B329" s="69"/>
      <c r="C329" s="52"/>
      <c r="D329" s="49"/>
      <c r="E329" s="54"/>
      <c r="F329" s="69"/>
      <c r="G329" s="54"/>
      <c r="H329" s="54"/>
      <c r="I329" s="65"/>
    </row>
    <row r="330" spans="1:9" x14ac:dyDescent="0.25">
      <c r="A330" s="47"/>
      <c r="B330" s="69"/>
      <c r="C330" s="52"/>
      <c r="D330" s="49"/>
      <c r="E330" s="54"/>
      <c r="F330" s="69"/>
      <c r="G330" s="54"/>
      <c r="H330" s="54"/>
      <c r="I330" s="65"/>
    </row>
    <row r="331" spans="1:9" x14ac:dyDescent="0.25">
      <c r="A331" s="47"/>
      <c r="B331" s="69"/>
      <c r="C331" s="52"/>
      <c r="D331" s="49"/>
      <c r="E331" s="54"/>
      <c r="F331" s="69"/>
      <c r="G331" s="54"/>
      <c r="H331" s="54"/>
      <c r="I331" s="47"/>
    </row>
    <row r="332" spans="1:9" x14ac:dyDescent="0.25">
      <c r="A332" s="47"/>
      <c r="B332" s="69"/>
      <c r="C332" s="52"/>
      <c r="D332" s="49"/>
      <c r="E332" s="54"/>
      <c r="F332" s="69"/>
      <c r="G332" s="54"/>
      <c r="H332" s="54"/>
      <c r="I332" s="47"/>
    </row>
    <row r="333" spans="1:9" x14ac:dyDescent="0.25">
      <c r="A333" s="47"/>
      <c r="B333" s="69"/>
      <c r="C333" s="52"/>
      <c r="D333" s="49"/>
      <c r="E333" s="54"/>
      <c r="F333" s="69"/>
      <c r="G333" s="54"/>
      <c r="H333" s="54"/>
      <c r="I333" s="47"/>
    </row>
    <row r="334" spans="1:9" x14ac:dyDescent="0.25">
      <c r="A334" s="47"/>
      <c r="B334" s="69"/>
      <c r="C334" s="52"/>
      <c r="D334" s="49"/>
      <c r="E334" s="54"/>
      <c r="F334" s="69"/>
      <c r="G334" s="54"/>
      <c r="H334" s="54"/>
      <c r="I334" s="47"/>
    </row>
    <row r="335" spans="1:9" x14ac:dyDescent="0.25">
      <c r="A335" s="47"/>
      <c r="B335" s="69"/>
      <c r="C335" s="52"/>
      <c r="D335" s="49"/>
      <c r="E335" s="54"/>
      <c r="F335" s="69"/>
      <c r="G335" s="54"/>
      <c r="H335" s="54"/>
      <c r="I335" s="47"/>
    </row>
    <row r="336" spans="1:9" x14ac:dyDescent="0.25">
      <c r="A336" s="47"/>
      <c r="B336" s="69"/>
      <c r="C336" s="52"/>
      <c r="D336" s="49"/>
      <c r="E336" s="54"/>
      <c r="F336" s="69"/>
      <c r="G336" s="54"/>
      <c r="H336" s="54"/>
      <c r="I336" s="47"/>
    </row>
    <row r="337" spans="1:9" x14ac:dyDescent="0.25">
      <c r="A337" s="47"/>
      <c r="B337" s="69"/>
      <c r="C337" s="52"/>
      <c r="D337" s="49"/>
      <c r="E337" s="54"/>
      <c r="F337" s="69"/>
      <c r="G337" s="54"/>
      <c r="H337" s="54"/>
      <c r="I337" s="47"/>
    </row>
    <row r="338" spans="1:9" x14ac:dyDescent="0.25">
      <c r="G338" s="54"/>
      <c r="H338" s="54"/>
      <c r="I338" s="47"/>
    </row>
    <row r="339" spans="1:9" x14ac:dyDescent="0.25">
      <c r="G339" s="54"/>
      <c r="H339" s="54"/>
      <c r="I339" s="47"/>
    </row>
    <row r="340" spans="1:9" x14ac:dyDescent="0.25">
      <c r="G340" s="54"/>
      <c r="H340" s="54"/>
      <c r="I340" s="47"/>
    </row>
    <row r="341" spans="1:9" x14ac:dyDescent="0.25">
      <c r="G341" s="54"/>
      <c r="H341" s="54"/>
      <c r="I341" s="47"/>
    </row>
    <row r="342" spans="1:9" x14ac:dyDescent="0.25">
      <c r="G342" s="54"/>
      <c r="H342" s="54"/>
      <c r="I342" s="47"/>
    </row>
  </sheetData>
  <mergeCells count="3">
    <mergeCell ref="J1:J3"/>
    <mergeCell ref="K1:K3"/>
    <mergeCell ref="A1:D1"/>
  </mergeCells>
  <dataValidations count="1">
    <dataValidation type="list" allowBlank="1" showInputMessage="1" showErrorMessage="1" sqref="A3" xr:uid="{8E5F9D32-B3AC-4EB7-A5B7-2342EA4AA08B}">
      <formula1>INDIRECT("Вид[Наименование]")</formula1>
    </dataValidation>
  </dataValidations>
  <pageMargins left="0.25" right="0.25" top="0.75" bottom="0.75" header="0.3" footer="0.3"/>
  <pageSetup paperSize="9" scale="75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DAF53-2197-4988-B678-0A92B5E5EA23}">
  <sheetPr codeName="Лист4">
    <pageSetUpPr fitToPage="1"/>
  </sheetPr>
  <dimension ref="A1:N104"/>
  <sheetViews>
    <sheetView zoomScaleNormal="100" workbookViewId="0">
      <pane ySplit="4" topLeftCell="A18" activePane="bottomLeft" state="frozen"/>
      <selection activeCell="A2" sqref="A2:J2"/>
      <selection pane="bottomLeft" activeCell="E32" sqref="E32"/>
    </sheetView>
  </sheetViews>
  <sheetFormatPr defaultRowHeight="15" outlineLevelRow="1" x14ac:dyDescent="0.25"/>
  <cols>
    <col min="1" max="1" width="5" customWidth="1"/>
    <col min="2" max="2" width="23.71093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76"/>
      <c r="B1" s="76"/>
      <c r="C1" s="76"/>
      <c r="D1" s="76"/>
      <c r="E1" s="76"/>
      <c r="F1" s="76"/>
      <c r="G1" s="76"/>
      <c r="H1" s="76"/>
      <c r="I1" s="76"/>
      <c r="J1" s="77" t="s">
        <v>94</v>
      </c>
    </row>
    <row r="2" spans="1:14" ht="33.75" customHeight="1" x14ac:dyDescent="0.4">
      <c r="A2" s="255" t="s">
        <v>366</v>
      </c>
      <c r="B2" s="255"/>
      <c r="C2" s="255"/>
      <c r="D2" s="255"/>
      <c r="E2" s="255"/>
      <c r="F2" s="255"/>
      <c r="G2" s="255"/>
      <c r="H2" s="255"/>
      <c r="I2" s="255"/>
      <c r="J2" s="255"/>
    </row>
    <row r="3" spans="1:14" x14ac:dyDescent="0.25">
      <c r="A3" s="256" t="s">
        <v>0</v>
      </c>
      <c r="B3" s="257" t="s">
        <v>97</v>
      </c>
      <c r="C3" s="256" t="s">
        <v>1</v>
      </c>
      <c r="D3" s="259" t="s">
        <v>23</v>
      </c>
      <c r="E3" s="256" t="s">
        <v>96</v>
      </c>
      <c r="F3" s="256" t="s">
        <v>3</v>
      </c>
      <c r="G3" s="256"/>
      <c r="H3" s="260" t="s">
        <v>2</v>
      </c>
      <c r="I3" s="261"/>
      <c r="J3" s="259" t="s">
        <v>93</v>
      </c>
    </row>
    <row r="4" spans="1:14" ht="32.25" customHeight="1" x14ac:dyDescent="0.25">
      <c r="A4" s="256"/>
      <c r="B4" s="258"/>
      <c r="C4" s="256"/>
      <c r="D4" s="256"/>
      <c r="E4" s="256"/>
      <c r="F4" s="186" t="s">
        <v>0</v>
      </c>
      <c r="G4" s="186" t="s">
        <v>4</v>
      </c>
      <c r="H4" s="186" t="s">
        <v>0</v>
      </c>
      <c r="I4" s="186" t="s">
        <v>4</v>
      </c>
      <c r="J4" s="256"/>
    </row>
    <row r="5" spans="1:14" ht="14.25" customHeight="1" x14ac:dyDescent="0.25">
      <c r="A5" s="185">
        <v>1</v>
      </c>
      <c r="B5" s="185">
        <v>2</v>
      </c>
      <c r="C5" s="185">
        <v>3</v>
      </c>
      <c r="D5" s="185">
        <v>4</v>
      </c>
      <c r="E5" s="185">
        <v>5</v>
      </c>
      <c r="F5" s="185">
        <v>6</v>
      </c>
      <c r="G5" s="185">
        <v>7</v>
      </c>
      <c r="H5" s="185">
        <v>8</v>
      </c>
      <c r="I5" s="185">
        <v>9</v>
      </c>
      <c r="J5" s="185">
        <v>10</v>
      </c>
      <c r="M5" s="18"/>
    </row>
    <row r="6" spans="1:14" x14ac:dyDescent="0.25">
      <c r="A6" s="252" t="s">
        <v>5</v>
      </c>
      <c r="B6" s="252"/>
      <c r="C6" s="252"/>
      <c r="D6" s="252"/>
      <c r="E6" s="252"/>
      <c r="F6" s="252"/>
      <c r="G6" s="252"/>
      <c r="H6" s="252"/>
      <c r="I6" s="252"/>
      <c r="J6" s="252"/>
    </row>
    <row r="7" spans="1:14" x14ac:dyDescent="0.25">
      <c r="A7" s="113"/>
      <c r="B7" s="113"/>
      <c r="C7" s="114"/>
      <c r="D7" s="115"/>
      <c r="E7" s="116"/>
      <c r="F7" s="185"/>
      <c r="G7" s="185"/>
      <c r="H7" s="185"/>
      <c r="I7" s="185"/>
      <c r="J7" s="185"/>
    </row>
    <row r="8" spans="1:14" hidden="1" outlineLevel="1" x14ac:dyDescent="0.25">
      <c r="A8" s="87"/>
      <c r="B8" s="87"/>
      <c r="C8" s="88"/>
      <c r="D8" s="89"/>
      <c r="E8" s="90"/>
      <c r="F8" s="185"/>
      <c r="G8" s="185"/>
      <c r="H8" s="185"/>
      <c r="I8" s="185"/>
      <c r="J8" s="185"/>
    </row>
    <row r="9" spans="1:14" hidden="1" outlineLevel="1" x14ac:dyDescent="0.25">
      <c r="A9" s="87"/>
      <c r="B9" s="87"/>
      <c r="C9" s="88"/>
      <c r="D9" s="89"/>
      <c r="E9" s="90"/>
      <c r="F9" s="185"/>
      <c r="G9" s="185"/>
      <c r="H9" s="185"/>
      <c r="I9" s="185"/>
      <c r="J9" s="185"/>
    </row>
    <row r="10" spans="1:14" hidden="1" outlineLevel="1" x14ac:dyDescent="0.25">
      <c r="A10" s="87"/>
      <c r="B10" s="87"/>
      <c r="C10" s="88"/>
      <c r="D10" s="89"/>
      <c r="E10" s="90"/>
      <c r="F10" s="185"/>
      <c r="G10" s="185"/>
      <c r="H10" s="185"/>
      <c r="I10" s="185"/>
      <c r="J10" s="185"/>
    </row>
    <row r="11" spans="1:14" hidden="1" outlineLevel="1" x14ac:dyDescent="0.25">
      <c r="A11" s="87"/>
      <c r="B11" s="87"/>
      <c r="C11" s="88"/>
      <c r="D11" s="89"/>
      <c r="E11" s="90"/>
      <c r="F11" s="185"/>
      <c r="G11" s="185"/>
      <c r="H11" s="185"/>
      <c r="I11" s="185"/>
      <c r="J11" s="185"/>
    </row>
    <row r="12" spans="1:14" s="1" customFormat="1" collapsed="1" x14ac:dyDescent="0.25">
      <c r="A12" s="155" t="s">
        <v>17</v>
      </c>
      <c r="B12" s="156"/>
      <c r="C12" s="156" t="str">
        <f>"за "&amp;LOWER($A$6)</f>
        <v>за январь</v>
      </c>
      <c r="D12" s="157">
        <f>COUNTA(янв_пр)</f>
        <v>0</v>
      </c>
      <c r="E12" s="158">
        <f>SUM(янв_кол)</f>
        <v>0</v>
      </c>
      <c r="F12" s="159">
        <f>COUNTA(акт_вх_янв)+COUNTA(акт_отб_янв)</f>
        <v>0</v>
      </c>
      <c r="G12" s="188"/>
      <c r="H12" s="188"/>
      <c r="I12" s="188"/>
      <c r="J12" s="161">
        <f>SUM(кол_отб_янв)</f>
        <v>0</v>
      </c>
    </row>
    <row r="13" spans="1:14" x14ac:dyDescent="0.25">
      <c r="A13" s="253" t="s">
        <v>6</v>
      </c>
      <c r="B13" s="253"/>
      <c r="C13" s="253"/>
      <c r="D13" s="253"/>
      <c r="E13" s="253"/>
      <c r="F13" s="253"/>
      <c r="G13" s="253"/>
      <c r="H13" s="253"/>
      <c r="I13" s="253"/>
      <c r="J13" s="253"/>
      <c r="L13" s="1"/>
      <c r="M13" s="1"/>
      <c r="N13" s="1"/>
    </row>
    <row r="14" spans="1:14" x14ac:dyDescent="0.25">
      <c r="A14" s="189">
        <v>1</v>
      </c>
      <c r="B14" s="127" t="s">
        <v>66</v>
      </c>
      <c r="C14" s="128" t="s">
        <v>196</v>
      </c>
      <c r="D14" s="129">
        <v>43864</v>
      </c>
      <c r="E14" s="130">
        <v>17944</v>
      </c>
      <c r="F14" s="154"/>
      <c r="G14" s="154"/>
      <c r="H14" s="154"/>
      <c r="I14" s="154"/>
      <c r="J14" s="154"/>
      <c r="L14" s="1"/>
      <c r="M14" s="1"/>
      <c r="N14" s="1"/>
    </row>
    <row r="15" spans="1:14" ht="14.25" customHeight="1" x14ac:dyDescent="0.25">
      <c r="A15" s="169">
        <v>2</v>
      </c>
      <c r="B15" s="190" t="s">
        <v>66</v>
      </c>
      <c r="C15" s="191" t="s">
        <v>121</v>
      </c>
      <c r="D15" s="129">
        <v>43875</v>
      </c>
      <c r="E15" s="145">
        <v>18085</v>
      </c>
      <c r="F15" s="192"/>
      <c r="G15" s="192"/>
      <c r="H15" s="192"/>
      <c r="I15" s="192"/>
      <c r="J15" s="192"/>
      <c r="L15" s="1"/>
      <c r="M15" s="1"/>
      <c r="N15" s="1"/>
    </row>
    <row r="16" spans="1:14" ht="16.5" customHeight="1" outlineLevel="1" x14ac:dyDescent="0.25">
      <c r="A16" s="169">
        <v>3</v>
      </c>
      <c r="B16" s="190" t="s">
        <v>69</v>
      </c>
      <c r="C16" s="191" t="s">
        <v>143</v>
      </c>
      <c r="D16" s="129">
        <v>43880</v>
      </c>
      <c r="E16" s="145">
        <v>18150</v>
      </c>
      <c r="F16" s="192"/>
      <c r="G16" s="192"/>
      <c r="H16" s="192"/>
      <c r="I16" s="192"/>
      <c r="J16" s="192"/>
      <c r="L16" s="1"/>
      <c r="M16" s="1"/>
      <c r="N16" s="1"/>
    </row>
    <row r="17" spans="1:14" ht="15.75" customHeight="1" outlineLevel="1" x14ac:dyDescent="0.25">
      <c r="A17" s="169">
        <v>4</v>
      </c>
      <c r="B17" s="193" t="s">
        <v>66</v>
      </c>
      <c r="C17" s="152" t="s">
        <v>149</v>
      </c>
      <c r="D17" s="153">
        <v>43887</v>
      </c>
      <c r="E17" s="165">
        <v>19500</v>
      </c>
      <c r="F17" s="192"/>
      <c r="G17" s="192"/>
      <c r="H17" s="192"/>
      <c r="I17" s="192"/>
      <c r="J17" s="192"/>
      <c r="L17" s="1"/>
      <c r="M17" s="1"/>
      <c r="N17" s="1"/>
    </row>
    <row r="18" spans="1:14" ht="18" customHeight="1" outlineLevel="1" x14ac:dyDescent="0.25">
      <c r="A18" s="169">
        <v>5</v>
      </c>
      <c r="B18" s="193" t="s">
        <v>66</v>
      </c>
      <c r="C18" s="152" t="s">
        <v>160</v>
      </c>
      <c r="D18" s="153">
        <v>43889</v>
      </c>
      <c r="E18" s="165">
        <v>18079</v>
      </c>
      <c r="F18" s="192"/>
      <c r="G18" s="192"/>
      <c r="H18" s="192"/>
      <c r="I18" s="192"/>
      <c r="J18" s="192"/>
      <c r="L18" s="1"/>
      <c r="M18" s="56"/>
      <c r="N18" s="1"/>
    </row>
    <row r="19" spans="1:14" x14ac:dyDescent="0.25">
      <c r="A19" s="155" t="s">
        <v>17</v>
      </c>
      <c r="B19" s="156"/>
      <c r="C19" s="156" t="str">
        <f>"за "&amp;LOWER($A$13)</f>
        <v>за февраль</v>
      </c>
      <c r="D19" s="157">
        <v>5</v>
      </c>
      <c r="E19" s="158">
        <f>SUM(фев_кол)+E14</f>
        <v>91758</v>
      </c>
      <c r="F19" s="159">
        <f>COUNTA(акт_вх_фев)+COUNTA(акт_отб_фев)</f>
        <v>0</v>
      </c>
      <c r="G19" s="188"/>
      <c r="H19" s="188"/>
      <c r="I19" s="188"/>
      <c r="J19" s="161">
        <f>SUM(кол_отб_фев)</f>
        <v>0</v>
      </c>
      <c r="L19" s="1"/>
      <c r="M19" s="1"/>
      <c r="N19" s="1"/>
    </row>
    <row r="20" spans="1:14" x14ac:dyDescent="0.25">
      <c r="A20" s="254" t="s">
        <v>7</v>
      </c>
      <c r="B20" s="254"/>
      <c r="C20" s="254"/>
      <c r="D20" s="254"/>
      <c r="E20" s="254"/>
      <c r="F20" s="254"/>
      <c r="G20" s="254"/>
      <c r="H20" s="254"/>
      <c r="I20" s="254"/>
      <c r="J20" s="254"/>
      <c r="L20" s="1"/>
      <c r="M20" s="1"/>
      <c r="N20" s="1"/>
    </row>
    <row r="21" spans="1:14" x14ac:dyDescent="0.25">
      <c r="A21" s="169">
        <v>6</v>
      </c>
      <c r="B21" s="194" t="s">
        <v>67</v>
      </c>
      <c r="C21" s="152" t="s">
        <v>161</v>
      </c>
      <c r="D21" s="153">
        <v>43896</v>
      </c>
      <c r="E21" s="165">
        <v>19500</v>
      </c>
      <c r="F21" s="192"/>
      <c r="G21" s="192"/>
      <c r="H21" s="192"/>
      <c r="I21" s="192"/>
      <c r="J21" s="192"/>
      <c r="L21" s="1"/>
      <c r="M21" s="1"/>
      <c r="N21" s="1"/>
    </row>
    <row r="22" spans="1:14" outlineLevel="1" x14ac:dyDescent="0.25">
      <c r="A22" s="169">
        <v>7</v>
      </c>
      <c r="B22" s="194" t="s">
        <v>66</v>
      </c>
      <c r="C22" s="191" t="s">
        <v>165</v>
      </c>
      <c r="D22" s="129">
        <v>43906</v>
      </c>
      <c r="E22" s="130">
        <v>18143</v>
      </c>
      <c r="F22" s="192"/>
      <c r="G22" s="192"/>
      <c r="H22" s="192"/>
      <c r="I22" s="192"/>
      <c r="J22" s="192"/>
      <c r="L22" s="1"/>
      <c r="M22" s="1"/>
      <c r="N22" s="1"/>
    </row>
    <row r="23" spans="1:14" outlineLevel="1" x14ac:dyDescent="0.25">
      <c r="A23" s="169">
        <v>8</v>
      </c>
      <c r="B23" s="194" t="s">
        <v>66</v>
      </c>
      <c r="C23" s="152" t="s">
        <v>168</v>
      </c>
      <c r="D23" s="153">
        <v>43909</v>
      </c>
      <c r="E23" s="147">
        <v>18261</v>
      </c>
      <c r="F23" s="192"/>
      <c r="G23" s="192"/>
      <c r="H23" s="192"/>
      <c r="I23" s="192"/>
      <c r="J23" s="192"/>
      <c r="L23" s="1"/>
      <c r="M23" s="1"/>
      <c r="N23" s="1"/>
    </row>
    <row r="24" spans="1:14" outlineLevel="1" x14ac:dyDescent="0.25">
      <c r="A24" s="169">
        <v>9</v>
      </c>
      <c r="B24" s="194" t="s">
        <v>66</v>
      </c>
      <c r="C24" s="152" t="s">
        <v>169</v>
      </c>
      <c r="D24" s="153">
        <v>43913</v>
      </c>
      <c r="E24" s="147">
        <v>17945</v>
      </c>
      <c r="F24" s="192"/>
      <c r="G24" s="192"/>
      <c r="H24" s="192"/>
      <c r="I24" s="192"/>
      <c r="J24" s="192"/>
      <c r="L24" s="1"/>
      <c r="M24" s="1"/>
      <c r="N24" s="1"/>
    </row>
    <row r="25" spans="1:14" outlineLevel="1" x14ac:dyDescent="0.25">
      <c r="A25" s="169">
        <v>10</v>
      </c>
      <c r="B25" s="194" t="s">
        <v>66</v>
      </c>
      <c r="C25" s="152" t="s">
        <v>170</v>
      </c>
      <c r="D25" s="153">
        <v>43915</v>
      </c>
      <c r="E25" s="147">
        <v>17580</v>
      </c>
      <c r="F25" s="192"/>
      <c r="G25" s="192"/>
      <c r="H25" s="192"/>
      <c r="I25" s="192"/>
      <c r="J25" s="192"/>
      <c r="L25" s="1"/>
      <c r="M25" s="1"/>
      <c r="N25" s="1"/>
    </row>
    <row r="26" spans="1:14" x14ac:dyDescent="0.25">
      <c r="A26" s="155" t="s">
        <v>17</v>
      </c>
      <c r="B26" s="156"/>
      <c r="C26" s="156" t="str">
        <f>"за "&amp;LOWER($A$20)</f>
        <v>за март</v>
      </c>
      <c r="D26" s="157">
        <f>COUNTA(мрт_пр)</f>
        <v>5</v>
      </c>
      <c r="E26" s="158">
        <f>SUM(мрт_кол)</f>
        <v>91429</v>
      </c>
      <c r="F26" s="159">
        <f>COUNTA(акт_вх_мрт)+COUNTA(акт_отб_мрт)</f>
        <v>0</v>
      </c>
      <c r="G26" s="160"/>
      <c r="H26" s="160"/>
      <c r="I26" s="160"/>
      <c r="J26" s="161">
        <f>SUM(кол_отб_мрт)</f>
        <v>0</v>
      </c>
      <c r="L26" s="1"/>
      <c r="M26" s="1"/>
      <c r="N26" s="1"/>
    </row>
    <row r="27" spans="1:14" ht="31.5" customHeight="1" x14ac:dyDescent="0.25">
      <c r="A27" s="195" t="s">
        <v>17</v>
      </c>
      <c r="B27" s="196"/>
      <c r="C27" s="196" t="s">
        <v>18</v>
      </c>
      <c r="D27" s="197">
        <f>SUM(D12,D19,D26)</f>
        <v>10</v>
      </c>
      <c r="E27" s="198">
        <f>SUM(E12,E19,E26)</f>
        <v>183187</v>
      </c>
      <c r="F27" s="199">
        <f>SUM(F12,F19,F26)</f>
        <v>0</v>
      </c>
      <c r="G27" s="196"/>
      <c r="H27" s="196" t="str">
        <f>"Кп= "&amp;ROUNDDOWN((F27/D27)*100,1)&amp;"%"</f>
        <v>Кп= 0%</v>
      </c>
      <c r="I27" s="196" t="str">
        <f>"Км= "&amp;ROUNDDOWN((J27/E27)*100,2)&amp;"%"</f>
        <v>Км= 0%</v>
      </c>
      <c r="J27" s="200">
        <f>SUM(J12,J19,J26)</f>
        <v>0</v>
      </c>
      <c r="L27" s="1"/>
      <c r="M27" s="1"/>
      <c r="N27" s="1"/>
    </row>
    <row r="28" spans="1:14" ht="18" hidden="1" customHeight="1" outlineLevel="1" x14ac:dyDescent="0.25">
      <c r="A28" s="155" t="s">
        <v>20</v>
      </c>
      <c r="B28" s="156"/>
      <c r="C28" s="156"/>
      <c r="D28" s="201"/>
      <c r="E28" s="156"/>
      <c r="F28" s="156"/>
      <c r="G28" s="156" t="s">
        <v>21</v>
      </c>
      <c r="H28" s="156"/>
      <c r="I28" s="156"/>
      <c r="J28" s="202"/>
      <c r="L28" s="1"/>
      <c r="M28" s="1"/>
      <c r="N28" s="1"/>
    </row>
    <row r="29" spans="1:14" collapsed="1" x14ac:dyDescent="0.25">
      <c r="A29" s="254" t="s">
        <v>8</v>
      </c>
      <c r="B29" s="254"/>
      <c r="C29" s="254"/>
      <c r="D29" s="254"/>
      <c r="E29" s="254"/>
      <c r="F29" s="254"/>
      <c r="G29" s="254"/>
      <c r="H29" s="254"/>
      <c r="I29" s="254"/>
      <c r="J29" s="254"/>
      <c r="L29" s="1"/>
      <c r="M29" s="1"/>
      <c r="N29" s="1"/>
    </row>
    <row r="30" spans="1:14" s="76" customFormat="1" x14ac:dyDescent="0.25">
      <c r="A30" s="150">
        <v>11</v>
      </c>
      <c r="B30" s="151" t="s">
        <v>66</v>
      </c>
      <c r="C30" s="152" t="s">
        <v>176</v>
      </c>
      <c r="D30" s="153">
        <v>43938</v>
      </c>
      <c r="E30" s="147">
        <v>17916</v>
      </c>
      <c r="F30" s="154"/>
      <c r="G30" s="154"/>
      <c r="H30" s="154"/>
      <c r="I30" s="154"/>
      <c r="J30" s="154"/>
      <c r="L30" s="133"/>
      <c r="M30" s="133"/>
      <c r="N30" s="133"/>
    </row>
    <row r="31" spans="1:14" s="76" customFormat="1" outlineLevel="1" x14ac:dyDescent="0.25">
      <c r="A31" s="150">
        <v>12</v>
      </c>
      <c r="B31" s="151" t="s">
        <v>66</v>
      </c>
      <c r="C31" s="152" t="s">
        <v>177</v>
      </c>
      <c r="D31" s="153">
        <v>43943</v>
      </c>
      <c r="E31" s="147">
        <v>18494</v>
      </c>
      <c r="F31" s="154"/>
      <c r="G31" s="154"/>
      <c r="H31" s="154"/>
      <c r="I31" s="154"/>
      <c r="J31" s="154"/>
      <c r="L31" s="133"/>
      <c r="M31" s="133"/>
      <c r="N31" s="133"/>
    </row>
    <row r="32" spans="1:14" s="76" customFormat="1" outlineLevel="1" x14ac:dyDescent="0.25">
      <c r="A32" s="150">
        <v>13</v>
      </c>
      <c r="B32" s="151" t="s">
        <v>67</v>
      </c>
      <c r="C32" s="152" t="s">
        <v>126</v>
      </c>
      <c r="D32" s="153">
        <v>43943</v>
      </c>
      <c r="E32" s="147">
        <v>19500</v>
      </c>
      <c r="F32" s="154"/>
      <c r="G32" s="154"/>
      <c r="H32" s="154"/>
      <c r="I32" s="154"/>
      <c r="J32" s="154"/>
      <c r="L32" s="133"/>
      <c r="M32" s="133"/>
      <c r="N32" s="133"/>
    </row>
    <row r="33" spans="1:14" s="76" customFormat="1" outlineLevel="1" x14ac:dyDescent="0.25">
      <c r="A33" s="150">
        <v>14</v>
      </c>
      <c r="B33" s="151" t="s">
        <v>66</v>
      </c>
      <c r="C33" s="152" t="s">
        <v>180</v>
      </c>
      <c r="D33" s="153">
        <v>43951</v>
      </c>
      <c r="E33" s="147">
        <v>18360</v>
      </c>
      <c r="F33" s="154"/>
      <c r="G33" s="154"/>
      <c r="H33" s="154"/>
      <c r="I33" s="154"/>
      <c r="J33" s="154"/>
      <c r="L33" s="133"/>
      <c r="M33" s="133"/>
      <c r="N33" s="133"/>
    </row>
    <row r="34" spans="1:14" s="76" customFormat="1" x14ac:dyDescent="0.25">
      <c r="A34" s="155" t="s">
        <v>17</v>
      </c>
      <c r="B34" s="156"/>
      <c r="C34" s="156" t="str">
        <f>"за "&amp;LOWER($A$29)</f>
        <v>за апрель</v>
      </c>
      <c r="D34" s="157">
        <f>COUNTA(апр_пр)</f>
        <v>4</v>
      </c>
      <c r="E34" s="158">
        <f>SUM(апр_кол)</f>
        <v>74270</v>
      </c>
      <c r="F34" s="159">
        <f>COUNTA(акт_вх_апр)+COUNTA(акт_отб_апр)</f>
        <v>0</v>
      </c>
      <c r="G34" s="160"/>
      <c r="H34" s="160"/>
      <c r="I34" s="160"/>
      <c r="J34" s="161">
        <f>SUM(кол_отб_апр)</f>
        <v>0</v>
      </c>
      <c r="L34" s="133"/>
      <c r="M34" s="133"/>
      <c r="N34" s="133"/>
    </row>
    <row r="35" spans="1:14" x14ac:dyDescent="0.25">
      <c r="A35" s="254" t="s">
        <v>9</v>
      </c>
      <c r="B35" s="254"/>
      <c r="C35" s="254"/>
      <c r="D35" s="254"/>
      <c r="E35" s="254"/>
      <c r="F35" s="254"/>
      <c r="G35" s="254"/>
      <c r="H35" s="254"/>
      <c r="I35" s="254"/>
      <c r="J35" s="254"/>
      <c r="L35" s="1"/>
      <c r="M35" s="1"/>
      <c r="N35" s="1"/>
    </row>
    <row r="36" spans="1:14" x14ac:dyDescent="0.25">
      <c r="A36" s="162">
        <v>15</v>
      </c>
      <c r="B36" s="151" t="s">
        <v>66</v>
      </c>
      <c r="C36" s="152" t="s">
        <v>189</v>
      </c>
      <c r="D36" s="153">
        <v>43965</v>
      </c>
      <c r="E36" s="147">
        <v>18212</v>
      </c>
      <c r="F36" s="163"/>
      <c r="G36" s="163"/>
      <c r="H36" s="163"/>
      <c r="I36" s="163"/>
      <c r="J36" s="163"/>
      <c r="L36" s="1"/>
      <c r="M36" s="1"/>
      <c r="N36" s="1"/>
    </row>
    <row r="37" spans="1:14" outlineLevel="1" x14ac:dyDescent="0.25">
      <c r="A37" s="164">
        <v>16</v>
      </c>
      <c r="B37" s="151" t="s">
        <v>67</v>
      </c>
      <c r="C37" s="152" t="s">
        <v>197</v>
      </c>
      <c r="D37" s="153">
        <v>43971</v>
      </c>
      <c r="E37" s="165">
        <v>19500</v>
      </c>
      <c r="F37" s="166"/>
      <c r="G37" s="166"/>
      <c r="H37" s="166"/>
      <c r="I37" s="166"/>
      <c r="J37" s="166"/>
      <c r="L37" s="1"/>
      <c r="M37" s="1"/>
      <c r="N37" s="1"/>
    </row>
    <row r="38" spans="1:14" outlineLevel="1" x14ac:dyDescent="0.25">
      <c r="A38" s="164">
        <v>17</v>
      </c>
      <c r="B38" s="151" t="s">
        <v>66</v>
      </c>
      <c r="C38" s="152" t="s">
        <v>201</v>
      </c>
      <c r="D38" s="153">
        <v>43974</v>
      </c>
      <c r="E38" s="165">
        <v>18670</v>
      </c>
      <c r="F38" s="166"/>
      <c r="G38" s="166"/>
      <c r="H38" s="166"/>
      <c r="I38" s="166"/>
      <c r="J38" s="166"/>
      <c r="L38" s="1"/>
      <c r="M38" s="1"/>
      <c r="N38" s="1"/>
    </row>
    <row r="39" spans="1:14" outlineLevel="1" x14ac:dyDescent="0.25">
      <c r="A39" s="164">
        <v>18</v>
      </c>
      <c r="B39" s="151" t="s">
        <v>66</v>
      </c>
      <c r="C39" s="152" t="s">
        <v>202</v>
      </c>
      <c r="D39" s="153">
        <v>43978</v>
      </c>
      <c r="E39" s="165">
        <v>19061</v>
      </c>
      <c r="F39" s="166"/>
      <c r="G39" s="166"/>
      <c r="H39" s="166"/>
      <c r="I39" s="166"/>
      <c r="J39" s="166"/>
      <c r="L39" s="1"/>
      <c r="M39" s="1"/>
      <c r="N39" s="1"/>
    </row>
    <row r="40" spans="1:14" outlineLevel="1" x14ac:dyDescent="0.25">
      <c r="A40" s="167">
        <v>19</v>
      </c>
      <c r="B40" s="151" t="s">
        <v>66</v>
      </c>
      <c r="C40" s="152" t="s">
        <v>205</v>
      </c>
      <c r="D40" s="153">
        <v>43979</v>
      </c>
      <c r="E40" s="165">
        <v>19052</v>
      </c>
      <c r="F40" s="168"/>
      <c r="G40" s="168"/>
      <c r="H40" s="168"/>
      <c r="I40" s="168"/>
      <c r="J40" s="168"/>
    </row>
    <row r="41" spans="1:14" x14ac:dyDescent="0.25">
      <c r="A41" s="155" t="s">
        <v>17</v>
      </c>
      <c r="B41" s="156"/>
      <c r="C41" s="156" t="str">
        <f>"за "&amp;LOWER($A$35)</f>
        <v>за май</v>
      </c>
      <c r="D41" s="157">
        <f>COUNTA(май_пр)</f>
        <v>5</v>
      </c>
      <c r="E41" s="158">
        <f>SUM(май_кол)</f>
        <v>94495</v>
      </c>
      <c r="F41" s="159">
        <f>COUNTA(акт_вх_май)+COUNTA(акт_отб_май)</f>
        <v>0</v>
      </c>
      <c r="G41" s="160"/>
      <c r="H41" s="160"/>
      <c r="I41" s="160"/>
      <c r="J41" s="161">
        <f>SUM(кол_отб_май)</f>
        <v>0</v>
      </c>
    </row>
    <row r="42" spans="1:14" x14ac:dyDescent="0.25">
      <c r="A42" s="254" t="s">
        <v>10</v>
      </c>
      <c r="B42" s="254"/>
      <c r="C42" s="254"/>
      <c r="D42" s="254"/>
      <c r="E42" s="254"/>
      <c r="F42" s="254"/>
      <c r="G42" s="254"/>
      <c r="H42" s="254"/>
      <c r="I42" s="254"/>
      <c r="J42" s="254"/>
    </row>
    <row r="43" spans="1:14" s="76" customFormat="1" x14ac:dyDescent="0.25">
      <c r="A43" s="169">
        <v>20</v>
      </c>
      <c r="B43" s="151" t="s">
        <v>66</v>
      </c>
      <c r="C43" s="152" t="s">
        <v>209</v>
      </c>
      <c r="D43" s="153">
        <v>43990</v>
      </c>
      <c r="E43" s="165">
        <v>18564</v>
      </c>
      <c r="F43" s="170"/>
      <c r="G43" s="170"/>
      <c r="H43" s="170"/>
      <c r="I43" s="170"/>
      <c r="J43" s="170"/>
    </row>
    <row r="44" spans="1:14" s="76" customFormat="1" outlineLevel="1" x14ac:dyDescent="0.25">
      <c r="A44" s="169">
        <v>21</v>
      </c>
      <c r="B44" s="151" t="s">
        <v>66</v>
      </c>
      <c r="C44" s="152" t="s">
        <v>213</v>
      </c>
      <c r="D44" s="153">
        <v>43998</v>
      </c>
      <c r="E44" s="165">
        <v>18631</v>
      </c>
      <c r="F44" s="170"/>
      <c r="G44" s="170"/>
      <c r="H44" s="170"/>
      <c r="I44" s="170"/>
      <c r="J44" s="170"/>
    </row>
    <row r="45" spans="1:14" s="76" customFormat="1" outlineLevel="1" x14ac:dyDescent="0.25">
      <c r="A45" s="169">
        <v>22</v>
      </c>
      <c r="B45" s="148" t="s">
        <v>66</v>
      </c>
      <c r="C45" s="171" t="s">
        <v>220</v>
      </c>
      <c r="D45" s="172">
        <v>44005</v>
      </c>
      <c r="E45" s="173">
        <v>18365</v>
      </c>
      <c r="F45" s="170"/>
      <c r="G45" s="170"/>
      <c r="H45" s="170"/>
      <c r="I45" s="170"/>
      <c r="J45" s="170"/>
    </row>
    <row r="46" spans="1:14" s="76" customFormat="1" x14ac:dyDescent="0.25">
      <c r="A46" s="155" t="s">
        <v>17</v>
      </c>
      <c r="B46" s="156"/>
      <c r="C46" s="156" t="str">
        <f>"за "&amp;LOWER($A$42)</f>
        <v>за июнь</v>
      </c>
      <c r="D46" s="157">
        <f>COUNTA(июн_пр)</f>
        <v>3</v>
      </c>
      <c r="E46" s="158">
        <f>SUM(июн_кол)</f>
        <v>55560</v>
      </c>
      <c r="F46" s="159">
        <f>COUNTA(акт_вх_июн)+COUNTA(акт_отб_июн)</f>
        <v>0</v>
      </c>
      <c r="G46" s="160"/>
      <c r="H46" s="160"/>
      <c r="I46" s="160"/>
      <c r="J46" s="161">
        <f>SUM(кол_отб_июн)</f>
        <v>0</v>
      </c>
    </row>
    <row r="47" spans="1:14" s="76" customFormat="1" ht="31.5" customHeight="1" x14ac:dyDescent="0.25">
      <c r="A47" s="174" t="s">
        <v>17</v>
      </c>
      <c r="B47" s="175"/>
      <c r="C47" s="175" t="s">
        <v>109</v>
      </c>
      <c r="D47" s="176">
        <f>SUM(D34,D41,D46)</f>
        <v>12</v>
      </c>
      <c r="E47" s="177">
        <f>SUM(E34,E41,E46)</f>
        <v>224325</v>
      </c>
      <c r="F47" s="178">
        <f>SUM(F34,F41,F46)</f>
        <v>0</v>
      </c>
      <c r="G47" s="175"/>
      <c r="H47" s="175" t="str">
        <f>"Кп= "&amp;ROUNDDOWN((F47/D47)*100,1)&amp;"%"</f>
        <v>Кп= 0%</v>
      </c>
      <c r="I47" s="175" t="str">
        <f>"Км= "&amp;ROUNDDOWN((J47/E47)*100,2)&amp;"%"</f>
        <v>Км= 0%</v>
      </c>
      <c r="J47" s="179">
        <f>SUM(J34,J41,J46)</f>
        <v>0</v>
      </c>
    </row>
    <row r="48" spans="1:14" s="76" customFormat="1" ht="31.5" customHeight="1" x14ac:dyDescent="0.25">
      <c r="A48" s="174" t="s">
        <v>17</v>
      </c>
      <c r="B48" s="175"/>
      <c r="C48" s="175" t="s">
        <v>110</v>
      </c>
      <c r="D48" s="176">
        <f>SUM(D27,D47)</f>
        <v>22</v>
      </c>
      <c r="E48" s="177">
        <f>SUM(E47,E27)</f>
        <v>407512</v>
      </c>
      <c r="F48" s="178">
        <f>SUM(F47,F27)</f>
        <v>0</v>
      </c>
      <c r="G48" s="175"/>
      <c r="H48" s="175" t="str">
        <f>"Кп= "&amp;ROUNDDOWN((F48/D48)*100,1)&amp;"%"</f>
        <v>Кп= 0%</v>
      </c>
      <c r="I48" s="175" t="str">
        <f>"Км= "&amp;ROUNDDOWN((J48/E48)*100,2)&amp;"%"</f>
        <v>Км= 0%</v>
      </c>
      <c r="J48" s="179">
        <f>SUM(J47,J27)</f>
        <v>0</v>
      </c>
    </row>
    <row r="49" spans="1:10" s="76" customFormat="1" ht="26.25" hidden="1" customHeight="1" outlineLevel="1" x14ac:dyDescent="0.25">
      <c r="A49" s="180" t="s">
        <v>20</v>
      </c>
      <c r="B49" s="180"/>
      <c r="C49" s="180"/>
      <c r="D49" s="181"/>
      <c r="E49" s="180"/>
      <c r="F49" s="180"/>
      <c r="G49" s="180" t="s">
        <v>21</v>
      </c>
      <c r="H49" s="180"/>
      <c r="I49" s="180"/>
      <c r="J49" s="180"/>
    </row>
    <row r="50" spans="1:10" collapsed="1" x14ac:dyDescent="0.25">
      <c r="A50" s="254" t="s">
        <v>11</v>
      </c>
      <c r="B50" s="254"/>
      <c r="C50" s="254"/>
      <c r="D50" s="254"/>
      <c r="E50" s="254"/>
      <c r="F50" s="254"/>
      <c r="G50" s="254"/>
      <c r="H50" s="254"/>
      <c r="I50" s="254"/>
      <c r="J50" s="254"/>
    </row>
    <row r="51" spans="1:10" x14ac:dyDescent="0.25">
      <c r="A51" s="81">
        <v>23</v>
      </c>
      <c r="B51" s="117" t="s">
        <v>66</v>
      </c>
      <c r="C51" s="118" t="s">
        <v>237</v>
      </c>
      <c r="D51" s="119">
        <v>44019</v>
      </c>
      <c r="E51" s="125">
        <v>18788</v>
      </c>
      <c r="F51" s="135"/>
      <c r="G51" s="135"/>
      <c r="H51" s="135"/>
      <c r="I51" s="135"/>
      <c r="J51" s="135"/>
    </row>
    <row r="52" spans="1:10" outlineLevel="1" x14ac:dyDescent="0.25">
      <c r="A52" s="81">
        <v>24</v>
      </c>
      <c r="B52" s="117" t="s">
        <v>66</v>
      </c>
      <c r="C52" s="118" t="s">
        <v>240</v>
      </c>
      <c r="D52" s="119">
        <v>44021</v>
      </c>
      <c r="E52" s="125">
        <v>18252</v>
      </c>
      <c r="F52" s="135"/>
      <c r="G52" s="135"/>
      <c r="H52" s="135"/>
      <c r="I52" s="135"/>
      <c r="J52" s="135"/>
    </row>
    <row r="53" spans="1:10" outlineLevel="1" x14ac:dyDescent="0.25">
      <c r="A53" s="81">
        <v>25</v>
      </c>
      <c r="B53" s="117" t="s">
        <v>66</v>
      </c>
      <c r="C53" s="118" t="s">
        <v>241</v>
      </c>
      <c r="D53" s="119">
        <v>44027</v>
      </c>
      <c r="E53" s="125">
        <v>18398</v>
      </c>
      <c r="F53" s="135"/>
      <c r="G53" s="135"/>
      <c r="H53" s="135"/>
      <c r="I53" s="135"/>
      <c r="J53" s="135"/>
    </row>
    <row r="54" spans="1:10" outlineLevel="1" x14ac:dyDescent="0.25">
      <c r="A54" s="81">
        <v>26</v>
      </c>
      <c r="B54" s="117" t="s">
        <v>67</v>
      </c>
      <c r="C54" s="118" t="s">
        <v>176</v>
      </c>
      <c r="D54" s="119">
        <v>44033</v>
      </c>
      <c r="E54" s="125">
        <v>19500</v>
      </c>
      <c r="F54" s="135"/>
      <c r="G54" s="135"/>
      <c r="H54" s="135"/>
      <c r="I54" s="135"/>
      <c r="J54" s="135"/>
    </row>
    <row r="55" spans="1:10" outlineLevel="1" x14ac:dyDescent="0.25">
      <c r="A55" s="81">
        <v>27</v>
      </c>
      <c r="B55" s="117" t="s">
        <v>66</v>
      </c>
      <c r="C55" s="118" t="s">
        <v>247</v>
      </c>
      <c r="D55" s="119">
        <v>44034</v>
      </c>
      <c r="E55" s="125">
        <v>18419</v>
      </c>
      <c r="F55" s="135"/>
      <c r="G55" s="135"/>
      <c r="H55" s="135"/>
      <c r="I55" s="135"/>
      <c r="J55" s="135"/>
    </row>
    <row r="56" spans="1:10" x14ac:dyDescent="0.25">
      <c r="A56" s="91" t="s">
        <v>17</v>
      </c>
      <c r="B56" s="92"/>
      <c r="C56" s="92" t="str">
        <f>"за "&amp;LOWER($A$50)</f>
        <v>за июль</v>
      </c>
      <c r="D56" s="93">
        <f>COUNTA(июл_пр)</f>
        <v>5</v>
      </c>
      <c r="E56" s="94">
        <f>SUM(июл_кол)</f>
        <v>93357</v>
      </c>
      <c r="F56" s="95">
        <f>COUNTA(акт_вх_июл)+COUNTA(акт_отб_июл)</f>
        <v>0</v>
      </c>
      <c r="G56" s="104"/>
      <c r="H56" s="104"/>
      <c r="I56" s="104"/>
      <c r="J56" s="97">
        <f>SUM(кол_отб_июл)</f>
        <v>0</v>
      </c>
    </row>
    <row r="57" spans="1:10" x14ac:dyDescent="0.25">
      <c r="A57" s="252" t="s">
        <v>13</v>
      </c>
      <c r="B57" s="252"/>
      <c r="C57" s="252"/>
      <c r="D57" s="252"/>
      <c r="E57" s="252"/>
      <c r="F57" s="252"/>
      <c r="G57" s="252"/>
      <c r="H57" s="252"/>
      <c r="I57" s="252"/>
      <c r="J57" s="252"/>
    </row>
    <row r="58" spans="1:10" x14ac:dyDescent="0.25">
      <c r="A58" s="81">
        <v>28</v>
      </c>
      <c r="B58" s="117" t="s">
        <v>66</v>
      </c>
      <c r="C58" s="118" t="s">
        <v>255</v>
      </c>
      <c r="D58" s="119">
        <v>44047</v>
      </c>
      <c r="E58" s="125">
        <v>18585</v>
      </c>
      <c r="F58" s="135"/>
      <c r="G58" s="135"/>
      <c r="H58" s="135"/>
      <c r="I58" s="135"/>
      <c r="J58" s="135"/>
    </row>
    <row r="59" spans="1:10" outlineLevel="1" x14ac:dyDescent="0.25">
      <c r="A59" s="81">
        <v>29</v>
      </c>
      <c r="B59" s="117" t="s">
        <v>67</v>
      </c>
      <c r="C59" s="118" t="s">
        <v>256</v>
      </c>
      <c r="D59" s="119">
        <v>44048</v>
      </c>
      <c r="E59" s="125">
        <v>19500</v>
      </c>
      <c r="F59" s="135"/>
      <c r="G59" s="135"/>
      <c r="H59" s="135"/>
      <c r="I59" s="135"/>
      <c r="J59" s="135"/>
    </row>
    <row r="60" spans="1:10" outlineLevel="1" x14ac:dyDescent="0.25">
      <c r="A60" s="81">
        <v>30</v>
      </c>
      <c r="B60" s="117" t="s">
        <v>66</v>
      </c>
      <c r="C60" s="118" t="s">
        <v>267</v>
      </c>
      <c r="D60" s="119">
        <v>44064</v>
      </c>
      <c r="E60" s="125">
        <v>18550</v>
      </c>
      <c r="F60" s="135"/>
      <c r="G60" s="135"/>
      <c r="H60" s="135"/>
      <c r="I60" s="135"/>
      <c r="J60" s="135"/>
    </row>
    <row r="61" spans="1:10" outlineLevel="1" x14ac:dyDescent="0.25">
      <c r="A61" s="81">
        <v>31</v>
      </c>
      <c r="B61" s="117" t="s">
        <v>66</v>
      </c>
      <c r="C61" s="118" t="s">
        <v>269</v>
      </c>
      <c r="D61" s="119">
        <v>44070</v>
      </c>
      <c r="E61" s="125">
        <v>18512</v>
      </c>
      <c r="F61" s="135"/>
      <c r="G61" s="135"/>
      <c r="H61" s="135"/>
      <c r="I61" s="135"/>
      <c r="J61" s="135"/>
    </row>
    <row r="62" spans="1:10" x14ac:dyDescent="0.25">
      <c r="A62" s="91" t="s">
        <v>17</v>
      </c>
      <c r="B62" s="92"/>
      <c r="C62" s="92" t="str">
        <f>"за "&amp;LOWER($A$57)</f>
        <v>за август</v>
      </c>
      <c r="D62" s="93">
        <f>COUNTA(авг_пр)</f>
        <v>4</v>
      </c>
      <c r="E62" s="94">
        <f>SUM(авг_кол)</f>
        <v>75147</v>
      </c>
      <c r="F62" s="95">
        <f>COUNTA(акт_вх_авг)+COUNTA(акт_отб_авг)</f>
        <v>0</v>
      </c>
      <c r="G62" s="104"/>
      <c r="H62" s="104"/>
      <c r="I62" s="104"/>
      <c r="J62" s="97">
        <f>SUM(кол_отб_авг)</f>
        <v>0</v>
      </c>
    </row>
    <row r="63" spans="1:10" x14ac:dyDescent="0.25">
      <c r="A63" s="252" t="s">
        <v>12</v>
      </c>
      <c r="B63" s="252"/>
      <c r="C63" s="252"/>
      <c r="D63" s="252"/>
      <c r="E63" s="252"/>
      <c r="F63" s="252"/>
      <c r="G63" s="252"/>
      <c r="H63" s="252"/>
      <c r="I63" s="252"/>
      <c r="J63" s="252"/>
    </row>
    <row r="64" spans="1:10" x14ac:dyDescent="0.25">
      <c r="A64" s="81">
        <v>32</v>
      </c>
      <c r="B64" s="117" t="s">
        <v>66</v>
      </c>
      <c r="C64" s="118" t="s">
        <v>273</v>
      </c>
      <c r="D64" s="119">
        <v>44076</v>
      </c>
      <c r="E64" s="125">
        <v>18679</v>
      </c>
      <c r="F64" s="126"/>
      <c r="G64" s="118"/>
      <c r="H64" s="135"/>
      <c r="I64" s="135"/>
      <c r="J64" s="135"/>
    </row>
    <row r="65" spans="1:10" ht="105" outlineLevel="1" x14ac:dyDescent="0.25">
      <c r="A65" s="81">
        <v>33</v>
      </c>
      <c r="B65" s="117" t="s">
        <v>67</v>
      </c>
      <c r="C65" s="118" t="s">
        <v>279</v>
      </c>
      <c r="D65" s="119">
        <v>44081</v>
      </c>
      <c r="E65" s="125">
        <v>19500</v>
      </c>
      <c r="F65" s="126" t="s">
        <v>295</v>
      </c>
      <c r="G65" s="118" t="s">
        <v>296</v>
      </c>
      <c r="H65" s="135"/>
      <c r="I65" s="135"/>
      <c r="J65" s="135"/>
    </row>
    <row r="66" spans="1:10" ht="30" outlineLevel="1" x14ac:dyDescent="0.25">
      <c r="A66" s="81">
        <v>34</v>
      </c>
      <c r="B66" s="117" t="s">
        <v>66</v>
      </c>
      <c r="C66" s="118" t="s">
        <v>280</v>
      </c>
      <c r="D66" s="119">
        <v>44082</v>
      </c>
      <c r="E66" s="125">
        <v>37489</v>
      </c>
      <c r="F66" s="126"/>
      <c r="G66" s="118"/>
      <c r="H66" s="135"/>
      <c r="I66" s="135"/>
      <c r="J66" s="135"/>
    </row>
    <row r="67" spans="1:10" outlineLevel="1" x14ac:dyDescent="0.25">
      <c r="A67" s="81">
        <v>35</v>
      </c>
      <c r="B67" s="117" t="s">
        <v>66</v>
      </c>
      <c r="C67" s="118" t="s">
        <v>286</v>
      </c>
      <c r="D67" s="119">
        <v>44085</v>
      </c>
      <c r="E67" s="125">
        <v>18762</v>
      </c>
      <c r="F67" s="126"/>
      <c r="G67" s="118"/>
      <c r="H67" s="135"/>
      <c r="I67" s="135"/>
      <c r="J67" s="135"/>
    </row>
    <row r="68" spans="1:10" outlineLevel="1" x14ac:dyDescent="0.25">
      <c r="A68" s="81">
        <v>36</v>
      </c>
      <c r="B68" s="117" t="s">
        <v>66</v>
      </c>
      <c r="C68" s="118" t="s">
        <v>287</v>
      </c>
      <c r="D68" s="119">
        <v>44089</v>
      </c>
      <c r="E68" s="125">
        <v>18440</v>
      </c>
      <c r="F68" s="126"/>
      <c r="G68" s="118"/>
      <c r="H68" s="135"/>
      <c r="I68" s="135"/>
      <c r="J68" s="135"/>
    </row>
    <row r="69" spans="1:10" outlineLevel="1" x14ac:dyDescent="0.25">
      <c r="A69" s="81">
        <v>37</v>
      </c>
      <c r="B69" s="117" t="s">
        <v>66</v>
      </c>
      <c r="C69" s="118" t="s">
        <v>288</v>
      </c>
      <c r="D69" s="119">
        <v>44089</v>
      </c>
      <c r="E69" s="125">
        <v>15692</v>
      </c>
      <c r="F69" s="126"/>
      <c r="G69" s="118"/>
      <c r="H69" s="135"/>
      <c r="I69" s="135"/>
      <c r="J69" s="135"/>
    </row>
    <row r="70" spans="1:10" outlineLevel="1" x14ac:dyDescent="0.25">
      <c r="A70" s="81">
        <v>38</v>
      </c>
      <c r="B70" s="117" t="s">
        <v>66</v>
      </c>
      <c r="C70" s="118" t="s">
        <v>292</v>
      </c>
      <c r="D70" s="119">
        <v>44092</v>
      </c>
      <c r="E70" s="125">
        <v>18685</v>
      </c>
      <c r="F70" s="126"/>
      <c r="G70" s="118"/>
      <c r="H70" s="135"/>
      <c r="I70" s="135"/>
      <c r="J70" s="135"/>
    </row>
    <row r="71" spans="1:10" outlineLevel="1" x14ac:dyDescent="0.25">
      <c r="A71" s="81">
        <v>39</v>
      </c>
      <c r="B71" s="117" t="s">
        <v>66</v>
      </c>
      <c r="C71" s="118" t="s">
        <v>293</v>
      </c>
      <c r="D71" s="119">
        <v>44096</v>
      </c>
      <c r="E71" s="125">
        <v>18561</v>
      </c>
      <c r="F71" s="126"/>
      <c r="G71" s="118"/>
      <c r="H71" s="135"/>
      <c r="I71" s="135"/>
      <c r="J71" s="135"/>
    </row>
    <row r="72" spans="1:10" x14ac:dyDescent="0.25">
      <c r="A72" s="91" t="s">
        <v>17</v>
      </c>
      <c r="B72" s="92"/>
      <c r="C72" s="92" t="str">
        <f>"за "&amp;LOWER($A$63)</f>
        <v>за сентябрь</v>
      </c>
      <c r="D72" s="93">
        <f>COUNTA(снт_пр)</f>
        <v>8</v>
      </c>
      <c r="E72" s="94">
        <f>SUM(снт_кол)</f>
        <v>165808</v>
      </c>
      <c r="F72" s="95">
        <f>COUNTA(акт_вх_снт)+COUNTA(акт_отб_снт)</f>
        <v>1</v>
      </c>
      <c r="G72" s="104"/>
      <c r="H72" s="104"/>
      <c r="I72" s="104"/>
      <c r="J72" s="97">
        <f>SUM(кол_отб_снт)</f>
        <v>0</v>
      </c>
    </row>
    <row r="73" spans="1:10" ht="30" customHeight="1" x14ac:dyDescent="0.25">
      <c r="A73" s="105" t="s">
        <v>17</v>
      </c>
      <c r="B73" s="106"/>
      <c r="C73" s="106" t="s">
        <v>111</v>
      </c>
      <c r="D73" s="107">
        <f>SUM(D56,D62,D72)</f>
        <v>17</v>
      </c>
      <c r="E73" s="108">
        <f>SUM(E56,E62,E72)</f>
        <v>334312</v>
      </c>
      <c r="F73" s="109">
        <f>SUM(F56,F62,F72)</f>
        <v>1</v>
      </c>
      <c r="G73" s="106"/>
      <c r="H73" s="106" t="str">
        <f>"Кп= "&amp;ROUNDDOWN((F73/D73)*100,1)&amp;"%"</f>
        <v>Кп= 5,8%</v>
      </c>
      <c r="I73" s="106" t="str">
        <f>"Км= "&amp;ROUNDDOWN((J73/E73)*100,2)&amp;"%"</f>
        <v>Км= 0%</v>
      </c>
      <c r="J73" s="110">
        <f>SUM(J56,J62,J72)</f>
        <v>0</v>
      </c>
    </row>
    <row r="74" spans="1:10" ht="30" customHeight="1" x14ac:dyDescent="0.25">
      <c r="A74" s="105" t="s">
        <v>17</v>
      </c>
      <c r="B74" s="106"/>
      <c r="C74" s="106" t="s">
        <v>113</v>
      </c>
      <c r="D74" s="107">
        <f>SUM(D48,D73)</f>
        <v>39</v>
      </c>
      <c r="E74" s="108">
        <f>SUM(E73,E48)</f>
        <v>741824</v>
      </c>
      <c r="F74" s="109">
        <f>SUM(F73,F48)</f>
        <v>1</v>
      </c>
      <c r="G74" s="106"/>
      <c r="H74" s="106" t="str">
        <f>"Кп= "&amp;ROUNDDOWN((F74/D74)*100,1)&amp;"%"</f>
        <v>Кп= 2,5%</v>
      </c>
      <c r="I74" s="106" t="str">
        <f>"Км= "&amp;ROUNDDOWN((J74/E74)*100,2)&amp;"%"</f>
        <v>Км= 0%</v>
      </c>
      <c r="J74" s="110">
        <f>SUM(J73,J48)</f>
        <v>0</v>
      </c>
    </row>
    <row r="75" spans="1:10" ht="24.75" hidden="1" customHeight="1" outlineLevel="1" x14ac:dyDescent="0.25">
      <c r="A75" s="91" t="s">
        <v>20</v>
      </c>
      <c r="B75" s="92"/>
      <c r="C75" s="92"/>
      <c r="D75" s="111"/>
      <c r="E75" s="92"/>
      <c r="F75" s="92"/>
      <c r="G75" s="92" t="s">
        <v>21</v>
      </c>
      <c r="H75" s="92"/>
      <c r="I75" s="92"/>
      <c r="J75" s="112"/>
    </row>
    <row r="76" spans="1:10" ht="15" customHeight="1" collapsed="1" x14ac:dyDescent="0.25">
      <c r="A76" s="252" t="s">
        <v>14</v>
      </c>
      <c r="B76" s="252"/>
      <c r="C76" s="252"/>
      <c r="D76" s="252"/>
      <c r="E76" s="252"/>
      <c r="F76" s="252"/>
      <c r="G76" s="252"/>
      <c r="H76" s="252"/>
      <c r="I76" s="252"/>
      <c r="J76" s="252"/>
    </row>
    <row r="77" spans="1:10" x14ac:dyDescent="0.25">
      <c r="A77" s="169">
        <v>40</v>
      </c>
      <c r="B77" s="151" t="s">
        <v>66</v>
      </c>
      <c r="C77" s="152" t="s">
        <v>310</v>
      </c>
      <c r="D77" s="153">
        <v>44107</v>
      </c>
      <c r="E77" s="147">
        <v>18401</v>
      </c>
      <c r="F77" s="225"/>
      <c r="G77" s="152"/>
      <c r="H77" s="170"/>
      <c r="I77" s="170"/>
      <c r="J77" s="170"/>
    </row>
    <row r="78" spans="1:10" ht="30" outlineLevel="1" x14ac:dyDescent="0.25">
      <c r="A78" s="169">
        <v>41</v>
      </c>
      <c r="B78" s="151" t="s">
        <v>66</v>
      </c>
      <c r="C78" s="152" t="s">
        <v>305</v>
      </c>
      <c r="D78" s="153">
        <v>44111</v>
      </c>
      <c r="E78" s="147">
        <v>18102</v>
      </c>
      <c r="F78" s="225"/>
      <c r="G78" s="152"/>
      <c r="H78" s="170"/>
      <c r="I78" s="170"/>
      <c r="J78" s="170"/>
    </row>
    <row r="79" spans="1:10" ht="30" outlineLevel="1" x14ac:dyDescent="0.25">
      <c r="A79" s="169">
        <v>42</v>
      </c>
      <c r="B79" s="151" t="s">
        <v>66</v>
      </c>
      <c r="C79" s="152" t="s">
        <v>308</v>
      </c>
      <c r="D79" s="153">
        <v>44118</v>
      </c>
      <c r="E79" s="147">
        <v>17979</v>
      </c>
      <c r="F79" s="225"/>
      <c r="G79" s="152"/>
      <c r="H79" s="170"/>
      <c r="I79" s="170"/>
      <c r="J79" s="170"/>
    </row>
    <row r="80" spans="1:10" outlineLevel="1" x14ac:dyDescent="0.25">
      <c r="A80" s="169">
        <v>43</v>
      </c>
      <c r="B80" s="151" t="s">
        <v>66</v>
      </c>
      <c r="C80" s="152" t="s">
        <v>313</v>
      </c>
      <c r="D80" s="153">
        <v>44134</v>
      </c>
      <c r="E80" s="147">
        <v>18206</v>
      </c>
      <c r="F80" s="225"/>
      <c r="G80" s="152"/>
      <c r="H80" s="170"/>
      <c r="I80" s="170"/>
      <c r="J80" s="170"/>
    </row>
    <row r="81" spans="1:10" ht="105" outlineLevel="1" x14ac:dyDescent="0.25">
      <c r="A81" s="169">
        <v>44</v>
      </c>
      <c r="B81" s="151" t="s">
        <v>66</v>
      </c>
      <c r="C81" s="152" t="s">
        <v>121</v>
      </c>
      <c r="D81" s="153">
        <v>44134</v>
      </c>
      <c r="E81" s="147">
        <v>19500</v>
      </c>
      <c r="F81" s="225" t="s">
        <v>334</v>
      </c>
      <c r="G81" s="152" t="s">
        <v>296</v>
      </c>
      <c r="H81" s="170"/>
      <c r="I81" s="170"/>
      <c r="J81" s="170"/>
    </row>
    <row r="82" spans="1:10" x14ac:dyDescent="0.25">
      <c r="A82" s="155" t="s">
        <v>17</v>
      </c>
      <c r="B82" s="156"/>
      <c r="C82" s="156" t="str">
        <f>"за "&amp;LOWER($A$76)</f>
        <v>за октябрь</v>
      </c>
      <c r="D82" s="157">
        <f>COUNTA(окт_пр)</f>
        <v>5</v>
      </c>
      <c r="E82" s="158">
        <f>SUM(окт_кол)</f>
        <v>92188</v>
      </c>
      <c r="F82" s="159">
        <f>COUNTA(акт_вх_окт)+COUNTA(акт_отб_окт)</f>
        <v>1</v>
      </c>
      <c r="G82" s="160"/>
      <c r="H82" s="160"/>
      <c r="I82" s="160"/>
      <c r="J82" s="161">
        <f>SUM(кол_отб_окт)</f>
        <v>0</v>
      </c>
    </row>
    <row r="83" spans="1:10" x14ac:dyDescent="0.25">
      <c r="A83" s="254" t="s">
        <v>15</v>
      </c>
      <c r="B83" s="254"/>
      <c r="C83" s="254"/>
      <c r="D83" s="254"/>
      <c r="E83" s="254"/>
      <c r="F83" s="254"/>
      <c r="G83" s="254"/>
      <c r="H83" s="254"/>
      <c r="I83" s="254"/>
      <c r="J83" s="254"/>
    </row>
    <row r="84" spans="1:10" ht="30" x14ac:dyDescent="0.25">
      <c r="A84" s="169">
        <v>45</v>
      </c>
      <c r="B84" s="151" t="s">
        <v>66</v>
      </c>
      <c r="C84" s="152" t="s">
        <v>317</v>
      </c>
      <c r="D84" s="153">
        <v>44145</v>
      </c>
      <c r="E84" s="147">
        <v>18810</v>
      </c>
      <c r="F84" s="225"/>
      <c r="G84" s="152"/>
      <c r="H84" s="170"/>
      <c r="I84" s="170"/>
      <c r="J84" s="170"/>
    </row>
    <row r="85" spans="1:10" outlineLevel="1" x14ac:dyDescent="0.25">
      <c r="A85" s="169">
        <v>46</v>
      </c>
      <c r="B85" s="151" t="s">
        <v>66</v>
      </c>
      <c r="C85" s="152" t="s">
        <v>318</v>
      </c>
      <c r="D85" s="153">
        <v>44148</v>
      </c>
      <c r="E85" s="147">
        <v>18150</v>
      </c>
      <c r="F85" s="225"/>
      <c r="G85" s="152"/>
      <c r="H85" s="170"/>
      <c r="I85" s="170"/>
      <c r="J85" s="170"/>
    </row>
    <row r="86" spans="1:10" ht="30" outlineLevel="1" x14ac:dyDescent="0.25">
      <c r="A86" s="169">
        <v>47</v>
      </c>
      <c r="B86" s="151" t="s">
        <v>66</v>
      </c>
      <c r="C86" s="152" t="s">
        <v>321</v>
      </c>
      <c r="D86" s="153">
        <v>44152</v>
      </c>
      <c r="E86" s="147">
        <v>36807</v>
      </c>
      <c r="F86" s="225"/>
      <c r="G86" s="152"/>
      <c r="H86" s="170"/>
      <c r="I86" s="170"/>
      <c r="J86" s="170"/>
    </row>
    <row r="87" spans="1:10" outlineLevel="1" x14ac:dyDescent="0.25">
      <c r="A87" s="169">
        <v>48</v>
      </c>
      <c r="B87" s="210" t="s">
        <v>69</v>
      </c>
      <c r="C87" s="191" t="s">
        <v>325</v>
      </c>
      <c r="D87" s="129">
        <v>44156</v>
      </c>
      <c r="E87" s="130">
        <v>18368</v>
      </c>
      <c r="F87" s="229"/>
      <c r="G87" s="191"/>
      <c r="H87" s="170"/>
      <c r="I87" s="170"/>
      <c r="J87" s="170"/>
    </row>
    <row r="88" spans="1:10" outlineLevel="1" x14ac:dyDescent="0.25">
      <c r="A88" s="169">
        <v>49</v>
      </c>
      <c r="B88" s="210" t="s">
        <v>66</v>
      </c>
      <c r="C88" s="191" t="s">
        <v>186</v>
      </c>
      <c r="D88" s="129">
        <v>44160</v>
      </c>
      <c r="E88" s="130">
        <v>19500</v>
      </c>
      <c r="F88" s="229"/>
      <c r="G88" s="191"/>
      <c r="H88" s="170"/>
      <c r="I88" s="170"/>
      <c r="J88" s="170"/>
    </row>
    <row r="89" spans="1:10" outlineLevel="1" x14ac:dyDescent="0.25">
      <c r="A89" s="169">
        <v>50</v>
      </c>
      <c r="B89" s="210" t="s">
        <v>66</v>
      </c>
      <c r="C89" s="191" t="s">
        <v>328</v>
      </c>
      <c r="D89" s="129">
        <v>44161</v>
      </c>
      <c r="E89" s="130">
        <v>18639</v>
      </c>
      <c r="F89" s="229"/>
      <c r="G89" s="191"/>
      <c r="H89" s="170"/>
      <c r="I89" s="170"/>
      <c r="J89" s="170"/>
    </row>
    <row r="90" spans="1:10" outlineLevel="1" x14ac:dyDescent="0.25">
      <c r="A90" s="169">
        <v>51</v>
      </c>
      <c r="B90" s="210" t="s">
        <v>69</v>
      </c>
      <c r="C90" s="191" t="s">
        <v>329</v>
      </c>
      <c r="D90" s="129" t="s">
        <v>387</v>
      </c>
      <c r="E90" s="130">
        <v>18432</v>
      </c>
      <c r="F90" s="229"/>
      <c r="G90" s="191"/>
      <c r="H90" s="170"/>
      <c r="I90" s="170"/>
      <c r="J90" s="170"/>
    </row>
    <row r="91" spans="1:10" outlineLevel="1" x14ac:dyDescent="0.25">
      <c r="A91" s="169">
        <v>52</v>
      </c>
      <c r="B91" s="210" t="s">
        <v>66</v>
      </c>
      <c r="C91" s="191" t="s">
        <v>330</v>
      </c>
      <c r="D91" s="129" t="s">
        <v>388</v>
      </c>
      <c r="E91" s="130">
        <v>6818</v>
      </c>
      <c r="F91" s="229"/>
      <c r="G91" s="191"/>
      <c r="H91" s="170"/>
      <c r="I91" s="170"/>
      <c r="J91" s="170"/>
    </row>
    <row r="92" spans="1:10" outlineLevel="1" x14ac:dyDescent="0.25">
      <c r="A92" s="81">
        <v>53</v>
      </c>
      <c r="B92" s="98" t="s">
        <v>69</v>
      </c>
      <c r="C92" s="83" t="s">
        <v>331</v>
      </c>
      <c r="D92" s="84">
        <v>44162</v>
      </c>
      <c r="E92" s="124">
        <v>11902</v>
      </c>
      <c r="F92" s="86"/>
      <c r="G92" s="83"/>
      <c r="H92" s="135"/>
      <c r="I92" s="135"/>
      <c r="J92" s="135"/>
    </row>
    <row r="93" spans="1:10" x14ac:dyDescent="0.25">
      <c r="A93" s="91" t="s">
        <v>17</v>
      </c>
      <c r="B93" s="92"/>
      <c r="C93" s="92" t="str">
        <f>"за "&amp;LOWER($A$83)</f>
        <v>за ноябрь</v>
      </c>
      <c r="D93" s="93">
        <f>COUNTA(нбр_пр)</f>
        <v>9</v>
      </c>
      <c r="E93" s="94">
        <f>SUM(нбр_кол)</f>
        <v>167426</v>
      </c>
      <c r="F93" s="95">
        <f>COUNTA(акт_вх_нбр)+COUNTA(акт_отб_нбр)</f>
        <v>0</v>
      </c>
      <c r="G93" s="104"/>
      <c r="H93" s="104"/>
      <c r="I93" s="104"/>
      <c r="J93" s="97">
        <f>SUM(кол_отб_нбр)</f>
        <v>0</v>
      </c>
    </row>
    <row r="94" spans="1:10" x14ac:dyDescent="0.25">
      <c r="A94" s="252" t="s">
        <v>16</v>
      </c>
      <c r="B94" s="252"/>
      <c r="C94" s="252"/>
      <c r="D94" s="252"/>
      <c r="E94" s="252"/>
      <c r="F94" s="252"/>
      <c r="G94" s="252"/>
      <c r="H94" s="252"/>
      <c r="I94" s="252"/>
      <c r="J94" s="252"/>
    </row>
    <row r="95" spans="1:10" x14ac:dyDescent="0.25">
      <c r="A95" s="81">
        <v>54</v>
      </c>
      <c r="B95" s="98" t="s">
        <v>66</v>
      </c>
      <c r="C95" s="83" t="s">
        <v>330</v>
      </c>
      <c r="D95" s="84" t="s">
        <v>389</v>
      </c>
      <c r="E95" s="124">
        <v>18782</v>
      </c>
      <c r="F95" s="135"/>
      <c r="G95" s="135"/>
      <c r="H95" s="135"/>
      <c r="I95" s="135"/>
      <c r="J95" s="135"/>
    </row>
    <row r="96" spans="1:10" outlineLevel="1" x14ac:dyDescent="0.25">
      <c r="A96" s="81">
        <v>55</v>
      </c>
      <c r="B96" s="98" t="s">
        <v>66</v>
      </c>
      <c r="C96" s="83" t="s">
        <v>336</v>
      </c>
      <c r="D96" s="84" t="s">
        <v>390</v>
      </c>
      <c r="E96" s="124">
        <v>13680</v>
      </c>
      <c r="F96" s="135"/>
      <c r="G96" s="135"/>
      <c r="H96" s="135"/>
      <c r="I96" s="135"/>
      <c r="J96" s="135"/>
    </row>
    <row r="97" spans="1:10" outlineLevel="1" x14ac:dyDescent="0.25">
      <c r="A97" s="81">
        <v>56</v>
      </c>
      <c r="B97" s="98" t="s">
        <v>66</v>
      </c>
      <c r="C97" s="83" t="s">
        <v>342</v>
      </c>
      <c r="D97" s="84">
        <v>44180</v>
      </c>
      <c r="E97" s="124">
        <v>19500</v>
      </c>
      <c r="F97" s="135"/>
      <c r="G97" s="135"/>
      <c r="H97" s="135"/>
      <c r="I97" s="135"/>
      <c r="J97" s="135"/>
    </row>
    <row r="98" spans="1:10" outlineLevel="1" x14ac:dyDescent="0.25">
      <c r="A98" s="81">
        <v>57</v>
      </c>
      <c r="B98" s="98" t="s">
        <v>66</v>
      </c>
      <c r="C98" s="83" t="s">
        <v>347</v>
      </c>
      <c r="D98" s="84">
        <v>44187</v>
      </c>
      <c r="E98" s="124">
        <v>19500</v>
      </c>
      <c r="F98" s="135"/>
      <c r="G98" s="135"/>
      <c r="H98" s="135"/>
      <c r="I98" s="135"/>
      <c r="J98" s="135"/>
    </row>
    <row r="99" spans="1:10" outlineLevel="1" x14ac:dyDescent="0.25">
      <c r="A99" s="81">
        <v>58</v>
      </c>
      <c r="B99" s="98" t="s">
        <v>66</v>
      </c>
      <c r="C99" s="83" t="s">
        <v>350</v>
      </c>
      <c r="D99" s="84" t="s">
        <v>391</v>
      </c>
      <c r="E99" s="124">
        <v>33691</v>
      </c>
      <c r="F99" s="135"/>
      <c r="G99" s="135"/>
      <c r="H99" s="135"/>
      <c r="I99" s="135"/>
      <c r="J99" s="135"/>
    </row>
    <row r="100" spans="1:10" x14ac:dyDescent="0.25">
      <c r="A100" s="91" t="s">
        <v>17</v>
      </c>
      <c r="B100" s="236"/>
      <c r="C100" s="236" t="str">
        <f>"за "&amp;LOWER($A$94)</f>
        <v>за декабрь</v>
      </c>
      <c r="D100" s="237">
        <f>COUNTA(дкб_пр)</f>
        <v>5</v>
      </c>
      <c r="E100" s="238">
        <f>SUM(дкб_кол)</f>
        <v>105153</v>
      </c>
      <c r="F100" s="239">
        <f>COUNTA(акт_вх_дкб)+COUNTA(акт_отб_дкб)</f>
        <v>0</v>
      </c>
      <c r="G100" s="240"/>
      <c r="H100" s="240"/>
      <c r="I100" s="240"/>
      <c r="J100" s="241">
        <f>SUM(кол_отб_дкб)</f>
        <v>0</v>
      </c>
    </row>
    <row r="101" spans="1:10" ht="32.25" customHeight="1" x14ac:dyDescent="0.25">
      <c r="A101" s="230" t="s">
        <v>17</v>
      </c>
      <c r="B101" s="230"/>
      <c r="C101" s="231" t="s">
        <v>112</v>
      </c>
      <c r="D101" s="232">
        <f>SUM(D82,D93,D100)</f>
        <v>19</v>
      </c>
      <c r="E101" s="233">
        <f>SUM(E82,E93,E100)</f>
        <v>364767</v>
      </c>
      <c r="F101" s="234">
        <f>SUM(F82,F93,F100)</f>
        <v>1</v>
      </c>
      <c r="G101" s="231"/>
      <c r="H101" s="231" t="str">
        <f>"Кп= "&amp;ROUNDDOWN((F101/D101)*100,1)&amp;"%"</f>
        <v>Кп= 5,2%</v>
      </c>
      <c r="I101" s="231" t="str">
        <f>"Км= "&amp;ROUNDDOWN((J101/E101)*100,2)&amp;"%"</f>
        <v>Км= 0%</v>
      </c>
      <c r="J101" s="235">
        <f>SUM(J82,J93,J100)</f>
        <v>0</v>
      </c>
    </row>
    <row r="102" spans="1:10" ht="27" customHeight="1" x14ac:dyDescent="0.25">
      <c r="A102" s="105" t="s">
        <v>17</v>
      </c>
      <c r="B102" s="106"/>
      <c r="C102" s="106" t="s">
        <v>114</v>
      </c>
      <c r="D102" s="107">
        <f>SUM(D101,D74)</f>
        <v>58</v>
      </c>
      <c r="E102" s="108">
        <f>SUM(E101,E74)</f>
        <v>1106591</v>
      </c>
      <c r="F102" s="109">
        <f>SUM(F101,F74)</f>
        <v>2</v>
      </c>
      <c r="G102" s="106"/>
      <c r="H102" s="106" t="str">
        <f>"Кп= "&amp;ROUNDDOWN((F102/D102)*100,1)&amp;"%"</f>
        <v>Кп= 3,4%</v>
      </c>
      <c r="I102" s="106" t="str">
        <f>"Км= "&amp;ROUNDDOWN((J102/E102)*100,2)&amp;"%"</f>
        <v>Км= 0%</v>
      </c>
      <c r="J102" s="110">
        <f>SUM(J101,J74)</f>
        <v>0</v>
      </c>
    </row>
    <row r="103" spans="1:10" s="228" customFormat="1" ht="27" customHeight="1" x14ac:dyDescent="0.25">
      <c r="A103" s="217" t="s">
        <v>392</v>
      </c>
      <c r="B103" s="217"/>
      <c r="C103" s="217"/>
      <c r="D103" s="218"/>
      <c r="E103" s="219"/>
      <c r="F103" s="220"/>
      <c r="G103" s="217"/>
      <c r="H103" s="217"/>
      <c r="I103" s="217"/>
      <c r="J103" s="219"/>
    </row>
    <row r="104" spans="1:10" ht="26.25" customHeight="1" x14ac:dyDescent="0.25">
      <c r="A104" s="139" t="s">
        <v>20</v>
      </c>
      <c r="B104" s="139"/>
      <c r="C104" s="139"/>
      <c r="D104" s="140"/>
      <c r="E104" s="139"/>
      <c r="F104" s="139"/>
      <c r="G104" s="139" t="s">
        <v>21</v>
      </c>
      <c r="H104" s="139"/>
      <c r="I104" s="139"/>
      <c r="J104" s="139"/>
    </row>
  </sheetData>
  <sheetProtection algorithmName="SHA-512" hashValue="0VbfTEonAlqBjWH13UdWLmNo0vb7rwMSswfnU57s9gk9gt3lcG824Lz4fBafY5yOIPFZ+DOqYzY6mBA6cqExoA==" saltValue="P0TJuBJwgR+WbaQLWlvhXA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94:J94"/>
    <mergeCell ref="A6:J6"/>
    <mergeCell ref="A13:J13"/>
    <mergeCell ref="A20:J20"/>
    <mergeCell ref="A29:J29"/>
    <mergeCell ref="A35:J35"/>
    <mergeCell ref="A42:J42"/>
    <mergeCell ref="A50:J50"/>
    <mergeCell ref="A57:J57"/>
    <mergeCell ref="A63:J63"/>
    <mergeCell ref="A76:J76"/>
    <mergeCell ref="A83:J8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2ACF4-9F36-4B30-9BC7-6471A7F4BCA6}">
  <sheetPr codeName="Лист5">
    <pageSetUpPr fitToPage="1"/>
  </sheetPr>
  <dimension ref="A1:N85"/>
  <sheetViews>
    <sheetView zoomScale="85" zoomScaleNormal="85" workbookViewId="0">
      <pane ySplit="4" topLeftCell="A83" activePane="bottomLeft" state="frozen"/>
      <selection activeCell="A2" sqref="A2:J2"/>
      <selection pane="bottomLeft" activeCell="B5" sqref="B5"/>
    </sheetView>
  </sheetViews>
  <sheetFormatPr defaultRowHeight="15" outlineLevelRow="1" x14ac:dyDescent="0.25"/>
  <cols>
    <col min="1" max="1" width="5" customWidth="1"/>
    <col min="2" max="2" width="37.570312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74"/>
      <c r="B1" s="74"/>
      <c r="C1" s="74"/>
      <c r="D1" s="74"/>
      <c r="E1" s="74"/>
      <c r="F1" s="74"/>
      <c r="G1" s="74"/>
      <c r="H1" s="74"/>
      <c r="I1" s="74"/>
      <c r="J1" s="75" t="s">
        <v>94</v>
      </c>
    </row>
    <row r="2" spans="1:14" ht="33.75" customHeight="1" x14ac:dyDescent="0.4">
      <c r="A2" s="255" t="s">
        <v>365</v>
      </c>
      <c r="B2" s="255"/>
      <c r="C2" s="255"/>
      <c r="D2" s="255"/>
      <c r="E2" s="255"/>
      <c r="F2" s="255"/>
      <c r="G2" s="255"/>
      <c r="H2" s="255"/>
      <c r="I2" s="255"/>
      <c r="J2" s="255"/>
    </row>
    <row r="3" spans="1:14" x14ac:dyDescent="0.25">
      <c r="A3" s="256" t="s">
        <v>0</v>
      </c>
      <c r="B3" s="257" t="s">
        <v>97</v>
      </c>
      <c r="C3" s="256" t="s">
        <v>1</v>
      </c>
      <c r="D3" s="259" t="s">
        <v>23</v>
      </c>
      <c r="E3" s="256" t="s">
        <v>96</v>
      </c>
      <c r="F3" s="256" t="s">
        <v>3</v>
      </c>
      <c r="G3" s="256"/>
      <c r="H3" s="260" t="s">
        <v>2</v>
      </c>
      <c r="I3" s="261"/>
      <c r="J3" s="259" t="s">
        <v>93</v>
      </c>
    </row>
    <row r="4" spans="1:14" ht="32.25" customHeight="1" x14ac:dyDescent="0.25">
      <c r="A4" s="256"/>
      <c r="B4" s="258"/>
      <c r="C4" s="256"/>
      <c r="D4" s="256"/>
      <c r="E4" s="256"/>
      <c r="F4" s="186" t="s">
        <v>0</v>
      </c>
      <c r="G4" s="186" t="s">
        <v>4</v>
      </c>
      <c r="H4" s="186" t="s">
        <v>0</v>
      </c>
      <c r="I4" s="186" t="s">
        <v>4</v>
      </c>
      <c r="J4" s="256"/>
    </row>
    <row r="5" spans="1:14" ht="14.25" customHeight="1" x14ac:dyDescent="0.25">
      <c r="A5" s="185">
        <v>1</v>
      </c>
      <c r="B5" s="185">
        <v>2</v>
      </c>
      <c r="C5" s="185">
        <v>3</v>
      </c>
      <c r="D5" s="185">
        <v>4</v>
      </c>
      <c r="E5" s="185">
        <v>5</v>
      </c>
      <c r="F5" s="185">
        <v>6</v>
      </c>
      <c r="G5" s="185">
        <v>7</v>
      </c>
      <c r="H5" s="185">
        <v>8</v>
      </c>
      <c r="I5" s="185">
        <v>9</v>
      </c>
      <c r="J5" s="185">
        <v>10</v>
      </c>
      <c r="M5" s="18"/>
    </row>
    <row r="6" spans="1:14" x14ac:dyDescent="0.25">
      <c r="A6" s="252" t="s">
        <v>5</v>
      </c>
      <c r="B6" s="252"/>
      <c r="C6" s="252"/>
      <c r="D6" s="252"/>
      <c r="E6" s="252"/>
      <c r="F6" s="252"/>
      <c r="G6" s="252"/>
      <c r="H6" s="252"/>
      <c r="I6" s="252"/>
      <c r="J6" s="252"/>
    </row>
    <row r="7" spans="1:14" ht="150" x14ac:dyDescent="0.25">
      <c r="A7" s="81">
        <v>1</v>
      </c>
      <c r="B7" s="82" t="s">
        <v>34</v>
      </c>
      <c r="C7" s="83" t="s">
        <v>119</v>
      </c>
      <c r="D7" s="84">
        <v>43847</v>
      </c>
      <c r="E7" s="85">
        <v>10000</v>
      </c>
      <c r="F7" s="86" t="s">
        <v>120</v>
      </c>
      <c r="G7" s="83" t="s">
        <v>127</v>
      </c>
      <c r="H7" s="126" t="s">
        <v>235</v>
      </c>
      <c r="I7" s="126" t="s">
        <v>236</v>
      </c>
      <c r="J7" s="187">
        <v>17.350000000000001</v>
      </c>
    </row>
    <row r="8" spans="1:14" ht="150" outlineLevel="1" x14ac:dyDescent="0.25">
      <c r="A8" s="81">
        <v>2</v>
      </c>
      <c r="B8" s="82" t="s">
        <v>34</v>
      </c>
      <c r="C8" s="83" t="s">
        <v>125</v>
      </c>
      <c r="D8" s="84">
        <v>43860</v>
      </c>
      <c r="E8" s="85">
        <v>9894</v>
      </c>
      <c r="F8" s="86" t="s">
        <v>124</v>
      </c>
      <c r="G8" s="83" t="s">
        <v>129</v>
      </c>
      <c r="H8" s="126" t="s">
        <v>235</v>
      </c>
      <c r="I8" s="126" t="s">
        <v>236</v>
      </c>
      <c r="J8" s="187">
        <v>17.350000000000001</v>
      </c>
    </row>
    <row r="9" spans="1:14" s="1" customFormat="1" x14ac:dyDescent="0.25">
      <c r="A9" s="91" t="s">
        <v>17</v>
      </c>
      <c r="B9" s="92"/>
      <c r="C9" s="92" t="str">
        <f>"за "&amp;LOWER($A$6)</f>
        <v>за январь</v>
      </c>
      <c r="D9" s="93">
        <f>COUNTA(янв_пр)</f>
        <v>2</v>
      </c>
      <c r="E9" s="94">
        <f>SUM(янв_кол)</f>
        <v>19894</v>
      </c>
      <c r="F9" s="95">
        <f>COUNTA(акт_вх_янв)</f>
        <v>2</v>
      </c>
      <c r="G9" s="96"/>
      <c r="H9" s="96"/>
      <c r="I9" s="96"/>
      <c r="J9" s="97">
        <f>SUM(кол_отб_янв)</f>
        <v>34.700000000000003</v>
      </c>
    </row>
    <row r="10" spans="1:14" x14ac:dyDescent="0.25">
      <c r="A10" s="262" t="s">
        <v>6</v>
      </c>
      <c r="B10" s="262"/>
      <c r="C10" s="262"/>
      <c r="D10" s="262"/>
      <c r="E10" s="262"/>
      <c r="F10" s="262"/>
      <c r="G10" s="262"/>
      <c r="H10" s="262"/>
      <c r="I10" s="262"/>
      <c r="J10" s="262"/>
      <c r="L10" s="1"/>
      <c r="M10" s="1"/>
      <c r="N10" s="1"/>
    </row>
    <row r="11" spans="1:14" ht="150" x14ac:dyDescent="0.25">
      <c r="A11" s="81">
        <v>3</v>
      </c>
      <c r="B11" s="82" t="s">
        <v>34</v>
      </c>
      <c r="C11" s="83" t="s">
        <v>135</v>
      </c>
      <c r="D11" s="84">
        <v>43867</v>
      </c>
      <c r="E11" s="85">
        <v>9898</v>
      </c>
      <c r="F11" s="86" t="s">
        <v>150</v>
      </c>
      <c r="G11" s="83" t="s">
        <v>129</v>
      </c>
      <c r="H11" s="126" t="s">
        <v>235</v>
      </c>
      <c r="I11" s="126" t="s">
        <v>236</v>
      </c>
      <c r="J11" s="187">
        <v>17.350000000000001</v>
      </c>
      <c r="L11" s="1"/>
      <c r="M11" s="1"/>
      <c r="N11" s="1"/>
    </row>
    <row r="12" spans="1:14" ht="150" outlineLevel="1" x14ac:dyDescent="0.25">
      <c r="A12" s="81">
        <v>4</v>
      </c>
      <c r="B12" s="98" t="s">
        <v>34</v>
      </c>
      <c r="C12" s="83" t="s">
        <v>141</v>
      </c>
      <c r="D12" s="84">
        <v>43875</v>
      </c>
      <c r="E12" s="85">
        <v>9910</v>
      </c>
      <c r="F12" s="86" t="s">
        <v>154</v>
      </c>
      <c r="G12" s="83" t="s">
        <v>129</v>
      </c>
      <c r="H12" s="126" t="s">
        <v>235</v>
      </c>
      <c r="I12" s="126" t="s">
        <v>236</v>
      </c>
      <c r="J12" s="187">
        <v>17.350000000000001</v>
      </c>
      <c r="L12" s="1"/>
      <c r="M12" s="1"/>
      <c r="N12" s="1"/>
    </row>
    <row r="13" spans="1:14" ht="60" outlineLevel="1" x14ac:dyDescent="0.25">
      <c r="A13" s="81">
        <v>5</v>
      </c>
      <c r="B13" s="98" t="s">
        <v>34</v>
      </c>
      <c r="C13" s="83" t="s">
        <v>145</v>
      </c>
      <c r="D13" s="84">
        <v>43880</v>
      </c>
      <c r="E13" s="85">
        <v>9900</v>
      </c>
      <c r="F13" s="86" t="s">
        <v>155</v>
      </c>
      <c r="G13" s="83" t="s">
        <v>129</v>
      </c>
      <c r="H13" s="103" t="s">
        <v>216</v>
      </c>
      <c r="I13" s="103" t="s">
        <v>217</v>
      </c>
      <c r="J13" s="99">
        <v>7.47</v>
      </c>
      <c r="L13" s="1"/>
      <c r="M13" s="1"/>
      <c r="N13" s="1"/>
    </row>
    <row r="14" spans="1:14" ht="60" outlineLevel="1" x14ac:dyDescent="0.25">
      <c r="A14" s="81">
        <v>6</v>
      </c>
      <c r="B14" s="117" t="s">
        <v>34</v>
      </c>
      <c r="C14" s="118" t="s">
        <v>151</v>
      </c>
      <c r="D14" s="119">
        <v>43873</v>
      </c>
      <c r="E14" s="120">
        <v>9900</v>
      </c>
      <c r="F14" s="126" t="s">
        <v>152</v>
      </c>
      <c r="G14" s="118" t="s">
        <v>153</v>
      </c>
      <c r="H14" s="103" t="s">
        <v>216</v>
      </c>
      <c r="I14" s="103" t="s">
        <v>217</v>
      </c>
      <c r="J14" s="99">
        <v>7.47</v>
      </c>
      <c r="L14" s="1"/>
      <c r="M14" s="1"/>
      <c r="N14" s="1"/>
    </row>
    <row r="15" spans="1:14" ht="60" outlineLevel="1" x14ac:dyDescent="0.25">
      <c r="A15" s="81">
        <v>7</v>
      </c>
      <c r="B15" s="117" t="s">
        <v>34</v>
      </c>
      <c r="C15" s="118" t="s">
        <v>158</v>
      </c>
      <c r="D15" s="119">
        <v>43888</v>
      </c>
      <c r="E15" s="120">
        <v>10248</v>
      </c>
      <c r="F15" s="126" t="s">
        <v>159</v>
      </c>
      <c r="G15" s="118" t="s">
        <v>129</v>
      </c>
      <c r="H15" s="103" t="s">
        <v>216</v>
      </c>
      <c r="I15" s="103" t="s">
        <v>217</v>
      </c>
      <c r="J15" s="99">
        <v>7.47</v>
      </c>
      <c r="L15" s="1"/>
      <c r="M15" s="1"/>
      <c r="N15" s="1"/>
    </row>
    <row r="16" spans="1:14" x14ac:dyDescent="0.25">
      <c r="A16" s="91" t="s">
        <v>17</v>
      </c>
      <c r="B16" s="92"/>
      <c r="C16" s="92" t="str">
        <f>"за "&amp;LOWER($A$10)</f>
        <v>за февраль</v>
      </c>
      <c r="D16" s="93">
        <f>COUNTA(фев_пр)</f>
        <v>5</v>
      </c>
      <c r="E16" s="94">
        <f>SUM(фев_кол)</f>
        <v>49856</v>
      </c>
      <c r="F16" s="95">
        <f>COUNTA(акт_вх_фев)</f>
        <v>5</v>
      </c>
      <c r="G16" s="96"/>
      <c r="H16" s="96"/>
      <c r="I16" s="96"/>
      <c r="J16" s="97">
        <f>SUM(кол_отб_фев)</f>
        <v>57.11</v>
      </c>
      <c r="L16" s="1"/>
      <c r="M16" s="1"/>
      <c r="N16" s="1"/>
    </row>
    <row r="17" spans="1:14" x14ac:dyDescent="0.25">
      <c r="A17" s="252" t="s">
        <v>7</v>
      </c>
      <c r="B17" s="252"/>
      <c r="C17" s="252"/>
      <c r="D17" s="252"/>
      <c r="E17" s="252"/>
      <c r="F17" s="252"/>
      <c r="G17" s="252"/>
      <c r="H17" s="252"/>
      <c r="I17" s="252"/>
      <c r="J17" s="252"/>
      <c r="L17" s="1"/>
      <c r="M17" s="1"/>
      <c r="N17" s="1"/>
    </row>
    <row r="18" spans="1:14" ht="60" x14ac:dyDescent="0.25">
      <c r="A18" s="81">
        <v>8</v>
      </c>
      <c r="B18" s="121" t="s">
        <v>34</v>
      </c>
      <c r="C18" s="123" t="s">
        <v>193</v>
      </c>
      <c r="D18" s="84">
        <v>43896</v>
      </c>
      <c r="E18" s="124">
        <v>4056</v>
      </c>
      <c r="F18" s="86" t="s">
        <v>195</v>
      </c>
      <c r="G18" s="118" t="s">
        <v>153</v>
      </c>
      <c r="H18" s="103" t="s">
        <v>216</v>
      </c>
      <c r="I18" s="103" t="s">
        <v>217</v>
      </c>
      <c r="J18" s="99">
        <v>7.47</v>
      </c>
      <c r="L18" s="1"/>
      <c r="M18" s="1"/>
      <c r="N18" s="1"/>
    </row>
    <row r="19" spans="1:14" ht="60" x14ac:dyDescent="0.25">
      <c r="A19" s="81">
        <v>9</v>
      </c>
      <c r="B19" s="121" t="s">
        <v>34</v>
      </c>
      <c r="C19" s="123" t="s">
        <v>194</v>
      </c>
      <c r="D19" s="84">
        <v>43897</v>
      </c>
      <c r="E19" s="124">
        <v>5850</v>
      </c>
      <c r="F19" s="86" t="s">
        <v>195</v>
      </c>
      <c r="G19" s="118" t="s">
        <v>153</v>
      </c>
      <c r="H19" s="103" t="s">
        <v>216</v>
      </c>
      <c r="I19" s="103" t="s">
        <v>217</v>
      </c>
      <c r="J19" s="99">
        <v>7.47</v>
      </c>
      <c r="L19" s="1"/>
      <c r="M19" s="1"/>
      <c r="N19" s="1"/>
    </row>
    <row r="20" spans="1:14" ht="60" x14ac:dyDescent="0.25">
      <c r="A20" s="81">
        <v>10</v>
      </c>
      <c r="B20" s="117" t="s">
        <v>34</v>
      </c>
      <c r="C20" s="118" t="s">
        <v>167</v>
      </c>
      <c r="D20" s="119">
        <v>43909</v>
      </c>
      <c r="E20" s="125">
        <v>9898</v>
      </c>
      <c r="F20" s="126" t="s">
        <v>225</v>
      </c>
      <c r="G20" s="118" t="s">
        <v>129</v>
      </c>
      <c r="H20" s="103" t="s">
        <v>216</v>
      </c>
      <c r="I20" s="103" t="s">
        <v>217</v>
      </c>
      <c r="J20" s="99">
        <v>7.47</v>
      </c>
      <c r="L20" s="1"/>
      <c r="M20" s="1"/>
      <c r="N20" s="1"/>
    </row>
    <row r="21" spans="1:14" ht="60" outlineLevel="1" x14ac:dyDescent="0.25">
      <c r="A21" s="81">
        <v>11</v>
      </c>
      <c r="B21" s="99" t="s">
        <v>34</v>
      </c>
      <c r="C21" s="100" t="s">
        <v>171</v>
      </c>
      <c r="D21" s="101">
        <v>43915</v>
      </c>
      <c r="E21" s="102">
        <v>10254</v>
      </c>
      <c r="F21" s="103" t="s">
        <v>191</v>
      </c>
      <c r="G21" s="118" t="s">
        <v>129</v>
      </c>
      <c r="H21" s="103" t="s">
        <v>216</v>
      </c>
      <c r="I21" s="103" t="s">
        <v>217</v>
      </c>
      <c r="J21" s="99">
        <v>7.47</v>
      </c>
      <c r="L21" s="1"/>
      <c r="M21" s="1"/>
      <c r="N21" s="1"/>
    </row>
    <row r="22" spans="1:14" x14ac:dyDescent="0.25">
      <c r="A22" s="91" t="s">
        <v>17</v>
      </c>
      <c r="B22" s="92"/>
      <c r="C22" s="92" t="str">
        <f>"за "&amp;LOWER($A$17)</f>
        <v>за март</v>
      </c>
      <c r="D22" s="93">
        <f>COUNTA(мрт_пр)</f>
        <v>4</v>
      </c>
      <c r="E22" s="94">
        <f>SUM(мрт_кол)</f>
        <v>30058</v>
      </c>
      <c r="F22" s="95">
        <f>COUNTA(акт_вх_мрт)</f>
        <v>4</v>
      </c>
      <c r="G22" s="104"/>
      <c r="H22" s="104"/>
      <c r="I22" s="104"/>
      <c r="J22" s="97">
        <f>SUM(кол_отб_мрт)</f>
        <v>29.88</v>
      </c>
      <c r="L22" s="1"/>
      <c r="M22" s="1"/>
      <c r="N22" s="1"/>
    </row>
    <row r="23" spans="1:14" ht="31.5" customHeight="1" x14ac:dyDescent="0.25">
      <c r="A23" s="105" t="s">
        <v>17</v>
      </c>
      <c r="B23" s="106"/>
      <c r="C23" s="106" t="s">
        <v>18</v>
      </c>
      <c r="D23" s="107">
        <f>SUM(D9,D16,D22)</f>
        <v>11</v>
      </c>
      <c r="E23" s="108">
        <f>SUM(E9,E16,E22)</f>
        <v>99808</v>
      </c>
      <c r="F23" s="109">
        <f>SUM(F9,F16,F22)</f>
        <v>11</v>
      </c>
      <c r="G23" s="106"/>
      <c r="H23" s="106" t="str">
        <f>"Кп= "&amp;ROUNDDOWN((F23/D23)*100,1)&amp;"%"</f>
        <v>Кп= 100%</v>
      </c>
      <c r="I23" s="106" t="str">
        <f>"Км= "&amp;ROUNDDOWN((J23/E23)*100,2)&amp;"%"</f>
        <v>Км= 0,12%</v>
      </c>
      <c r="J23" s="110">
        <f>SUM(J9,J16,J22)</f>
        <v>121.69</v>
      </c>
      <c r="L23" s="1"/>
      <c r="M23" s="1"/>
      <c r="N23" s="1"/>
    </row>
    <row r="24" spans="1:14" ht="14.25" hidden="1" customHeight="1" outlineLevel="1" x14ac:dyDescent="0.25">
      <c r="A24" s="91" t="s">
        <v>20</v>
      </c>
      <c r="B24" s="92"/>
      <c r="C24" s="92"/>
      <c r="D24" s="111"/>
      <c r="E24" s="92"/>
      <c r="F24" s="92"/>
      <c r="G24" s="92" t="s">
        <v>21</v>
      </c>
      <c r="H24" s="92"/>
      <c r="I24" s="92"/>
      <c r="J24" s="112"/>
      <c r="L24" s="1"/>
      <c r="M24" s="1"/>
      <c r="N24" s="1"/>
    </row>
    <row r="25" spans="1:14" collapsed="1" x14ac:dyDescent="0.25">
      <c r="A25" s="262" t="s">
        <v>8</v>
      </c>
      <c r="B25" s="262"/>
      <c r="C25" s="262"/>
      <c r="D25" s="262"/>
      <c r="E25" s="262"/>
      <c r="F25" s="262"/>
      <c r="G25" s="262"/>
      <c r="H25" s="262"/>
      <c r="I25" s="262"/>
      <c r="J25" s="262"/>
      <c r="L25" s="1"/>
      <c r="M25" s="1"/>
      <c r="N25" s="1"/>
    </row>
    <row r="26" spans="1:14" ht="60" x14ac:dyDescent="0.25">
      <c r="A26" s="81">
        <v>12</v>
      </c>
      <c r="B26" s="117" t="s">
        <v>34</v>
      </c>
      <c r="C26" s="118" t="s">
        <v>175</v>
      </c>
      <c r="D26" s="119">
        <v>43937</v>
      </c>
      <c r="E26" s="125">
        <v>10000</v>
      </c>
      <c r="F26" s="126" t="s">
        <v>191</v>
      </c>
      <c r="G26" s="118" t="s">
        <v>129</v>
      </c>
      <c r="H26" s="103" t="s">
        <v>216</v>
      </c>
      <c r="I26" s="103" t="s">
        <v>217</v>
      </c>
      <c r="J26" s="99">
        <v>7.47</v>
      </c>
      <c r="L26" s="1"/>
      <c r="M26" s="1"/>
      <c r="N26" s="1"/>
    </row>
    <row r="27" spans="1:14" ht="60" outlineLevel="1" x14ac:dyDescent="0.25">
      <c r="A27" s="141">
        <v>13</v>
      </c>
      <c r="B27" s="117" t="s">
        <v>34</v>
      </c>
      <c r="C27" s="118" t="s">
        <v>179</v>
      </c>
      <c r="D27" s="119">
        <v>43944</v>
      </c>
      <c r="E27" s="125">
        <v>10294</v>
      </c>
      <c r="F27" s="126" t="s">
        <v>191</v>
      </c>
      <c r="G27" s="118" t="s">
        <v>129</v>
      </c>
      <c r="H27" s="103" t="s">
        <v>216</v>
      </c>
      <c r="I27" s="103" t="s">
        <v>217</v>
      </c>
      <c r="J27" s="99">
        <v>7.47</v>
      </c>
      <c r="L27" s="1"/>
      <c r="M27" s="1"/>
      <c r="N27" s="1"/>
    </row>
    <row r="28" spans="1:14" ht="60" outlineLevel="1" x14ac:dyDescent="0.25">
      <c r="A28" s="141">
        <v>14</v>
      </c>
      <c r="B28" s="117" t="s">
        <v>34</v>
      </c>
      <c r="C28" s="118" t="s">
        <v>181</v>
      </c>
      <c r="D28" s="119">
        <v>43951</v>
      </c>
      <c r="E28" s="125">
        <v>10004</v>
      </c>
      <c r="F28" s="126" t="s">
        <v>191</v>
      </c>
      <c r="G28" s="118" t="s">
        <v>129</v>
      </c>
      <c r="H28" s="103" t="s">
        <v>216</v>
      </c>
      <c r="I28" s="103" t="s">
        <v>217</v>
      </c>
      <c r="J28" s="99">
        <v>7.47</v>
      </c>
      <c r="L28" s="1"/>
      <c r="M28" s="1"/>
      <c r="N28" s="1"/>
    </row>
    <row r="29" spans="1:14" x14ac:dyDescent="0.25">
      <c r="A29" s="91" t="s">
        <v>17</v>
      </c>
      <c r="B29" s="92"/>
      <c r="C29" s="92" t="str">
        <f>"за "&amp;LOWER($A$25)</f>
        <v>за апрель</v>
      </c>
      <c r="D29" s="93">
        <f>COUNTA(апр_пр)</f>
        <v>3</v>
      </c>
      <c r="E29" s="94">
        <f>SUM(апр_кол)</f>
        <v>30298</v>
      </c>
      <c r="F29" s="95">
        <f>COUNTA(акт_вх_апр)</f>
        <v>3</v>
      </c>
      <c r="G29" s="104"/>
      <c r="H29" s="104"/>
      <c r="I29" s="104"/>
      <c r="J29" s="97">
        <f>SUM(кол_отб_апр)</f>
        <v>22.41</v>
      </c>
      <c r="L29" s="1"/>
      <c r="M29" s="1"/>
      <c r="N29" s="1"/>
    </row>
    <row r="30" spans="1:14" x14ac:dyDescent="0.25">
      <c r="A30" s="252" t="s">
        <v>9</v>
      </c>
      <c r="B30" s="252"/>
      <c r="C30" s="252"/>
      <c r="D30" s="252"/>
      <c r="E30" s="252"/>
      <c r="F30" s="252"/>
      <c r="G30" s="252"/>
      <c r="H30" s="252"/>
      <c r="I30" s="252"/>
      <c r="J30" s="252"/>
      <c r="L30" s="1"/>
      <c r="M30" s="1"/>
      <c r="N30" s="1"/>
    </row>
    <row r="31" spans="1:14" ht="60" x14ac:dyDescent="0.25">
      <c r="A31" s="81">
        <v>15</v>
      </c>
      <c r="B31" s="117" t="s">
        <v>34</v>
      </c>
      <c r="C31" s="118" t="s">
        <v>184</v>
      </c>
      <c r="D31" s="119">
        <v>43963</v>
      </c>
      <c r="E31" s="125">
        <v>9768</v>
      </c>
      <c r="F31" s="126" t="s">
        <v>191</v>
      </c>
      <c r="G31" s="118" t="s">
        <v>129</v>
      </c>
      <c r="H31" s="103" t="s">
        <v>216</v>
      </c>
      <c r="I31" s="103" t="s">
        <v>217</v>
      </c>
      <c r="J31" s="99">
        <v>7.47</v>
      </c>
      <c r="L31" s="1"/>
      <c r="M31" s="1"/>
      <c r="N31" s="1"/>
    </row>
    <row r="32" spans="1:14" ht="60" outlineLevel="1" x14ac:dyDescent="0.25">
      <c r="A32" s="137">
        <v>16</v>
      </c>
      <c r="B32" s="117" t="s">
        <v>34</v>
      </c>
      <c r="C32" s="118" t="s">
        <v>188</v>
      </c>
      <c r="D32" s="119">
        <v>43964</v>
      </c>
      <c r="E32" s="125">
        <v>10098</v>
      </c>
      <c r="F32" s="126" t="s">
        <v>191</v>
      </c>
      <c r="G32" s="118" t="s">
        <v>129</v>
      </c>
      <c r="H32" s="103" t="s">
        <v>216</v>
      </c>
      <c r="I32" s="103" t="s">
        <v>217</v>
      </c>
      <c r="J32" s="99">
        <v>7.47</v>
      </c>
      <c r="L32" s="1"/>
      <c r="M32" s="1"/>
      <c r="N32" s="1"/>
    </row>
    <row r="33" spans="1:14" ht="60" outlineLevel="1" x14ac:dyDescent="0.25">
      <c r="A33" s="137">
        <v>17</v>
      </c>
      <c r="B33" s="117" t="s">
        <v>34</v>
      </c>
      <c r="C33" s="118" t="s">
        <v>198</v>
      </c>
      <c r="D33" s="119">
        <v>43973</v>
      </c>
      <c r="E33" s="120">
        <v>9750</v>
      </c>
      <c r="F33" s="126" t="s">
        <v>0</v>
      </c>
      <c r="G33" s="118" t="s">
        <v>129</v>
      </c>
      <c r="H33" s="103" t="s">
        <v>216</v>
      </c>
      <c r="I33" s="103" t="s">
        <v>217</v>
      </c>
      <c r="J33" s="99">
        <v>7.47</v>
      </c>
      <c r="L33" s="1"/>
      <c r="M33" s="1"/>
      <c r="N33" s="1"/>
    </row>
    <row r="34" spans="1:14" ht="60" outlineLevel="1" x14ac:dyDescent="0.25">
      <c r="A34" s="137">
        <v>18</v>
      </c>
      <c r="B34" s="117" t="s">
        <v>34</v>
      </c>
      <c r="C34" s="118" t="s">
        <v>203</v>
      </c>
      <c r="D34" s="119">
        <v>43978</v>
      </c>
      <c r="E34" s="120">
        <v>10036</v>
      </c>
      <c r="F34" s="126" t="s">
        <v>204</v>
      </c>
      <c r="G34" s="118" t="s">
        <v>129</v>
      </c>
      <c r="H34" s="103" t="s">
        <v>216</v>
      </c>
      <c r="I34" s="103" t="s">
        <v>217</v>
      </c>
      <c r="J34" s="99">
        <v>7.47</v>
      </c>
      <c r="L34" s="1"/>
      <c r="M34" s="1"/>
      <c r="N34" s="1"/>
    </row>
    <row r="35" spans="1:14" x14ac:dyDescent="0.25">
      <c r="A35" s="91" t="s">
        <v>17</v>
      </c>
      <c r="B35" s="92"/>
      <c r="C35" s="92" t="str">
        <f>"за "&amp;LOWER($A$30)</f>
        <v>за май</v>
      </c>
      <c r="D35" s="93">
        <f>COUNTA(май_пр)</f>
        <v>4</v>
      </c>
      <c r="E35" s="94">
        <f>SUM(май_кол)</f>
        <v>39652</v>
      </c>
      <c r="F35" s="95">
        <f>COUNTA(акт_вх_май)</f>
        <v>4</v>
      </c>
      <c r="G35" s="104"/>
      <c r="H35" s="104"/>
      <c r="I35" s="104"/>
      <c r="J35" s="97">
        <f>SUM(кол_отб_май)</f>
        <v>29.88</v>
      </c>
    </row>
    <row r="36" spans="1:14" x14ac:dyDescent="0.25">
      <c r="A36" s="252" t="s">
        <v>10</v>
      </c>
      <c r="B36" s="252"/>
      <c r="C36" s="252"/>
      <c r="D36" s="252"/>
      <c r="E36" s="252"/>
      <c r="F36" s="252"/>
      <c r="G36" s="252"/>
      <c r="H36" s="252"/>
      <c r="I36" s="252"/>
      <c r="J36" s="252"/>
    </row>
    <row r="37" spans="1:14" ht="60" x14ac:dyDescent="0.25">
      <c r="A37" s="81">
        <v>19</v>
      </c>
      <c r="B37" s="117" t="s">
        <v>34</v>
      </c>
      <c r="C37" s="118" t="s">
        <v>206</v>
      </c>
      <c r="D37" s="119">
        <v>43985</v>
      </c>
      <c r="E37" s="120">
        <v>10006</v>
      </c>
      <c r="F37" s="126" t="s">
        <v>230</v>
      </c>
      <c r="G37" s="118" t="s">
        <v>129</v>
      </c>
      <c r="H37" s="103" t="s">
        <v>216</v>
      </c>
      <c r="I37" s="103" t="s">
        <v>217</v>
      </c>
      <c r="J37" s="99">
        <v>7.47</v>
      </c>
    </row>
    <row r="38" spans="1:14" ht="60" outlineLevel="1" x14ac:dyDescent="0.25">
      <c r="A38" s="81">
        <v>20</v>
      </c>
      <c r="B38" s="117" t="s">
        <v>34</v>
      </c>
      <c r="C38" s="118" t="s">
        <v>210</v>
      </c>
      <c r="D38" s="119">
        <v>43991</v>
      </c>
      <c r="E38" s="120">
        <v>10000</v>
      </c>
      <c r="F38" s="126" t="s">
        <v>211</v>
      </c>
      <c r="G38" s="118" t="s">
        <v>129</v>
      </c>
      <c r="H38" s="103" t="s">
        <v>216</v>
      </c>
      <c r="I38" s="103" t="s">
        <v>217</v>
      </c>
      <c r="J38" s="99">
        <v>7.47</v>
      </c>
    </row>
    <row r="39" spans="1:14" ht="60" outlineLevel="1" x14ac:dyDescent="0.25">
      <c r="A39" s="81">
        <v>21</v>
      </c>
      <c r="B39" s="99" t="s">
        <v>34</v>
      </c>
      <c r="C39" s="100" t="s">
        <v>214</v>
      </c>
      <c r="D39" s="101">
        <v>43998</v>
      </c>
      <c r="E39" s="122">
        <v>10002</v>
      </c>
      <c r="F39" s="103" t="s">
        <v>215</v>
      </c>
      <c r="G39" s="100" t="s">
        <v>129</v>
      </c>
      <c r="H39" s="103" t="s">
        <v>216</v>
      </c>
      <c r="I39" s="103" t="s">
        <v>217</v>
      </c>
      <c r="J39" s="99">
        <v>7.47</v>
      </c>
    </row>
    <row r="40" spans="1:14" x14ac:dyDescent="0.25">
      <c r="A40" s="91" t="s">
        <v>17</v>
      </c>
      <c r="B40" s="92"/>
      <c r="C40" s="92" t="str">
        <f>"за "&amp;LOWER($A$36)</f>
        <v>за июнь</v>
      </c>
      <c r="D40" s="93">
        <f>COUNTA(июн_пр)</f>
        <v>3</v>
      </c>
      <c r="E40" s="94">
        <f>SUM(июн_кол)</f>
        <v>30008</v>
      </c>
      <c r="F40" s="95">
        <f>COUNTA(акт_вх_июн)</f>
        <v>3</v>
      </c>
      <c r="G40" s="104"/>
      <c r="H40" s="104"/>
      <c r="I40" s="104"/>
      <c r="J40" s="97">
        <f>SUM(кол_отб_июн)</f>
        <v>22.41</v>
      </c>
    </row>
    <row r="41" spans="1:14" ht="31.5" customHeight="1" x14ac:dyDescent="0.25">
      <c r="A41" s="105" t="s">
        <v>17</v>
      </c>
      <c r="B41" s="106"/>
      <c r="C41" s="106" t="s">
        <v>109</v>
      </c>
      <c r="D41" s="107">
        <f>SUM(D29,D35,D40)</f>
        <v>10</v>
      </c>
      <c r="E41" s="108">
        <f>SUM(E29,E35,E40)</f>
        <v>99958</v>
      </c>
      <c r="F41" s="109">
        <f>SUM(F29,F35,F40)</f>
        <v>10</v>
      </c>
      <c r="G41" s="106"/>
      <c r="H41" s="106" t="str">
        <f>"Кп= "&amp;ROUNDDOWN((F41/D41)*100,1)&amp;"%"</f>
        <v>Кп= 100%</v>
      </c>
      <c r="I41" s="106" t="str">
        <f>"Км= "&amp;ROUNDDOWN((J41/E41)*100,2)&amp;"%"</f>
        <v>Км= 0,07%</v>
      </c>
      <c r="J41" s="110">
        <f>SUM(J29,J35,J40)</f>
        <v>74.7</v>
      </c>
    </row>
    <row r="42" spans="1:14" ht="31.5" customHeight="1" x14ac:dyDescent="0.25">
      <c r="A42" s="105" t="s">
        <v>17</v>
      </c>
      <c r="B42" s="106"/>
      <c r="C42" s="106" t="s">
        <v>110</v>
      </c>
      <c r="D42" s="107">
        <f>SUM(D23,D41)</f>
        <v>21</v>
      </c>
      <c r="E42" s="108">
        <f>SUM(E41,E23)</f>
        <v>199766</v>
      </c>
      <c r="F42" s="109">
        <f>SUM(F41,F23)</f>
        <v>21</v>
      </c>
      <c r="G42" s="106"/>
      <c r="H42" s="106" t="str">
        <f>"Кп= "&amp;ROUNDDOWN((F42/D42)*100,1)&amp;"%"</f>
        <v>Кп= 100%</v>
      </c>
      <c r="I42" s="106" t="str">
        <f>"Км= "&amp;ROUNDDOWN((J42/E42)*100,2)&amp;"%"</f>
        <v>Км= 0,09%</v>
      </c>
      <c r="J42" s="110">
        <f>SUM(J41,J23)</f>
        <v>196.39</v>
      </c>
    </row>
    <row r="43" spans="1:14" ht="26.25" hidden="1" customHeight="1" outlineLevel="1" x14ac:dyDescent="0.25">
      <c r="A43" s="139" t="s">
        <v>20</v>
      </c>
      <c r="B43" s="139"/>
      <c r="C43" s="139"/>
      <c r="D43" s="140"/>
      <c r="E43" s="139"/>
      <c r="F43" s="139"/>
      <c r="G43" s="139" t="s">
        <v>21</v>
      </c>
      <c r="H43" s="139"/>
      <c r="I43" s="139"/>
      <c r="J43" s="139"/>
    </row>
    <row r="44" spans="1:14" collapsed="1" x14ac:dyDescent="0.25">
      <c r="A44" s="252" t="s">
        <v>11</v>
      </c>
      <c r="B44" s="252"/>
      <c r="C44" s="252"/>
      <c r="D44" s="252"/>
      <c r="E44" s="252"/>
      <c r="F44" s="252"/>
      <c r="G44" s="252"/>
      <c r="H44" s="252"/>
      <c r="I44" s="252"/>
      <c r="J44" s="252"/>
    </row>
    <row r="45" spans="1:14" ht="150" x14ac:dyDescent="0.25">
      <c r="A45" s="81">
        <v>22</v>
      </c>
      <c r="B45" s="117" t="s">
        <v>34</v>
      </c>
      <c r="C45" s="118" t="s">
        <v>238</v>
      </c>
      <c r="D45" s="119">
        <v>44019</v>
      </c>
      <c r="E45" s="125">
        <v>9996</v>
      </c>
      <c r="F45" s="126" t="s">
        <v>243</v>
      </c>
      <c r="G45" s="118" t="s">
        <v>129</v>
      </c>
      <c r="H45" s="103" t="s">
        <v>385</v>
      </c>
      <c r="I45" s="103" t="s">
        <v>386</v>
      </c>
      <c r="J45" s="121">
        <v>14.125</v>
      </c>
    </row>
    <row r="46" spans="1:14" ht="150" outlineLevel="1" x14ac:dyDescent="0.25">
      <c r="A46" s="81">
        <v>23</v>
      </c>
      <c r="B46" s="117" t="s">
        <v>34</v>
      </c>
      <c r="C46" s="118" t="s">
        <v>242</v>
      </c>
      <c r="D46" s="119">
        <v>44027</v>
      </c>
      <c r="E46" s="125">
        <v>10003</v>
      </c>
      <c r="F46" s="126" t="s">
        <v>244</v>
      </c>
      <c r="G46" s="118" t="s">
        <v>129</v>
      </c>
      <c r="H46" s="103" t="s">
        <v>385</v>
      </c>
      <c r="I46" s="103" t="s">
        <v>386</v>
      </c>
      <c r="J46" s="121">
        <v>14.125</v>
      </c>
    </row>
    <row r="47" spans="1:14" ht="150" outlineLevel="1" x14ac:dyDescent="0.25">
      <c r="A47" s="81">
        <v>24</v>
      </c>
      <c r="B47" s="117" t="s">
        <v>34</v>
      </c>
      <c r="C47" s="118" t="s">
        <v>246</v>
      </c>
      <c r="D47" s="119">
        <v>44029</v>
      </c>
      <c r="E47" s="125">
        <v>10002</v>
      </c>
      <c r="F47" s="126" t="s">
        <v>251</v>
      </c>
      <c r="G47" s="118" t="s">
        <v>129</v>
      </c>
      <c r="H47" s="103" t="s">
        <v>385</v>
      </c>
      <c r="I47" s="103" t="s">
        <v>386</v>
      </c>
      <c r="J47" s="121">
        <v>14.125</v>
      </c>
    </row>
    <row r="48" spans="1:14" ht="150" outlineLevel="1" x14ac:dyDescent="0.25">
      <c r="A48" s="81">
        <v>25</v>
      </c>
      <c r="B48" s="117" t="s">
        <v>34</v>
      </c>
      <c r="C48" s="118" t="s">
        <v>248</v>
      </c>
      <c r="D48" s="119">
        <v>44034</v>
      </c>
      <c r="E48" s="125">
        <v>9994</v>
      </c>
      <c r="F48" s="126" t="s">
        <v>252</v>
      </c>
      <c r="G48" s="118" t="s">
        <v>129</v>
      </c>
      <c r="H48" s="103" t="s">
        <v>385</v>
      </c>
      <c r="I48" s="103" t="s">
        <v>386</v>
      </c>
      <c r="J48" s="121">
        <v>14.125</v>
      </c>
    </row>
    <row r="49" spans="1:10" ht="150" outlineLevel="1" x14ac:dyDescent="0.25">
      <c r="A49" s="81">
        <v>26</v>
      </c>
      <c r="B49" s="117" t="s">
        <v>34</v>
      </c>
      <c r="C49" s="118" t="s">
        <v>253</v>
      </c>
      <c r="D49" s="119">
        <v>44041</v>
      </c>
      <c r="E49" s="125">
        <v>9996</v>
      </c>
      <c r="F49" s="126" t="s">
        <v>258</v>
      </c>
      <c r="G49" s="118" t="s">
        <v>129</v>
      </c>
      <c r="H49" s="103" t="s">
        <v>385</v>
      </c>
      <c r="I49" s="103" t="s">
        <v>386</v>
      </c>
      <c r="J49" s="121">
        <v>14.125</v>
      </c>
    </row>
    <row r="50" spans="1:10" x14ac:dyDescent="0.25">
      <c r="A50" s="91" t="s">
        <v>17</v>
      </c>
      <c r="B50" s="92"/>
      <c r="C50" s="92" t="str">
        <f>"за "&amp;LOWER($A$44)</f>
        <v>за июль</v>
      </c>
      <c r="D50" s="93">
        <f>COUNTA(июл_пр)</f>
        <v>5</v>
      </c>
      <c r="E50" s="94">
        <f>SUM(июл_кол)</f>
        <v>49991</v>
      </c>
      <c r="F50" s="95">
        <v>5</v>
      </c>
      <c r="G50" s="104"/>
      <c r="H50" s="104"/>
      <c r="I50" s="104"/>
      <c r="J50" s="97">
        <f>SUM(кол_отб_июл)</f>
        <v>70.625</v>
      </c>
    </row>
    <row r="51" spans="1:10" x14ac:dyDescent="0.25">
      <c r="A51" s="252" t="s">
        <v>13</v>
      </c>
      <c r="B51" s="252"/>
      <c r="C51" s="252"/>
      <c r="D51" s="252"/>
      <c r="E51" s="252"/>
      <c r="F51" s="252"/>
      <c r="G51" s="252"/>
      <c r="H51" s="252"/>
      <c r="I51" s="252"/>
      <c r="J51" s="252"/>
    </row>
    <row r="52" spans="1:10" ht="150" x14ac:dyDescent="0.25">
      <c r="A52" s="81">
        <v>27</v>
      </c>
      <c r="B52" s="117" t="s">
        <v>34</v>
      </c>
      <c r="C52" s="118" t="s">
        <v>259</v>
      </c>
      <c r="D52" s="119">
        <v>44049</v>
      </c>
      <c r="E52" s="125">
        <v>10040</v>
      </c>
      <c r="F52" s="126" t="s">
        <v>260</v>
      </c>
      <c r="G52" s="118" t="s">
        <v>129</v>
      </c>
      <c r="H52" s="103" t="s">
        <v>385</v>
      </c>
      <c r="I52" s="103" t="s">
        <v>386</v>
      </c>
      <c r="J52" s="121">
        <v>14.125</v>
      </c>
    </row>
    <row r="53" spans="1:10" ht="150" outlineLevel="1" x14ac:dyDescent="0.25">
      <c r="A53" s="81">
        <v>28</v>
      </c>
      <c r="B53" s="117" t="s">
        <v>34</v>
      </c>
      <c r="C53" s="118" t="s">
        <v>263</v>
      </c>
      <c r="D53" s="119">
        <v>44056</v>
      </c>
      <c r="E53" s="125">
        <v>10020</v>
      </c>
      <c r="F53" s="126" t="s">
        <v>264</v>
      </c>
      <c r="G53" s="118" t="s">
        <v>129</v>
      </c>
      <c r="H53" s="103" t="s">
        <v>385</v>
      </c>
      <c r="I53" s="103" t="s">
        <v>386</v>
      </c>
      <c r="J53" s="121">
        <v>14.125</v>
      </c>
    </row>
    <row r="54" spans="1:10" ht="150" outlineLevel="1" x14ac:dyDescent="0.25">
      <c r="A54" s="81">
        <v>29</v>
      </c>
      <c r="B54" s="117" t="s">
        <v>34</v>
      </c>
      <c r="C54" s="118" t="s">
        <v>265</v>
      </c>
      <c r="D54" s="119">
        <v>44063</v>
      </c>
      <c r="E54" s="125">
        <v>10015</v>
      </c>
      <c r="F54" s="126" t="s">
        <v>266</v>
      </c>
      <c r="G54" s="118" t="s">
        <v>129</v>
      </c>
      <c r="H54" s="103" t="s">
        <v>385</v>
      </c>
      <c r="I54" s="103" t="s">
        <v>386</v>
      </c>
      <c r="J54" s="121">
        <v>14.125</v>
      </c>
    </row>
    <row r="55" spans="1:10" x14ac:dyDescent="0.25">
      <c r="A55" s="91" t="s">
        <v>17</v>
      </c>
      <c r="B55" s="92"/>
      <c r="C55" s="92" t="str">
        <f>"за "&amp;LOWER($A$51)</f>
        <v>за август</v>
      </c>
      <c r="D55" s="93">
        <f>COUNTA(авг_пр)</f>
        <v>3</v>
      </c>
      <c r="E55" s="94">
        <f>SUM(авг_кол)</f>
        <v>30075</v>
      </c>
      <c r="F55" s="95">
        <v>3</v>
      </c>
      <c r="G55" s="104"/>
      <c r="H55" s="104"/>
      <c r="I55" s="104"/>
      <c r="J55" s="97">
        <f>SUM(кол_отб_авг)</f>
        <v>42.375</v>
      </c>
    </row>
    <row r="56" spans="1:10" x14ac:dyDescent="0.25">
      <c r="A56" s="252" t="s">
        <v>12</v>
      </c>
      <c r="B56" s="252"/>
      <c r="C56" s="252"/>
      <c r="D56" s="252"/>
      <c r="E56" s="252"/>
      <c r="F56" s="252"/>
      <c r="G56" s="252"/>
      <c r="H56" s="252"/>
      <c r="I56" s="252"/>
      <c r="J56" s="252"/>
    </row>
    <row r="57" spans="1:10" ht="150" x14ac:dyDescent="0.25">
      <c r="A57" s="81">
        <v>30</v>
      </c>
      <c r="B57" s="117" t="s">
        <v>34</v>
      </c>
      <c r="C57" s="118" t="s">
        <v>271</v>
      </c>
      <c r="D57" s="119">
        <v>44075</v>
      </c>
      <c r="E57" s="125">
        <v>10002</v>
      </c>
      <c r="F57" s="126" t="s">
        <v>272</v>
      </c>
      <c r="G57" s="118" t="s">
        <v>129</v>
      </c>
      <c r="H57" s="103" t="s">
        <v>385</v>
      </c>
      <c r="I57" s="103" t="s">
        <v>386</v>
      </c>
      <c r="J57" s="121">
        <v>14.125</v>
      </c>
    </row>
    <row r="58" spans="1:10" ht="150" outlineLevel="1" x14ac:dyDescent="0.25">
      <c r="A58" s="81">
        <v>31</v>
      </c>
      <c r="B58" s="117" t="s">
        <v>34</v>
      </c>
      <c r="C58" s="118" t="s">
        <v>282</v>
      </c>
      <c r="D58" s="119">
        <v>44082</v>
      </c>
      <c r="E58" s="125">
        <v>10012</v>
      </c>
      <c r="F58" s="126" t="s">
        <v>283</v>
      </c>
      <c r="G58" s="118" t="s">
        <v>129</v>
      </c>
      <c r="H58" s="103" t="s">
        <v>385</v>
      </c>
      <c r="I58" s="103" t="s">
        <v>386</v>
      </c>
      <c r="J58" s="121">
        <v>14.125</v>
      </c>
    </row>
    <row r="59" spans="1:10" ht="150" outlineLevel="1" x14ac:dyDescent="0.25">
      <c r="A59" s="81">
        <v>32</v>
      </c>
      <c r="B59" s="117" t="s">
        <v>34</v>
      </c>
      <c r="C59" s="83" t="s">
        <v>284</v>
      </c>
      <c r="D59" s="84">
        <v>44084</v>
      </c>
      <c r="E59" s="124">
        <v>10014</v>
      </c>
      <c r="F59" s="86" t="s">
        <v>285</v>
      </c>
      <c r="G59" s="118" t="s">
        <v>129</v>
      </c>
      <c r="H59" s="103" t="s">
        <v>385</v>
      </c>
      <c r="I59" s="103" t="s">
        <v>386</v>
      </c>
      <c r="J59" s="121">
        <v>14.125</v>
      </c>
    </row>
    <row r="60" spans="1:10" ht="150" outlineLevel="1" x14ac:dyDescent="0.25">
      <c r="A60" s="81">
        <v>33</v>
      </c>
      <c r="B60" s="117" t="s">
        <v>34</v>
      </c>
      <c r="C60" s="118" t="s">
        <v>289</v>
      </c>
      <c r="D60" s="119">
        <v>44090</v>
      </c>
      <c r="E60" s="125">
        <v>10000</v>
      </c>
      <c r="F60" s="126" t="s">
        <v>290</v>
      </c>
      <c r="G60" s="118" t="s">
        <v>129</v>
      </c>
      <c r="H60" s="103" t="s">
        <v>385</v>
      </c>
      <c r="I60" s="103" t="s">
        <v>386</v>
      </c>
      <c r="J60" s="121">
        <v>14.125</v>
      </c>
    </row>
    <row r="61" spans="1:10" ht="150" outlineLevel="1" x14ac:dyDescent="0.25">
      <c r="A61" s="81">
        <v>34</v>
      </c>
      <c r="B61" s="117" t="s">
        <v>34</v>
      </c>
      <c r="C61" s="118" t="s">
        <v>294</v>
      </c>
      <c r="D61" s="119">
        <v>44096</v>
      </c>
      <c r="E61" s="125">
        <v>9998</v>
      </c>
      <c r="F61" s="126" t="s">
        <v>297</v>
      </c>
      <c r="G61" s="118" t="s">
        <v>129</v>
      </c>
      <c r="H61" s="103" t="s">
        <v>385</v>
      </c>
      <c r="I61" s="103" t="s">
        <v>386</v>
      </c>
      <c r="J61" s="121">
        <v>14.125</v>
      </c>
    </row>
    <row r="62" spans="1:10" ht="150" outlineLevel="1" x14ac:dyDescent="0.25">
      <c r="A62" s="81">
        <v>35</v>
      </c>
      <c r="B62" s="99" t="s">
        <v>34</v>
      </c>
      <c r="C62" s="100" t="s">
        <v>299</v>
      </c>
      <c r="D62" s="101">
        <v>44098</v>
      </c>
      <c r="E62" s="102">
        <v>9998</v>
      </c>
      <c r="F62" s="103" t="s">
        <v>300</v>
      </c>
      <c r="G62" s="100" t="s">
        <v>129</v>
      </c>
      <c r="H62" s="103" t="s">
        <v>385</v>
      </c>
      <c r="I62" s="103" t="s">
        <v>386</v>
      </c>
      <c r="J62" s="121">
        <v>14.125</v>
      </c>
    </row>
    <row r="63" spans="1:10" x14ac:dyDescent="0.25">
      <c r="A63" s="91" t="s">
        <v>17</v>
      </c>
      <c r="B63" s="92"/>
      <c r="C63" s="92" t="str">
        <f>"за "&amp;LOWER($A$56)</f>
        <v>за сентябрь</v>
      </c>
      <c r="D63" s="93">
        <f>COUNTA(снт_пр)</f>
        <v>6</v>
      </c>
      <c r="E63" s="94">
        <f>SUM(снт_кол)</f>
        <v>60024</v>
      </c>
      <c r="F63" s="95">
        <v>6</v>
      </c>
      <c r="G63" s="104"/>
      <c r="H63" s="104"/>
      <c r="I63" s="104"/>
      <c r="J63" s="97">
        <f>SUM(кол_отб_снт)</f>
        <v>84.75</v>
      </c>
    </row>
    <row r="64" spans="1:10" ht="30" customHeight="1" x14ac:dyDescent="0.25">
      <c r="A64" s="105" t="s">
        <v>17</v>
      </c>
      <c r="B64" s="106"/>
      <c r="C64" s="106" t="s">
        <v>111</v>
      </c>
      <c r="D64" s="107">
        <f>SUM(D50,D55,D63)</f>
        <v>14</v>
      </c>
      <c r="E64" s="108">
        <f>SUM(E50,E55,E63)</f>
        <v>140090</v>
      </c>
      <c r="F64" s="109">
        <f>SUM(F50,F55,F63)</f>
        <v>14</v>
      </c>
      <c r="G64" s="106"/>
      <c r="H64" s="106" t="str">
        <f>"Кп= "&amp;ROUNDDOWN((F64/D64)*100,1)&amp;"%"</f>
        <v>Кп= 100%</v>
      </c>
      <c r="I64" s="106" t="str">
        <f>"Км= "&amp;ROUNDDOWN((J64/E64)*100,2)&amp;"%"</f>
        <v>Км= 0,14%</v>
      </c>
      <c r="J64" s="110">
        <f>SUM(J50,J55,J63)</f>
        <v>197.75</v>
      </c>
    </row>
    <row r="65" spans="1:10" ht="30" customHeight="1" x14ac:dyDescent="0.25">
      <c r="A65" s="105" t="s">
        <v>17</v>
      </c>
      <c r="B65" s="106"/>
      <c r="C65" s="106" t="s">
        <v>113</v>
      </c>
      <c r="D65" s="107">
        <f>SUM(D42,D64)</f>
        <v>35</v>
      </c>
      <c r="E65" s="108">
        <f>SUM(E64,E42)</f>
        <v>339856</v>
      </c>
      <c r="F65" s="109">
        <f>SUM(F64,F42)</f>
        <v>35</v>
      </c>
      <c r="G65" s="106"/>
      <c r="H65" s="106" t="str">
        <f>"Кп= "&amp;ROUNDDOWN((F65/D65)*100,1)&amp;"%"</f>
        <v>Кп= 100%</v>
      </c>
      <c r="I65" s="106" t="str">
        <f>"Км= "&amp;ROUNDDOWN((J65/E65)*100,2)&amp;"%"</f>
        <v>Км= 0,11%</v>
      </c>
      <c r="J65" s="110">
        <f>SUM(J64,J42)</f>
        <v>394.14</v>
      </c>
    </row>
    <row r="66" spans="1:10" ht="24.75" hidden="1" customHeight="1" outlineLevel="1" x14ac:dyDescent="0.25">
      <c r="A66" s="139" t="s">
        <v>20</v>
      </c>
      <c r="B66" s="139"/>
      <c r="C66" s="139"/>
      <c r="D66" s="140"/>
      <c r="E66" s="139"/>
      <c r="F66" s="139"/>
      <c r="G66" s="139" t="s">
        <v>21</v>
      </c>
      <c r="H66" s="139"/>
      <c r="I66" s="139"/>
      <c r="J66" s="139"/>
    </row>
    <row r="67" spans="1:10" ht="15" customHeight="1" collapsed="1" x14ac:dyDescent="0.25">
      <c r="A67" s="252" t="s">
        <v>14</v>
      </c>
      <c r="B67" s="252"/>
      <c r="C67" s="252"/>
      <c r="D67" s="252"/>
      <c r="E67" s="252"/>
      <c r="F67" s="252"/>
      <c r="G67" s="252"/>
      <c r="H67" s="252"/>
      <c r="I67" s="252"/>
      <c r="J67" s="252"/>
    </row>
    <row r="68" spans="1:10" ht="150" x14ac:dyDescent="0.25">
      <c r="A68" s="81">
        <v>36</v>
      </c>
      <c r="B68" s="117" t="s">
        <v>34</v>
      </c>
      <c r="C68" s="118" t="s">
        <v>304</v>
      </c>
      <c r="D68" s="119">
        <v>44110</v>
      </c>
      <c r="E68" s="125">
        <v>10000</v>
      </c>
      <c r="F68" s="126" t="s">
        <v>309</v>
      </c>
      <c r="G68" s="118" t="s">
        <v>129</v>
      </c>
      <c r="H68" s="103" t="s">
        <v>385</v>
      </c>
      <c r="I68" s="103" t="s">
        <v>386</v>
      </c>
      <c r="J68" s="121">
        <v>14.125</v>
      </c>
    </row>
    <row r="69" spans="1:10" ht="150" outlineLevel="1" x14ac:dyDescent="0.25">
      <c r="A69" s="81">
        <v>37</v>
      </c>
      <c r="B69" s="117" t="s">
        <v>34</v>
      </c>
      <c r="C69" s="118" t="s">
        <v>312</v>
      </c>
      <c r="D69" s="119">
        <v>44123</v>
      </c>
      <c r="E69" s="125">
        <v>10000</v>
      </c>
      <c r="F69" s="126" t="s">
        <v>333</v>
      </c>
      <c r="G69" s="118" t="s">
        <v>129</v>
      </c>
      <c r="H69" s="103" t="s">
        <v>385</v>
      </c>
      <c r="I69" s="103" t="s">
        <v>386</v>
      </c>
      <c r="J69" s="121">
        <v>14.125</v>
      </c>
    </row>
    <row r="70" spans="1:10" x14ac:dyDescent="0.25">
      <c r="A70" s="91" t="s">
        <v>17</v>
      </c>
      <c r="B70" s="92"/>
      <c r="C70" s="92" t="str">
        <f>"за "&amp;LOWER($A$67)</f>
        <v>за октябрь</v>
      </c>
      <c r="D70" s="93">
        <f>COUNTA(окт_пр)</f>
        <v>2</v>
      </c>
      <c r="E70" s="94">
        <f>SUM(окт_кол)</f>
        <v>20000</v>
      </c>
      <c r="F70" s="95">
        <v>2</v>
      </c>
      <c r="G70" s="104"/>
      <c r="H70" s="104"/>
      <c r="I70" s="104"/>
      <c r="J70" s="97">
        <f>SUM(кол_отб_окт)</f>
        <v>28.25</v>
      </c>
    </row>
    <row r="71" spans="1:10" x14ac:dyDescent="0.25">
      <c r="A71" s="252" t="s">
        <v>15</v>
      </c>
      <c r="B71" s="252"/>
      <c r="C71" s="252"/>
      <c r="D71" s="252"/>
      <c r="E71" s="252"/>
      <c r="F71" s="252"/>
      <c r="G71" s="252"/>
      <c r="H71" s="252"/>
      <c r="I71" s="252"/>
      <c r="J71" s="252"/>
    </row>
    <row r="72" spans="1:10" ht="150" x14ac:dyDescent="0.25">
      <c r="A72" s="81">
        <v>38</v>
      </c>
      <c r="B72" s="117" t="s">
        <v>34</v>
      </c>
      <c r="C72" s="118" t="s">
        <v>316</v>
      </c>
      <c r="D72" s="119">
        <v>44144</v>
      </c>
      <c r="E72" s="125">
        <v>9985</v>
      </c>
      <c r="F72" s="126" t="s">
        <v>191</v>
      </c>
      <c r="G72" s="118" t="s">
        <v>129</v>
      </c>
      <c r="H72" s="103" t="s">
        <v>385</v>
      </c>
      <c r="I72" s="103" t="s">
        <v>386</v>
      </c>
      <c r="J72" s="121">
        <v>14.125</v>
      </c>
    </row>
    <row r="73" spans="1:10" ht="150" outlineLevel="1" x14ac:dyDescent="0.25">
      <c r="A73" s="81">
        <v>39</v>
      </c>
      <c r="B73" s="117" t="s">
        <v>34</v>
      </c>
      <c r="C73" s="118" t="s">
        <v>320</v>
      </c>
      <c r="D73" s="119">
        <v>44151</v>
      </c>
      <c r="E73" s="125">
        <v>10016</v>
      </c>
      <c r="F73" s="126" t="s">
        <v>191</v>
      </c>
      <c r="G73" s="118" t="s">
        <v>129</v>
      </c>
      <c r="H73" s="103" t="s">
        <v>385</v>
      </c>
      <c r="I73" s="103" t="s">
        <v>386</v>
      </c>
      <c r="J73" s="121">
        <v>14.125</v>
      </c>
    </row>
    <row r="74" spans="1:10" ht="150" outlineLevel="1" x14ac:dyDescent="0.25">
      <c r="A74" s="81">
        <v>40</v>
      </c>
      <c r="B74" s="98" t="s">
        <v>34</v>
      </c>
      <c r="C74" s="83" t="s">
        <v>327</v>
      </c>
      <c r="D74" s="84">
        <v>44159</v>
      </c>
      <c r="E74" s="124">
        <v>5488</v>
      </c>
      <c r="F74" s="86" t="s">
        <v>335</v>
      </c>
      <c r="G74" s="118" t="s">
        <v>129</v>
      </c>
      <c r="H74" s="103" t="s">
        <v>385</v>
      </c>
      <c r="I74" s="103" t="s">
        <v>386</v>
      </c>
      <c r="J74" s="121">
        <v>14.125</v>
      </c>
    </row>
    <row r="75" spans="1:10" ht="150" outlineLevel="1" x14ac:dyDescent="0.25">
      <c r="A75" s="81">
        <v>41</v>
      </c>
      <c r="B75" s="98" t="s">
        <v>34</v>
      </c>
      <c r="C75" s="83" t="s">
        <v>332</v>
      </c>
      <c r="D75" s="84">
        <v>44162</v>
      </c>
      <c r="E75" s="124">
        <v>10344</v>
      </c>
      <c r="F75" s="86" t="s">
        <v>191</v>
      </c>
      <c r="G75" s="118" t="s">
        <v>129</v>
      </c>
      <c r="H75" s="103" t="s">
        <v>385</v>
      </c>
      <c r="I75" s="103" t="s">
        <v>386</v>
      </c>
      <c r="J75" s="121">
        <v>14.125</v>
      </c>
    </row>
    <row r="76" spans="1:10" ht="150" outlineLevel="1" x14ac:dyDescent="0.25">
      <c r="A76" s="81">
        <v>42</v>
      </c>
      <c r="B76" s="98" t="s">
        <v>34</v>
      </c>
      <c r="C76" s="83" t="s">
        <v>332</v>
      </c>
      <c r="D76" s="84">
        <v>44165</v>
      </c>
      <c r="E76" s="124">
        <v>4239</v>
      </c>
      <c r="F76" s="86" t="s">
        <v>191</v>
      </c>
      <c r="G76" s="118" t="s">
        <v>129</v>
      </c>
      <c r="H76" s="103" t="s">
        <v>385</v>
      </c>
      <c r="I76" s="103" t="s">
        <v>386</v>
      </c>
      <c r="J76" s="121">
        <v>14.125</v>
      </c>
    </row>
    <row r="77" spans="1:10" x14ac:dyDescent="0.25">
      <c r="A77" s="91" t="s">
        <v>17</v>
      </c>
      <c r="B77" s="92"/>
      <c r="C77" s="92" t="str">
        <f>"за "&amp;LOWER($A$71)</f>
        <v>за ноябрь</v>
      </c>
      <c r="D77" s="93">
        <f>COUNTA(нбр_пр)</f>
        <v>5</v>
      </c>
      <c r="E77" s="94">
        <f>SUM(нбр_кол)</f>
        <v>40072</v>
      </c>
      <c r="F77" s="95">
        <v>5</v>
      </c>
      <c r="G77" s="104"/>
      <c r="H77" s="104"/>
      <c r="I77" s="104"/>
      <c r="J77" s="97">
        <f>SUM(кол_отб_нбр)</f>
        <v>70.625</v>
      </c>
    </row>
    <row r="78" spans="1:10" x14ac:dyDescent="0.25">
      <c r="A78" s="252" t="s">
        <v>16</v>
      </c>
      <c r="B78" s="252"/>
      <c r="C78" s="252"/>
      <c r="D78" s="252"/>
      <c r="E78" s="252"/>
      <c r="F78" s="252"/>
      <c r="G78" s="252"/>
      <c r="H78" s="252"/>
      <c r="I78" s="252"/>
      <c r="J78" s="252"/>
    </row>
    <row r="79" spans="1:10" ht="150" x14ac:dyDescent="0.25">
      <c r="A79" s="81">
        <v>43</v>
      </c>
      <c r="B79" s="98" t="s">
        <v>34</v>
      </c>
      <c r="C79" s="83" t="s">
        <v>338</v>
      </c>
      <c r="D79" s="84">
        <v>44169</v>
      </c>
      <c r="E79" s="124">
        <v>9825</v>
      </c>
      <c r="F79" s="86" t="s">
        <v>191</v>
      </c>
      <c r="G79" s="118" t="s">
        <v>129</v>
      </c>
      <c r="H79" s="103" t="s">
        <v>385</v>
      </c>
      <c r="I79" s="103" t="s">
        <v>386</v>
      </c>
      <c r="J79" s="121">
        <v>14.125</v>
      </c>
    </row>
    <row r="80" spans="1:10" ht="150" outlineLevel="1" x14ac:dyDescent="0.25">
      <c r="A80" s="81">
        <v>44</v>
      </c>
      <c r="B80" s="98" t="s">
        <v>34</v>
      </c>
      <c r="C80" s="83" t="s">
        <v>340</v>
      </c>
      <c r="D80" s="84">
        <v>44179</v>
      </c>
      <c r="E80" s="124">
        <v>10082</v>
      </c>
      <c r="F80" s="86" t="s">
        <v>353</v>
      </c>
      <c r="G80" s="118" t="s">
        <v>129</v>
      </c>
      <c r="H80" s="103" t="s">
        <v>385</v>
      </c>
      <c r="I80" s="103" t="s">
        <v>386</v>
      </c>
      <c r="J80" s="121">
        <v>14.125</v>
      </c>
    </row>
    <row r="81" spans="1:10" ht="150" outlineLevel="1" x14ac:dyDescent="0.25">
      <c r="A81" s="81">
        <v>45</v>
      </c>
      <c r="B81" s="98" t="s">
        <v>34</v>
      </c>
      <c r="C81" s="83" t="s">
        <v>346</v>
      </c>
      <c r="D81" s="84">
        <v>44186</v>
      </c>
      <c r="E81" s="124">
        <v>9929</v>
      </c>
      <c r="F81" s="86" t="s">
        <v>191</v>
      </c>
      <c r="G81" s="118" t="s">
        <v>129</v>
      </c>
      <c r="H81" s="103" t="s">
        <v>385</v>
      </c>
      <c r="I81" s="103" t="s">
        <v>386</v>
      </c>
      <c r="J81" s="121">
        <v>14.125</v>
      </c>
    </row>
    <row r="82" spans="1:10" x14ac:dyDescent="0.25">
      <c r="A82" s="91" t="s">
        <v>17</v>
      </c>
      <c r="B82" s="92"/>
      <c r="C82" s="92" t="str">
        <f>"за "&amp;LOWER($A$78)</f>
        <v>за декабрь</v>
      </c>
      <c r="D82" s="93">
        <f>COUNTA(дкб_пр)</f>
        <v>3</v>
      </c>
      <c r="E82" s="94">
        <f>SUM(дкб_кол)</f>
        <v>29836</v>
      </c>
      <c r="F82" s="95">
        <v>3</v>
      </c>
      <c r="G82" s="104"/>
      <c r="H82" s="104"/>
      <c r="I82" s="104"/>
      <c r="J82" s="97">
        <f>SUM(кол_отб_дкб)</f>
        <v>42.375</v>
      </c>
    </row>
    <row r="83" spans="1:10" ht="32.25" customHeight="1" x14ac:dyDescent="0.25">
      <c r="A83" s="105" t="s">
        <v>17</v>
      </c>
      <c r="B83" s="106"/>
      <c r="C83" s="106" t="s">
        <v>112</v>
      </c>
      <c r="D83" s="107">
        <f>SUM(D70,D77,D82)</f>
        <v>10</v>
      </c>
      <c r="E83" s="108">
        <f>SUM(E70,E77,E82)</f>
        <v>89908</v>
      </c>
      <c r="F83" s="109">
        <f>SUM(F70,F77,F82)</f>
        <v>10</v>
      </c>
      <c r="G83" s="106"/>
      <c r="H83" s="106" t="str">
        <f>"Кп= "&amp;ROUNDDOWN((F83/D83)*100,1)&amp;"%"</f>
        <v>Кп= 100%</v>
      </c>
      <c r="I83" s="106" t="str">
        <f>"Км= "&amp;ROUNDDOWN((J83/E83)*100,2)&amp;"%"</f>
        <v>Км= 0,15%</v>
      </c>
      <c r="J83" s="110">
        <f>SUM(J70,J77,J82)</f>
        <v>141.25</v>
      </c>
    </row>
    <row r="84" spans="1:10" ht="27" customHeight="1" x14ac:dyDescent="0.25">
      <c r="A84" s="105" t="s">
        <v>17</v>
      </c>
      <c r="B84" s="106"/>
      <c r="C84" s="106" t="s">
        <v>114</v>
      </c>
      <c r="D84" s="107">
        <f>SUM(D83,D65)</f>
        <v>45</v>
      </c>
      <c r="E84" s="108">
        <f>SUM(E83,E65)</f>
        <v>429764</v>
      </c>
      <c r="F84" s="109">
        <f>SUM(F83,F65)</f>
        <v>45</v>
      </c>
      <c r="G84" s="106"/>
      <c r="H84" s="106" t="str">
        <f>"Кп= "&amp;ROUNDDOWN((F84/D84)*100,1)&amp;"%"</f>
        <v>Кп= 100%</v>
      </c>
      <c r="I84" s="106" t="str">
        <f>"Км= "&amp;ROUNDDOWN((J84/E84)*100,2)&amp;"%"</f>
        <v>Км= 0,12%</v>
      </c>
      <c r="J84" s="110">
        <f>SUM(J83,J65)</f>
        <v>535.39</v>
      </c>
    </row>
    <row r="85" spans="1:10" ht="26.25" customHeight="1" x14ac:dyDescent="0.25">
      <c r="A85" s="139" t="s">
        <v>20</v>
      </c>
      <c r="B85" s="139"/>
      <c r="C85" s="139"/>
      <c r="D85" s="140"/>
      <c r="E85" s="139"/>
      <c r="F85" s="139"/>
      <c r="G85" s="139" t="s">
        <v>21</v>
      </c>
      <c r="H85" s="139"/>
      <c r="I85" s="139"/>
      <c r="J85" s="139"/>
    </row>
  </sheetData>
  <sheetProtection algorithmName="SHA-512" hashValue="WFXJn9yKrvhLla6WjsW24z+dc2usKkbMsfsYc1OokIiuYFY7VY06DHk3oL9ZswBzKiotj+oLb6VN6PlHWslJkQ==" saltValue="TQ5JcoT0TF+g3a2HhC0UAw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78:J78"/>
    <mergeCell ref="A6:J6"/>
    <mergeCell ref="A10:J10"/>
    <mergeCell ref="A17:J17"/>
    <mergeCell ref="A25:J25"/>
    <mergeCell ref="A30:J30"/>
    <mergeCell ref="A36:J36"/>
    <mergeCell ref="A44:J44"/>
    <mergeCell ref="A51:J51"/>
    <mergeCell ref="A56:J56"/>
    <mergeCell ref="A67:J67"/>
    <mergeCell ref="A71:J71"/>
  </mergeCells>
  <phoneticPr fontId="14" type="noConversion"/>
  <printOptions horizontalCentered="1"/>
  <pageMargins left="0.7" right="0.7" top="0.75" bottom="0.75" header="0.3" footer="0.3"/>
  <pageSetup paperSize="9" scale="7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32B2A-1597-464A-88DA-79A04E3660AE}">
  <sheetPr codeName="Лист6">
    <pageSetUpPr fitToPage="1"/>
  </sheetPr>
  <dimension ref="A1:N69"/>
  <sheetViews>
    <sheetView zoomScale="70" zoomScaleNormal="70" workbookViewId="0">
      <pane ySplit="4" topLeftCell="A5" activePane="bottomLeft" state="frozen"/>
      <selection activeCell="A2" sqref="A2:J2"/>
      <selection pane="bottomLeft" activeCell="K70" sqref="K70"/>
    </sheetView>
  </sheetViews>
  <sheetFormatPr defaultRowHeight="15" outlineLevelRow="1" x14ac:dyDescent="0.25"/>
  <cols>
    <col min="1" max="1" width="5" customWidth="1"/>
    <col min="2" max="2" width="44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76"/>
      <c r="B1" s="76"/>
      <c r="C1" s="76"/>
      <c r="D1" s="76"/>
      <c r="E1" s="76"/>
      <c r="F1" s="76"/>
      <c r="G1" s="76"/>
      <c r="H1" s="76"/>
      <c r="I1" s="76"/>
      <c r="J1" s="77" t="s">
        <v>94</v>
      </c>
    </row>
    <row r="2" spans="1:14" ht="33.75" customHeight="1" x14ac:dyDescent="0.4">
      <c r="A2" s="255" t="s">
        <v>364</v>
      </c>
      <c r="B2" s="255"/>
      <c r="C2" s="255"/>
      <c r="D2" s="255"/>
      <c r="E2" s="255"/>
      <c r="F2" s="255"/>
      <c r="G2" s="255"/>
      <c r="H2" s="255"/>
      <c r="I2" s="255"/>
      <c r="J2" s="255"/>
    </row>
    <row r="3" spans="1:14" x14ac:dyDescent="0.25">
      <c r="A3" s="256" t="s">
        <v>0</v>
      </c>
      <c r="B3" s="257" t="s">
        <v>97</v>
      </c>
      <c r="C3" s="256" t="s">
        <v>1</v>
      </c>
      <c r="D3" s="259" t="s">
        <v>23</v>
      </c>
      <c r="E3" s="256" t="s">
        <v>96</v>
      </c>
      <c r="F3" s="256" t="s">
        <v>3</v>
      </c>
      <c r="G3" s="256"/>
      <c r="H3" s="260" t="s">
        <v>2</v>
      </c>
      <c r="I3" s="261"/>
      <c r="J3" s="259" t="s">
        <v>93</v>
      </c>
    </row>
    <row r="4" spans="1:14" ht="32.25" customHeight="1" x14ac:dyDescent="0.25">
      <c r="A4" s="256"/>
      <c r="B4" s="258"/>
      <c r="C4" s="256"/>
      <c r="D4" s="256"/>
      <c r="E4" s="256"/>
      <c r="F4" s="78" t="s">
        <v>0</v>
      </c>
      <c r="G4" s="78" t="s">
        <v>4</v>
      </c>
      <c r="H4" s="78" t="s">
        <v>0</v>
      </c>
      <c r="I4" s="78" t="s">
        <v>4</v>
      </c>
      <c r="J4" s="256"/>
    </row>
    <row r="5" spans="1:14" ht="14.25" customHeight="1" x14ac:dyDescent="0.25">
      <c r="A5" s="79">
        <v>1</v>
      </c>
      <c r="B5" s="79">
        <v>2</v>
      </c>
      <c r="C5" s="79">
        <v>3</v>
      </c>
      <c r="D5" s="79">
        <v>4</v>
      </c>
      <c r="E5" s="79">
        <v>5</v>
      </c>
      <c r="F5" s="79">
        <v>6</v>
      </c>
      <c r="G5" s="79">
        <v>7</v>
      </c>
      <c r="H5" s="79">
        <v>8</v>
      </c>
      <c r="I5" s="79">
        <v>9</v>
      </c>
      <c r="J5" s="79">
        <v>10</v>
      </c>
      <c r="M5" s="18"/>
    </row>
    <row r="6" spans="1:14" x14ac:dyDescent="0.25">
      <c r="A6" s="252" t="s">
        <v>5</v>
      </c>
      <c r="B6" s="252"/>
      <c r="C6" s="252"/>
      <c r="D6" s="252"/>
      <c r="E6" s="252"/>
      <c r="F6" s="252"/>
      <c r="G6" s="252"/>
      <c r="H6" s="252"/>
      <c r="I6" s="252"/>
      <c r="J6" s="252"/>
    </row>
    <row r="7" spans="1:14" ht="90" x14ac:dyDescent="0.25">
      <c r="A7" s="81">
        <v>1</v>
      </c>
      <c r="B7" s="82" t="s">
        <v>131</v>
      </c>
      <c r="C7" s="83" t="s">
        <v>121</v>
      </c>
      <c r="D7" s="84">
        <v>43850</v>
      </c>
      <c r="E7" s="85">
        <v>20000</v>
      </c>
      <c r="F7" s="86" t="s">
        <v>122</v>
      </c>
      <c r="G7" s="83" t="s">
        <v>128</v>
      </c>
      <c r="H7" s="184"/>
      <c r="I7" s="184"/>
      <c r="J7" s="184"/>
    </row>
    <row r="8" spans="1:14" s="1" customFormat="1" x14ac:dyDescent="0.25">
      <c r="A8" s="91" t="s">
        <v>17</v>
      </c>
      <c r="B8" s="92"/>
      <c r="C8" s="92" t="str">
        <f>"за "&amp;LOWER($A$6)</f>
        <v>за январь</v>
      </c>
      <c r="D8" s="93">
        <f>COUNTA(янв_пр)</f>
        <v>1</v>
      </c>
      <c r="E8" s="94">
        <f>SUM(янв_кол)</f>
        <v>20000</v>
      </c>
      <c r="F8" s="95">
        <f>COUNTA(акт_вх_янв)+COUNTA(акт_отб_янв)</f>
        <v>1</v>
      </c>
      <c r="G8" s="96"/>
      <c r="H8" s="96"/>
      <c r="I8" s="96"/>
      <c r="J8" s="97">
        <f>SUM(кол_отб_янв)</f>
        <v>0</v>
      </c>
    </row>
    <row r="9" spans="1:14" x14ac:dyDescent="0.25">
      <c r="A9" s="262" t="s">
        <v>6</v>
      </c>
      <c r="B9" s="262"/>
      <c r="C9" s="262"/>
      <c r="D9" s="262"/>
      <c r="E9" s="262"/>
      <c r="F9" s="262"/>
      <c r="G9" s="262"/>
      <c r="H9" s="262"/>
      <c r="I9" s="262"/>
      <c r="J9" s="262"/>
      <c r="L9" s="1"/>
      <c r="M9" s="1"/>
      <c r="N9" s="1"/>
    </row>
    <row r="10" spans="1:14" ht="45" x14ac:dyDescent="0.25">
      <c r="A10" s="81">
        <v>2</v>
      </c>
      <c r="B10" s="82" t="s">
        <v>131</v>
      </c>
      <c r="C10" s="83" t="s">
        <v>147</v>
      </c>
      <c r="D10" s="84">
        <v>43882</v>
      </c>
      <c r="E10" s="85">
        <v>20000</v>
      </c>
      <c r="F10" s="86" t="s">
        <v>156</v>
      </c>
      <c r="G10" s="83" t="s">
        <v>229</v>
      </c>
      <c r="H10" s="87"/>
      <c r="I10" s="87"/>
      <c r="J10" s="87"/>
      <c r="L10" s="1"/>
      <c r="M10" s="1"/>
      <c r="N10" s="1"/>
    </row>
    <row r="11" spans="1:14" x14ac:dyDescent="0.25">
      <c r="A11" s="91" t="s">
        <v>17</v>
      </c>
      <c r="B11" s="92"/>
      <c r="C11" s="92" t="str">
        <f>"за "&amp;LOWER($A$9)</f>
        <v>за февраль</v>
      </c>
      <c r="D11" s="93">
        <f>COUNTA(фев_пр)</f>
        <v>1</v>
      </c>
      <c r="E11" s="94">
        <f>SUM(фев_кол)</f>
        <v>20000</v>
      </c>
      <c r="F11" s="95">
        <f>COUNTA(акт_вх_фев)+COUNTA(акт_отб_фев)</f>
        <v>1</v>
      </c>
      <c r="G11" s="96"/>
      <c r="H11" s="96"/>
      <c r="I11" s="96"/>
      <c r="J11" s="97">
        <f>SUM(кол_отб_фев)</f>
        <v>0</v>
      </c>
      <c r="L11" s="1"/>
      <c r="M11" s="1"/>
      <c r="N11" s="1"/>
    </row>
    <row r="12" spans="1:14" x14ac:dyDescent="0.25">
      <c r="A12" s="252" t="s">
        <v>7</v>
      </c>
      <c r="B12" s="252"/>
      <c r="C12" s="252"/>
      <c r="D12" s="252"/>
      <c r="E12" s="252"/>
      <c r="F12" s="252"/>
      <c r="G12" s="252"/>
      <c r="H12" s="252"/>
      <c r="I12" s="252"/>
      <c r="J12" s="252"/>
      <c r="L12" s="1"/>
      <c r="M12" s="1"/>
      <c r="N12" s="1"/>
    </row>
    <row r="13" spans="1:14" s="76" customFormat="1" ht="45" x14ac:dyDescent="0.25">
      <c r="A13" s="81">
        <v>3</v>
      </c>
      <c r="B13" s="82" t="s">
        <v>131</v>
      </c>
      <c r="C13" s="100" t="s">
        <v>164</v>
      </c>
      <c r="D13" s="101">
        <v>43906</v>
      </c>
      <c r="E13" s="102">
        <v>20000</v>
      </c>
      <c r="F13" s="126" t="s">
        <v>226</v>
      </c>
      <c r="G13" s="83" t="s">
        <v>229</v>
      </c>
      <c r="H13" s="87"/>
      <c r="I13" s="87"/>
      <c r="J13" s="87"/>
      <c r="L13" s="133"/>
      <c r="M13" s="133"/>
      <c r="N13" s="133"/>
    </row>
    <row r="14" spans="1:14" s="76" customFormat="1" x14ac:dyDescent="0.25">
      <c r="A14" s="91" t="s">
        <v>17</v>
      </c>
      <c r="B14" s="92"/>
      <c r="C14" s="92" t="str">
        <f>"за "&amp;LOWER($A$12)</f>
        <v>за март</v>
      </c>
      <c r="D14" s="93">
        <f>COUNTA(мрт_пр)</f>
        <v>1</v>
      </c>
      <c r="E14" s="94">
        <f>SUM(мрт_кол)</f>
        <v>20000</v>
      </c>
      <c r="F14" s="95">
        <f>COUNTA(акт_вх_мрт)+COUNTA(акт_отб_мрт)</f>
        <v>1</v>
      </c>
      <c r="G14" s="104"/>
      <c r="H14" s="104"/>
      <c r="I14" s="104"/>
      <c r="J14" s="97">
        <f>SUM(кол_отб_мрт)</f>
        <v>0</v>
      </c>
      <c r="L14" s="133"/>
      <c r="M14" s="133"/>
      <c r="N14" s="133"/>
    </row>
    <row r="15" spans="1:14" s="76" customFormat="1" ht="31.5" customHeight="1" x14ac:dyDescent="0.25">
      <c r="A15" s="105" t="s">
        <v>17</v>
      </c>
      <c r="B15" s="106"/>
      <c r="C15" s="106" t="s">
        <v>18</v>
      </c>
      <c r="D15" s="107">
        <f>SUM(D8,D11,D14)</f>
        <v>3</v>
      </c>
      <c r="E15" s="108">
        <f>SUM(E8,E11,E14)</f>
        <v>60000</v>
      </c>
      <c r="F15" s="109">
        <f>SUM(F8,F11,F14)</f>
        <v>3</v>
      </c>
      <c r="G15" s="106"/>
      <c r="H15" s="106" t="str">
        <f>"Кп= "&amp;ROUNDDOWN((F15/D15)*100,1)&amp;"%"</f>
        <v>Кп= 100%</v>
      </c>
      <c r="I15" s="106" t="str">
        <f>"Км= "&amp;ROUNDDOWN((J15/E15)*100,2)&amp;"%"</f>
        <v>Км= 0%</v>
      </c>
      <c r="J15" s="110">
        <f>SUM(J8,J11,J14)</f>
        <v>0</v>
      </c>
      <c r="L15" s="133"/>
      <c r="M15" s="133"/>
      <c r="N15" s="133"/>
    </row>
    <row r="16" spans="1:14" s="76" customFormat="1" x14ac:dyDescent="0.25">
      <c r="A16" s="262" t="s">
        <v>8</v>
      </c>
      <c r="B16" s="262"/>
      <c r="C16" s="262"/>
      <c r="D16" s="262"/>
      <c r="E16" s="262"/>
      <c r="F16" s="262"/>
      <c r="G16" s="262"/>
      <c r="H16" s="262"/>
      <c r="I16" s="262"/>
      <c r="J16" s="262"/>
      <c r="L16" s="133"/>
      <c r="M16" s="133"/>
      <c r="N16" s="133"/>
    </row>
    <row r="17" spans="1:14" s="76" customFormat="1" x14ac:dyDescent="0.25">
      <c r="A17" s="183"/>
      <c r="B17" s="183"/>
      <c r="C17" s="183"/>
      <c r="D17" s="183"/>
      <c r="E17" s="183"/>
      <c r="F17" s="183"/>
      <c r="G17" s="183"/>
      <c r="H17" s="183"/>
      <c r="I17" s="183"/>
      <c r="J17" s="183"/>
      <c r="L17" s="133"/>
      <c r="M17" s="133"/>
      <c r="N17" s="133"/>
    </row>
    <row r="18" spans="1:14" s="76" customFormat="1" x14ac:dyDescent="0.25">
      <c r="A18" s="91" t="s">
        <v>17</v>
      </c>
      <c r="B18" s="92"/>
      <c r="C18" s="92" t="str">
        <f>"за "&amp;LOWER($A$16)</f>
        <v>за апрель</v>
      </c>
      <c r="D18" s="93">
        <f>COUNTA(апр_пр)</f>
        <v>0</v>
      </c>
      <c r="E18" s="94">
        <f>SUM(апр_кол)</f>
        <v>0</v>
      </c>
      <c r="F18" s="95">
        <f>COUNTA(акт_вх_апр)+COUNTA(акт_отб_апр)</f>
        <v>0</v>
      </c>
      <c r="G18" s="104"/>
      <c r="H18" s="104"/>
      <c r="I18" s="104"/>
      <c r="J18" s="97">
        <f>SUM(кол_отб_апр)</f>
        <v>0</v>
      </c>
      <c r="L18" s="133"/>
      <c r="M18" s="133"/>
      <c r="N18" s="133"/>
    </row>
    <row r="19" spans="1:14" s="76" customFormat="1" x14ac:dyDescent="0.25">
      <c r="A19" s="252" t="s">
        <v>9</v>
      </c>
      <c r="B19" s="252"/>
      <c r="C19" s="252"/>
      <c r="D19" s="252"/>
      <c r="E19" s="252"/>
      <c r="F19" s="252"/>
      <c r="G19" s="252"/>
      <c r="H19" s="252"/>
      <c r="I19" s="252"/>
      <c r="J19" s="252"/>
      <c r="L19" s="133"/>
      <c r="M19" s="133"/>
      <c r="N19" s="133"/>
    </row>
    <row r="20" spans="1:14" s="76" customFormat="1" ht="45" x14ac:dyDescent="0.25">
      <c r="A20" s="81">
        <v>4</v>
      </c>
      <c r="B20" s="117" t="s">
        <v>131</v>
      </c>
      <c r="C20" s="118" t="s">
        <v>190</v>
      </c>
      <c r="D20" s="119">
        <v>43964</v>
      </c>
      <c r="E20" s="125">
        <v>20000</v>
      </c>
      <c r="F20" s="126" t="s">
        <v>227</v>
      </c>
      <c r="G20" s="83" t="s">
        <v>229</v>
      </c>
      <c r="H20" s="184"/>
      <c r="I20" s="184"/>
      <c r="J20" s="184"/>
      <c r="L20" s="133"/>
      <c r="M20" s="133"/>
      <c r="N20" s="133"/>
    </row>
    <row r="21" spans="1:14" s="76" customFormat="1" ht="45" outlineLevel="1" x14ac:dyDescent="0.25">
      <c r="A21" s="137">
        <v>5</v>
      </c>
      <c r="B21" s="99" t="s">
        <v>131</v>
      </c>
      <c r="C21" s="100" t="s">
        <v>200</v>
      </c>
      <c r="D21" s="101">
        <v>43970</v>
      </c>
      <c r="E21" s="122">
        <v>20000</v>
      </c>
      <c r="F21" s="126" t="s">
        <v>199</v>
      </c>
      <c r="G21" s="118" t="s">
        <v>229</v>
      </c>
      <c r="H21" s="134"/>
      <c r="I21" s="134"/>
      <c r="J21" s="134"/>
      <c r="L21" s="133"/>
      <c r="M21" s="133"/>
      <c r="N21" s="133"/>
    </row>
    <row r="22" spans="1:14" s="76" customFormat="1" x14ac:dyDescent="0.25">
      <c r="A22" s="91" t="s">
        <v>17</v>
      </c>
      <c r="B22" s="92"/>
      <c r="C22" s="92" t="str">
        <f>"за "&amp;LOWER($A$19)</f>
        <v>за май</v>
      </c>
      <c r="D22" s="93">
        <f>COUNTA(май_пр)</f>
        <v>2</v>
      </c>
      <c r="E22" s="94">
        <f>SUM(май_кол)</f>
        <v>40000</v>
      </c>
      <c r="F22" s="95">
        <f>COUNTA(акт_вх_май)+COUNTA(акт_отб_май)</f>
        <v>2</v>
      </c>
      <c r="G22" s="104"/>
      <c r="H22" s="104"/>
      <c r="I22" s="104"/>
      <c r="J22" s="97">
        <f>SUM(кол_отб_май)</f>
        <v>0</v>
      </c>
    </row>
    <row r="23" spans="1:14" s="76" customFormat="1" x14ac:dyDescent="0.25">
      <c r="A23" s="252" t="s">
        <v>10</v>
      </c>
      <c r="B23" s="252"/>
      <c r="C23" s="252"/>
      <c r="D23" s="252"/>
      <c r="E23" s="252"/>
      <c r="F23" s="252"/>
      <c r="G23" s="252"/>
      <c r="H23" s="252"/>
      <c r="I23" s="252"/>
      <c r="J23" s="252"/>
    </row>
    <row r="24" spans="1:14" s="76" customFormat="1" ht="30" outlineLevel="1" x14ac:dyDescent="0.25">
      <c r="A24" s="81">
        <v>6</v>
      </c>
      <c r="B24" s="117" t="s">
        <v>131</v>
      </c>
      <c r="C24" s="118" t="s">
        <v>212</v>
      </c>
      <c r="D24" s="119">
        <v>43997</v>
      </c>
      <c r="E24" s="120">
        <v>66</v>
      </c>
      <c r="F24" s="135"/>
      <c r="G24" s="135"/>
      <c r="H24" s="135"/>
      <c r="I24" s="135"/>
      <c r="J24" s="135"/>
    </row>
    <row r="25" spans="1:14" s="76" customFormat="1" outlineLevel="1" x14ac:dyDescent="0.25">
      <c r="A25" s="81">
        <v>7</v>
      </c>
      <c r="B25" s="121" t="s">
        <v>131</v>
      </c>
      <c r="C25" s="82">
        <v>218.21899999999999</v>
      </c>
      <c r="D25" s="182">
        <v>44008</v>
      </c>
      <c r="E25" s="82">
        <v>20000</v>
      </c>
      <c r="F25" s="135"/>
      <c r="G25" s="135"/>
      <c r="H25" s="135"/>
      <c r="I25" s="135"/>
      <c r="J25" s="135"/>
    </row>
    <row r="26" spans="1:14" s="76" customFormat="1" x14ac:dyDescent="0.25">
      <c r="A26" s="91" t="s">
        <v>17</v>
      </c>
      <c r="B26" s="92"/>
      <c r="C26" s="92" t="str">
        <f>"за "&amp;LOWER($A$23)</f>
        <v>за июнь</v>
      </c>
      <c r="D26" s="93">
        <f>COUNTA(июн_пр)</f>
        <v>2</v>
      </c>
      <c r="E26" s="94">
        <f>SUM(июн_кол)</f>
        <v>20066</v>
      </c>
      <c r="F26" s="95">
        <f>COUNTA(акт_вх_июн)+COUNTA(акт_отб_июн)</f>
        <v>0</v>
      </c>
      <c r="G26" s="104"/>
      <c r="H26" s="104"/>
      <c r="I26" s="104"/>
      <c r="J26" s="97">
        <f>SUM(кол_отб_июн)</f>
        <v>0</v>
      </c>
    </row>
    <row r="27" spans="1:14" s="76" customFormat="1" ht="31.5" customHeight="1" x14ac:dyDescent="0.25">
      <c r="A27" s="105" t="s">
        <v>17</v>
      </c>
      <c r="B27" s="106"/>
      <c r="C27" s="106" t="s">
        <v>109</v>
      </c>
      <c r="D27" s="107">
        <f>SUM(D18,D22,D26)</f>
        <v>4</v>
      </c>
      <c r="E27" s="108">
        <f>SUM(E18,E22,E26)</f>
        <v>60066</v>
      </c>
      <c r="F27" s="109">
        <f>SUM(F18,F22,F26)</f>
        <v>2</v>
      </c>
      <c r="G27" s="106"/>
      <c r="H27" s="106" t="str">
        <f>"Кп= "&amp;ROUNDDOWN((F27/D27)*100,1)&amp;"%"</f>
        <v>Кп= 50%</v>
      </c>
      <c r="I27" s="106" t="str">
        <f>"Км= "&amp;ROUNDDOWN((J27/E27)*100,2)&amp;"%"</f>
        <v>Км= 0%</v>
      </c>
      <c r="J27" s="110">
        <f>SUM(J18,J22,J26)</f>
        <v>0</v>
      </c>
    </row>
    <row r="28" spans="1:14" s="76" customFormat="1" ht="31.5" customHeight="1" x14ac:dyDescent="0.25">
      <c r="A28" s="105" t="s">
        <v>17</v>
      </c>
      <c r="B28" s="106"/>
      <c r="C28" s="106" t="s">
        <v>110</v>
      </c>
      <c r="D28" s="107">
        <f>SUM(D15,D27)</f>
        <v>7</v>
      </c>
      <c r="E28" s="108">
        <f>SUM(E27,E15)</f>
        <v>120066</v>
      </c>
      <c r="F28" s="109">
        <f>SUM(F27,F15)</f>
        <v>5</v>
      </c>
      <c r="G28" s="106"/>
      <c r="H28" s="106" t="str">
        <f>"Кп= "&amp;ROUNDDOWN((F28/D28)*100,1)&amp;"%"</f>
        <v>Кп= 71,4%</v>
      </c>
      <c r="I28" s="106" t="str">
        <f>"Км= "&amp;ROUNDDOWN((J28/E28)*100,2)&amp;"%"</f>
        <v>Км= 0%</v>
      </c>
      <c r="J28" s="110">
        <f>SUM(J27,J15)</f>
        <v>0</v>
      </c>
    </row>
    <row r="29" spans="1:14" s="76" customFormat="1" x14ac:dyDescent="0.25">
      <c r="A29" s="263" t="s">
        <v>11</v>
      </c>
      <c r="B29" s="264"/>
      <c r="C29" s="264"/>
      <c r="D29" s="264"/>
      <c r="E29" s="264"/>
      <c r="F29" s="264"/>
      <c r="G29" s="264"/>
      <c r="H29" s="264"/>
      <c r="I29" s="264"/>
      <c r="J29" s="265"/>
    </row>
    <row r="30" spans="1:14" s="76" customFormat="1" x14ac:dyDescent="0.25">
      <c r="A30" s="135"/>
      <c r="B30" s="135"/>
      <c r="C30" s="135"/>
      <c r="D30" s="135"/>
      <c r="E30" s="135"/>
      <c r="F30" s="135"/>
      <c r="G30" s="135"/>
      <c r="H30" s="135"/>
      <c r="I30" s="135"/>
      <c r="J30" s="135"/>
    </row>
    <row r="31" spans="1:14" s="76" customFormat="1" x14ac:dyDescent="0.25">
      <c r="A31" s="91" t="s">
        <v>17</v>
      </c>
      <c r="B31" s="92"/>
      <c r="C31" s="92" t="str">
        <f>"за "&amp;LOWER($A$29)</f>
        <v>за июль</v>
      </c>
      <c r="D31" s="93">
        <f>COUNTA(июл_пр)</f>
        <v>0</v>
      </c>
      <c r="E31" s="94">
        <f>SUM(июл_кол)</f>
        <v>0</v>
      </c>
      <c r="F31" s="95">
        <f>COUNTA(акт_вх_июл)+COUNTA(акт_отб_июл)</f>
        <v>0</v>
      </c>
      <c r="G31" s="104"/>
      <c r="H31" s="104"/>
      <c r="I31" s="104"/>
      <c r="J31" s="97">
        <f>SUM(кол_отб_июл)</f>
        <v>0</v>
      </c>
    </row>
    <row r="32" spans="1:14" x14ac:dyDescent="0.25">
      <c r="A32" s="263" t="s">
        <v>13</v>
      </c>
      <c r="B32" s="264"/>
      <c r="C32" s="264"/>
      <c r="D32" s="264"/>
      <c r="E32" s="264"/>
      <c r="F32" s="264"/>
      <c r="G32" s="264"/>
      <c r="H32" s="264"/>
      <c r="I32" s="264"/>
      <c r="J32" s="265"/>
    </row>
    <row r="33" spans="1:10" ht="45" x14ac:dyDescent="0.25">
      <c r="A33" s="81">
        <v>8</v>
      </c>
      <c r="B33" s="121" t="s">
        <v>131</v>
      </c>
      <c r="C33" s="118" t="s">
        <v>257</v>
      </c>
      <c r="D33" s="119">
        <v>44049</v>
      </c>
      <c r="E33" s="125">
        <v>19990</v>
      </c>
      <c r="F33" s="126" t="s">
        <v>261</v>
      </c>
      <c r="G33" s="83" t="s">
        <v>157</v>
      </c>
      <c r="H33" s="135"/>
      <c r="I33" s="135"/>
      <c r="J33" s="135"/>
    </row>
    <row r="34" spans="1:10" hidden="1" outlineLevel="1" x14ac:dyDescent="0.25">
      <c r="A34" s="135"/>
      <c r="B34" s="135"/>
      <c r="C34" s="135"/>
      <c r="D34" s="138"/>
      <c r="E34" s="135"/>
      <c r="F34" s="135"/>
      <c r="G34" s="135"/>
      <c r="H34" s="135"/>
      <c r="I34" s="135"/>
      <c r="J34" s="135"/>
    </row>
    <row r="35" spans="1:10" hidden="1" outlineLevel="1" x14ac:dyDescent="0.25">
      <c r="A35" s="135"/>
      <c r="B35" s="135"/>
      <c r="C35" s="135"/>
      <c r="D35" s="138"/>
      <c r="E35" s="135"/>
      <c r="F35" s="135"/>
      <c r="G35" s="135"/>
      <c r="H35" s="135"/>
      <c r="I35" s="135"/>
      <c r="J35" s="135"/>
    </row>
    <row r="36" spans="1:10" hidden="1" outlineLevel="1" x14ac:dyDescent="0.25">
      <c r="A36" s="135"/>
      <c r="B36" s="135"/>
      <c r="C36" s="135"/>
      <c r="D36" s="138"/>
      <c r="E36" s="135"/>
      <c r="F36" s="135"/>
      <c r="G36" s="135"/>
      <c r="H36" s="135"/>
      <c r="I36" s="135"/>
      <c r="J36" s="135"/>
    </row>
    <row r="37" spans="1:10" hidden="1" outlineLevel="1" x14ac:dyDescent="0.25">
      <c r="A37" s="135"/>
      <c r="B37" s="135"/>
      <c r="C37" s="135"/>
      <c r="D37" s="138"/>
      <c r="E37" s="135"/>
      <c r="F37" s="135"/>
      <c r="G37" s="135"/>
      <c r="H37" s="135"/>
      <c r="I37" s="135"/>
      <c r="J37" s="135"/>
    </row>
    <row r="38" spans="1:10" collapsed="1" x14ac:dyDescent="0.25">
      <c r="A38" s="91" t="s">
        <v>17</v>
      </c>
      <c r="B38" s="92"/>
      <c r="C38" s="92" t="str">
        <f>"за "&amp;LOWER($A$32)</f>
        <v>за август</v>
      </c>
      <c r="D38" s="93">
        <f>COUNTA(авг_пр)</f>
        <v>1</v>
      </c>
      <c r="E38" s="94">
        <f>SUM(авг_кол)</f>
        <v>19990</v>
      </c>
      <c r="F38" s="95">
        <f>COUNTA(акт_вх_авг)+COUNTA(акт_отб_авг)</f>
        <v>1</v>
      </c>
      <c r="G38" s="104"/>
      <c r="H38" s="104"/>
      <c r="I38" s="104"/>
      <c r="J38" s="97">
        <f>SUM(кол_отб_авг)</f>
        <v>0</v>
      </c>
    </row>
    <row r="39" spans="1:10" x14ac:dyDescent="0.25">
      <c r="A39" s="263" t="s">
        <v>12</v>
      </c>
      <c r="B39" s="264"/>
      <c r="C39" s="264"/>
      <c r="D39" s="264"/>
      <c r="E39" s="264"/>
      <c r="F39" s="264"/>
      <c r="G39" s="264"/>
      <c r="H39" s="264"/>
      <c r="I39" s="264"/>
      <c r="J39" s="265"/>
    </row>
    <row r="40" spans="1:10" ht="45" x14ac:dyDescent="0.25">
      <c r="A40" s="81">
        <v>9</v>
      </c>
      <c r="B40" s="121" t="s">
        <v>131</v>
      </c>
      <c r="C40" s="100" t="s">
        <v>277</v>
      </c>
      <c r="D40" s="101">
        <v>44077</v>
      </c>
      <c r="E40" s="102">
        <v>19990</v>
      </c>
      <c r="F40" s="103" t="s">
        <v>281</v>
      </c>
      <c r="G40" s="83" t="s">
        <v>157</v>
      </c>
      <c r="H40" s="135"/>
      <c r="I40" s="135"/>
      <c r="J40" s="135"/>
    </row>
    <row r="41" spans="1:10" hidden="1" outlineLevel="1" x14ac:dyDescent="0.25">
      <c r="A41" s="135"/>
      <c r="B41" s="135"/>
      <c r="C41" s="135"/>
      <c r="D41" s="138"/>
      <c r="E41" s="135"/>
      <c r="F41" s="135"/>
      <c r="G41" s="135"/>
      <c r="H41" s="135"/>
      <c r="I41" s="135"/>
      <c r="J41" s="135"/>
    </row>
    <row r="42" spans="1:10" hidden="1" outlineLevel="1" x14ac:dyDescent="0.25">
      <c r="A42" s="135"/>
      <c r="B42" s="135"/>
      <c r="C42" s="135"/>
      <c r="D42" s="138"/>
      <c r="E42" s="135"/>
      <c r="F42" s="135"/>
      <c r="G42" s="135"/>
      <c r="H42" s="135"/>
      <c r="I42" s="135"/>
      <c r="J42" s="135"/>
    </row>
    <row r="43" spans="1:10" hidden="1" outlineLevel="1" x14ac:dyDescent="0.25">
      <c r="A43" s="135"/>
      <c r="B43" s="135"/>
      <c r="C43" s="135"/>
      <c r="D43" s="138"/>
      <c r="E43" s="135"/>
      <c r="F43" s="135"/>
      <c r="G43" s="135"/>
      <c r="H43" s="135"/>
      <c r="I43" s="135"/>
      <c r="J43" s="135"/>
    </row>
    <row r="44" spans="1:10" hidden="1" outlineLevel="1" x14ac:dyDescent="0.25">
      <c r="A44" s="135"/>
      <c r="B44" s="135"/>
      <c r="C44" s="135"/>
      <c r="D44" s="138"/>
      <c r="E44" s="135"/>
      <c r="F44" s="135"/>
      <c r="G44" s="135"/>
      <c r="H44" s="135"/>
      <c r="I44" s="135"/>
      <c r="J44" s="135"/>
    </row>
    <row r="45" spans="1:10" collapsed="1" x14ac:dyDescent="0.25">
      <c r="A45" s="91" t="s">
        <v>17</v>
      </c>
      <c r="B45" s="92"/>
      <c r="C45" s="92" t="str">
        <f>"за "&amp;LOWER($A$39)</f>
        <v>за сентябрь</v>
      </c>
      <c r="D45" s="93">
        <f>COUNTA(снт_пр)</f>
        <v>1</v>
      </c>
      <c r="E45" s="94">
        <f>SUM(снт_кол)</f>
        <v>19990</v>
      </c>
      <c r="F45" s="95">
        <f>COUNTA(акт_вх_снт)+COUNTA(акт_отб_снт)</f>
        <v>1</v>
      </c>
      <c r="G45" s="104"/>
      <c r="H45" s="104"/>
      <c r="I45" s="104"/>
      <c r="J45" s="97">
        <f>SUM(кол_отб_снт)</f>
        <v>0</v>
      </c>
    </row>
    <row r="46" spans="1:10" ht="30" customHeight="1" x14ac:dyDescent="0.25">
      <c r="A46" s="105" t="s">
        <v>17</v>
      </c>
      <c r="B46" s="106"/>
      <c r="C46" s="106" t="s">
        <v>111</v>
      </c>
      <c r="D46" s="107">
        <f>SUM(D31,D38,D45)</f>
        <v>2</v>
      </c>
      <c r="E46" s="108">
        <f>SUM(E31,E38,E45)</f>
        <v>39980</v>
      </c>
      <c r="F46" s="109">
        <f>SUM(F31,F38,F45)</f>
        <v>2</v>
      </c>
      <c r="G46" s="106"/>
      <c r="H46" s="106" t="str">
        <f>"Кп= "&amp;ROUNDDOWN((F46/D46)*100,1)&amp;"%"</f>
        <v>Кп= 100%</v>
      </c>
      <c r="I46" s="106" t="str">
        <f>"Км= "&amp;ROUNDDOWN((J46/E46)*100,2)&amp;"%"</f>
        <v>Км= 0%</v>
      </c>
      <c r="J46" s="110">
        <f>SUM(J31,J38,J45)</f>
        <v>0</v>
      </c>
    </row>
    <row r="47" spans="1:10" ht="30" customHeight="1" x14ac:dyDescent="0.25">
      <c r="A47" s="105" t="s">
        <v>17</v>
      </c>
      <c r="B47" s="106"/>
      <c r="C47" s="106" t="s">
        <v>113</v>
      </c>
      <c r="D47" s="107">
        <f>SUM(D28,D46)</f>
        <v>9</v>
      </c>
      <c r="E47" s="108">
        <f>SUM(E46,E28)</f>
        <v>160046</v>
      </c>
      <c r="F47" s="109">
        <f>SUM(F46,F28)</f>
        <v>7</v>
      </c>
      <c r="G47" s="106"/>
      <c r="H47" s="106" t="str">
        <f>"Кп= "&amp;ROUNDDOWN((F47/D47)*100,1)&amp;"%"</f>
        <v>Кп= 77,7%</v>
      </c>
      <c r="I47" s="106" t="str">
        <f>"Км= "&amp;ROUNDDOWN((J47/E47)*100,2)&amp;"%"</f>
        <v>Км= 0%</v>
      </c>
      <c r="J47" s="110">
        <f>SUM(J46,J28)</f>
        <v>0</v>
      </c>
    </row>
    <row r="48" spans="1:10" ht="24.75" hidden="1" customHeight="1" outlineLevel="1" x14ac:dyDescent="0.25">
      <c r="A48" s="139" t="s">
        <v>20</v>
      </c>
      <c r="B48" s="139"/>
      <c r="C48" s="139"/>
      <c r="D48" s="140"/>
      <c r="E48" s="139"/>
      <c r="F48" s="139"/>
      <c r="G48" s="139" t="s">
        <v>21</v>
      </c>
      <c r="H48" s="139"/>
      <c r="I48" s="139"/>
      <c r="J48" s="139"/>
    </row>
    <row r="49" spans="1:10" ht="15" customHeight="1" collapsed="1" x14ac:dyDescent="0.25">
      <c r="A49" s="263" t="s">
        <v>14</v>
      </c>
      <c r="B49" s="264"/>
      <c r="C49" s="264"/>
      <c r="D49" s="264"/>
      <c r="E49" s="264"/>
      <c r="F49" s="264"/>
      <c r="G49" s="264"/>
      <c r="H49" s="264"/>
      <c r="I49" s="264"/>
      <c r="J49" s="265"/>
    </row>
    <row r="50" spans="1:10" ht="60" x14ac:dyDescent="0.25">
      <c r="A50" s="135"/>
      <c r="B50" s="117" t="s">
        <v>131</v>
      </c>
      <c r="C50" s="118" t="s">
        <v>307</v>
      </c>
      <c r="D50" s="119">
        <v>44116</v>
      </c>
      <c r="E50" s="125">
        <v>19971.5</v>
      </c>
      <c r="F50" s="126" t="s">
        <v>354</v>
      </c>
      <c r="G50" s="83" t="s">
        <v>355</v>
      </c>
      <c r="H50" s="135"/>
      <c r="I50" s="135"/>
      <c r="J50" s="135"/>
    </row>
    <row r="51" spans="1:10" hidden="1" outlineLevel="1" x14ac:dyDescent="0.25">
      <c r="A51" s="135"/>
      <c r="B51" s="135"/>
      <c r="C51" s="135"/>
      <c r="D51" s="138"/>
      <c r="E51" s="135"/>
      <c r="F51" s="135"/>
      <c r="G51" s="135"/>
      <c r="H51" s="135"/>
      <c r="I51" s="135"/>
      <c r="J51" s="135"/>
    </row>
    <row r="52" spans="1:10" hidden="1" outlineLevel="1" x14ac:dyDescent="0.25">
      <c r="A52" s="135"/>
      <c r="B52" s="135"/>
      <c r="C52" s="135"/>
      <c r="D52" s="138"/>
      <c r="E52" s="135"/>
      <c r="F52" s="135"/>
      <c r="G52" s="135"/>
      <c r="H52" s="135"/>
      <c r="I52" s="135"/>
      <c r="J52" s="135"/>
    </row>
    <row r="53" spans="1:10" hidden="1" outlineLevel="1" x14ac:dyDescent="0.25">
      <c r="A53" s="135"/>
      <c r="B53" s="135"/>
      <c r="C53" s="135"/>
      <c r="D53" s="138"/>
      <c r="E53" s="135"/>
      <c r="F53" s="135"/>
      <c r="G53" s="135"/>
      <c r="H53" s="135"/>
      <c r="I53" s="135"/>
      <c r="J53" s="135"/>
    </row>
    <row r="54" spans="1:10" hidden="1" outlineLevel="1" x14ac:dyDescent="0.25">
      <c r="A54" s="135"/>
      <c r="B54" s="135"/>
      <c r="C54" s="135"/>
      <c r="D54" s="138"/>
      <c r="E54" s="135"/>
      <c r="F54" s="135"/>
      <c r="G54" s="135"/>
      <c r="H54" s="135"/>
      <c r="I54" s="135"/>
      <c r="J54" s="135"/>
    </row>
    <row r="55" spans="1:10" collapsed="1" x14ac:dyDescent="0.25">
      <c r="A55" s="91" t="s">
        <v>17</v>
      </c>
      <c r="B55" s="92"/>
      <c r="C55" s="92" t="str">
        <f>"за "&amp;LOWER($A$49)</f>
        <v>за октябрь</v>
      </c>
      <c r="D55" s="93">
        <f>COUNTA(окт_пр)</f>
        <v>1</v>
      </c>
      <c r="E55" s="94">
        <f>SUM(окт_кол)</f>
        <v>19971.5</v>
      </c>
      <c r="F55" s="95">
        <f>COUNTA(акт_вх_окт)+COUNTA(акт_отб_окт)</f>
        <v>1</v>
      </c>
      <c r="G55" s="104"/>
      <c r="H55" s="104"/>
      <c r="I55" s="104"/>
      <c r="J55" s="97">
        <f>SUM(кол_отб_окт)</f>
        <v>0</v>
      </c>
    </row>
    <row r="56" spans="1:10" x14ac:dyDescent="0.25">
      <c r="A56" s="263" t="s">
        <v>15</v>
      </c>
      <c r="B56" s="264"/>
      <c r="C56" s="264"/>
      <c r="D56" s="264"/>
      <c r="E56" s="264"/>
      <c r="F56" s="264"/>
      <c r="G56" s="264"/>
      <c r="H56" s="264"/>
      <c r="I56" s="264"/>
      <c r="J56" s="265"/>
    </row>
    <row r="57" spans="1:10" x14ac:dyDescent="0.25">
      <c r="A57" s="135"/>
      <c r="B57" s="135"/>
      <c r="C57" s="135"/>
      <c r="D57" s="138"/>
      <c r="E57" s="135"/>
      <c r="F57" s="135"/>
      <c r="G57" s="135"/>
      <c r="H57" s="135"/>
      <c r="I57" s="135"/>
      <c r="J57" s="135"/>
    </row>
    <row r="58" spans="1:10" hidden="1" outlineLevel="1" x14ac:dyDescent="0.25">
      <c r="A58" s="135"/>
      <c r="B58" s="135"/>
      <c r="C58" s="135"/>
      <c r="D58" s="138"/>
      <c r="E58" s="135"/>
      <c r="F58" s="135"/>
      <c r="G58" s="135"/>
      <c r="H58" s="135"/>
      <c r="I58" s="135"/>
      <c r="J58" s="135"/>
    </row>
    <row r="59" spans="1:10" hidden="1" outlineLevel="1" x14ac:dyDescent="0.25">
      <c r="A59" s="135"/>
      <c r="B59" s="135"/>
      <c r="C59" s="135"/>
      <c r="D59" s="138"/>
      <c r="E59" s="135"/>
      <c r="F59" s="135"/>
      <c r="G59" s="135"/>
      <c r="H59" s="135"/>
      <c r="I59" s="135"/>
      <c r="J59" s="135"/>
    </row>
    <row r="60" spans="1:10" hidden="1" outlineLevel="1" x14ac:dyDescent="0.25">
      <c r="A60" s="135"/>
      <c r="B60" s="135"/>
      <c r="C60" s="135"/>
      <c r="D60" s="138"/>
      <c r="E60" s="135"/>
      <c r="F60" s="135"/>
      <c r="G60" s="135"/>
      <c r="H60" s="135"/>
      <c r="I60" s="135"/>
      <c r="J60" s="135"/>
    </row>
    <row r="61" spans="1:10" hidden="1" outlineLevel="1" x14ac:dyDescent="0.25">
      <c r="A61" s="135"/>
      <c r="B61" s="135"/>
      <c r="C61" s="135"/>
      <c r="D61" s="138"/>
      <c r="E61" s="135"/>
      <c r="F61" s="135"/>
      <c r="G61" s="135"/>
      <c r="H61" s="135"/>
      <c r="I61" s="135"/>
      <c r="J61" s="135"/>
    </row>
    <row r="62" spans="1:10" collapsed="1" x14ac:dyDescent="0.25">
      <c r="A62" s="91" t="s">
        <v>17</v>
      </c>
      <c r="B62" s="92"/>
      <c r="C62" s="92" t="str">
        <f>"за "&amp;LOWER($A$56)</f>
        <v>за ноябрь</v>
      </c>
      <c r="D62" s="93">
        <f>COUNTA(нбр_пр)</f>
        <v>0</v>
      </c>
      <c r="E62" s="94">
        <f>SUM(нбр_кол)</f>
        <v>0</v>
      </c>
      <c r="F62" s="95">
        <f>COUNTA(акт_вх_нбр)+COUNTA(акт_отб_нбр)</f>
        <v>0</v>
      </c>
      <c r="G62" s="104"/>
      <c r="H62" s="104"/>
      <c r="I62" s="104"/>
      <c r="J62" s="97">
        <f>SUM(кол_отб_нбр)</f>
        <v>0</v>
      </c>
    </row>
    <row r="63" spans="1:10" x14ac:dyDescent="0.25">
      <c r="A63" s="263" t="s">
        <v>16</v>
      </c>
      <c r="B63" s="264"/>
      <c r="C63" s="264"/>
      <c r="D63" s="264"/>
      <c r="E63" s="264"/>
      <c r="F63" s="264"/>
      <c r="G63" s="264"/>
      <c r="H63" s="264"/>
      <c r="I63" s="264"/>
      <c r="J63" s="265"/>
    </row>
    <row r="64" spans="1:10" ht="45" x14ac:dyDescent="0.25">
      <c r="A64" s="135"/>
      <c r="B64" s="98" t="s">
        <v>131</v>
      </c>
      <c r="C64" s="83" t="s">
        <v>337</v>
      </c>
      <c r="D64" s="84">
        <v>44167</v>
      </c>
      <c r="E64" s="124">
        <v>10432</v>
      </c>
      <c r="F64" s="86" t="s">
        <v>348</v>
      </c>
      <c r="G64" s="83" t="s">
        <v>157</v>
      </c>
      <c r="H64" s="135"/>
      <c r="I64" s="135"/>
      <c r="J64" s="135"/>
    </row>
    <row r="65" spans="1:10" ht="45" outlineLevel="1" x14ac:dyDescent="0.25">
      <c r="A65" s="135"/>
      <c r="B65" s="98" t="s">
        <v>131</v>
      </c>
      <c r="C65" s="83" t="s">
        <v>344</v>
      </c>
      <c r="D65" s="84">
        <v>44183</v>
      </c>
      <c r="E65" s="124">
        <v>20000</v>
      </c>
      <c r="F65" s="86" t="s">
        <v>349</v>
      </c>
      <c r="G65" s="83" t="s">
        <v>157</v>
      </c>
      <c r="H65" s="135"/>
      <c r="I65" s="135"/>
      <c r="J65" s="135"/>
    </row>
    <row r="66" spans="1:10" x14ac:dyDescent="0.25">
      <c r="A66" s="91" t="s">
        <v>17</v>
      </c>
      <c r="B66" s="92"/>
      <c r="C66" s="92" t="str">
        <f>"за "&amp;LOWER($A$63)</f>
        <v>за декабрь</v>
      </c>
      <c r="D66" s="93">
        <f>COUNTA(дкб_пр)</f>
        <v>2</v>
      </c>
      <c r="E66" s="94">
        <f>SUM(дкб_кол)</f>
        <v>30432</v>
      </c>
      <c r="F66" s="95">
        <f>COUNTA(акт_вх_дкб)+COUNTA(акт_отб_дкб)</f>
        <v>2</v>
      </c>
      <c r="G66" s="104"/>
      <c r="H66" s="104"/>
      <c r="I66" s="104"/>
      <c r="J66" s="97">
        <f>SUM(кол_отб_дкб)</f>
        <v>0</v>
      </c>
    </row>
    <row r="67" spans="1:10" ht="32.25" customHeight="1" x14ac:dyDescent="0.25">
      <c r="A67" s="105" t="s">
        <v>17</v>
      </c>
      <c r="B67" s="106"/>
      <c r="C67" s="106" t="s">
        <v>112</v>
      </c>
      <c r="D67" s="107">
        <f>SUM(D55,D62,D66)</f>
        <v>3</v>
      </c>
      <c r="E67" s="108">
        <f>SUM(E55,E62,E66)</f>
        <v>50403.5</v>
      </c>
      <c r="F67" s="109">
        <f>SUM(F55,F62,F66)</f>
        <v>3</v>
      </c>
      <c r="G67" s="106"/>
      <c r="H67" s="106" t="str">
        <f>"Кп= "&amp;ROUNDDOWN((F67/D67)*100,1)&amp;"%"</f>
        <v>Кп= 100%</v>
      </c>
      <c r="I67" s="106" t="str">
        <f>"Км= "&amp;ROUNDDOWN((J67/E67)*100,2)&amp;"%"</f>
        <v>Км= 0%</v>
      </c>
      <c r="J67" s="110">
        <f>SUM(J55,J62,J66)</f>
        <v>0</v>
      </c>
    </row>
    <row r="68" spans="1:10" ht="27" customHeight="1" x14ac:dyDescent="0.25">
      <c r="A68" s="105" t="s">
        <v>17</v>
      </c>
      <c r="B68" s="106"/>
      <c r="C68" s="106" t="s">
        <v>114</v>
      </c>
      <c r="D68" s="107">
        <f>SUM(D67,D47)</f>
        <v>12</v>
      </c>
      <c r="E68" s="108">
        <f>SUM(E67,E47)</f>
        <v>210449.5</v>
      </c>
      <c r="F68" s="109">
        <f>SUM(F67,F47)</f>
        <v>10</v>
      </c>
      <c r="G68" s="106"/>
      <c r="H68" s="106" t="str">
        <f>"Кп= "&amp;ROUNDDOWN((F68/D68)*100,1)&amp;"%"</f>
        <v>Кп= 83,3%</v>
      </c>
      <c r="I68" s="106" t="str">
        <f>"Км= "&amp;ROUNDDOWN((J68/E68)*100,2)&amp;"%"</f>
        <v>Км= 0%</v>
      </c>
      <c r="J68" s="110">
        <f>SUM(J67,J47)</f>
        <v>0</v>
      </c>
    </row>
    <row r="69" spans="1:10" ht="26.25" customHeight="1" x14ac:dyDescent="0.25">
      <c r="A69" s="139" t="s">
        <v>20</v>
      </c>
      <c r="B69" s="139"/>
      <c r="C69" s="139"/>
      <c r="D69" s="140"/>
      <c r="E69" s="139"/>
      <c r="F69" s="139"/>
      <c r="G69" s="139" t="s">
        <v>21</v>
      </c>
      <c r="H69" s="139"/>
      <c r="I69" s="139"/>
      <c r="J69" s="139"/>
    </row>
  </sheetData>
  <sheetProtection algorithmName="SHA-512" hashValue="FBFk1LWq+Uw6aLOiyYu9JG6SnJjpqRav9Rfx2uvT95EEDbTDsAp7a0xLMjOtDsLC3wYOjNNYeYIW2EDLFKYBSQ==" saltValue="I3kjcf1SLCdhHrK3Glyl5g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63:J63"/>
    <mergeCell ref="A6:J6"/>
    <mergeCell ref="A9:J9"/>
    <mergeCell ref="A12:J12"/>
    <mergeCell ref="A16:J16"/>
    <mergeCell ref="A19:J19"/>
    <mergeCell ref="A23:J23"/>
    <mergeCell ref="A29:J29"/>
    <mergeCell ref="A32:J32"/>
    <mergeCell ref="A39:J39"/>
    <mergeCell ref="A49:J49"/>
    <mergeCell ref="A56:J56"/>
  </mergeCells>
  <printOptions horizontalCentered="1" verticalCentered="1"/>
  <pageMargins left="0.7" right="0.7" top="0.75" bottom="0.75" header="0.3" footer="0.3"/>
  <pageSetup paperSize="9" scale="75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22C04-4948-4B0F-A644-5E9F9C32B2EE}">
  <sheetPr codeName="Лист10">
    <pageSetUpPr fitToPage="1"/>
  </sheetPr>
  <dimension ref="A1:N65"/>
  <sheetViews>
    <sheetView zoomScale="85" zoomScaleNormal="85" workbookViewId="0">
      <pane ySplit="4" topLeftCell="A41" activePane="bottomLeft" state="frozen"/>
      <selection activeCell="A2" sqref="A2:J2"/>
      <selection pane="bottomLeft" activeCell="E61" sqref="E61"/>
    </sheetView>
  </sheetViews>
  <sheetFormatPr defaultRowHeight="15" outlineLevelRow="1" x14ac:dyDescent="0.25"/>
  <cols>
    <col min="1" max="1" width="5" customWidth="1"/>
    <col min="2" max="2" width="24.2851562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76"/>
      <c r="B1" s="76"/>
      <c r="C1" s="76"/>
      <c r="D1" s="76"/>
      <c r="E1" s="76"/>
      <c r="F1" s="76"/>
      <c r="G1" s="76"/>
      <c r="H1" s="76"/>
      <c r="I1" s="76"/>
      <c r="J1" s="77" t="s">
        <v>94</v>
      </c>
    </row>
    <row r="2" spans="1:14" ht="33.75" customHeight="1" x14ac:dyDescent="0.4">
      <c r="A2" s="255" t="s">
        <v>363</v>
      </c>
      <c r="B2" s="255"/>
      <c r="C2" s="255"/>
      <c r="D2" s="255"/>
      <c r="E2" s="255"/>
      <c r="F2" s="255"/>
      <c r="G2" s="255"/>
      <c r="H2" s="255"/>
      <c r="I2" s="255"/>
      <c r="J2" s="255"/>
    </row>
    <row r="3" spans="1:14" x14ac:dyDescent="0.25">
      <c r="A3" s="256" t="s">
        <v>0</v>
      </c>
      <c r="B3" s="257" t="s">
        <v>97</v>
      </c>
      <c r="C3" s="256" t="s">
        <v>1</v>
      </c>
      <c r="D3" s="259" t="s">
        <v>23</v>
      </c>
      <c r="E3" s="256" t="s">
        <v>96</v>
      </c>
      <c r="F3" s="256" t="s">
        <v>3</v>
      </c>
      <c r="G3" s="256"/>
      <c r="H3" s="260" t="s">
        <v>2</v>
      </c>
      <c r="I3" s="261"/>
      <c r="J3" s="259" t="s">
        <v>93</v>
      </c>
    </row>
    <row r="4" spans="1:14" ht="32.25" customHeight="1" x14ac:dyDescent="0.25">
      <c r="A4" s="256"/>
      <c r="B4" s="258"/>
      <c r="C4" s="256"/>
      <c r="D4" s="256"/>
      <c r="E4" s="256"/>
      <c r="F4" s="144" t="s">
        <v>0</v>
      </c>
      <c r="G4" s="144" t="s">
        <v>4</v>
      </c>
      <c r="H4" s="144" t="s">
        <v>0</v>
      </c>
      <c r="I4" s="144" t="s">
        <v>4</v>
      </c>
      <c r="J4" s="256"/>
    </row>
    <row r="5" spans="1:14" ht="14.25" customHeight="1" x14ac:dyDescent="0.25">
      <c r="A5" s="143">
        <v>1</v>
      </c>
      <c r="B5" s="143">
        <v>2</v>
      </c>
      <c r="C5" s="143">
        <v>3</v>
      </c>
      <c r="D5" s="143">
        <v>4</v>
      </c>
      <c r="E5" s="143">
        <v>5</v>
      </c>
      <c r="F5" s="143">
        <v>6</v>
      </c>
      <c r="G5" s="143">
        <v>7</v>
      </c>
      <c r="H5" s="143">
        <v>8</v>
      </c>
      <c r="I5" s="143">
        <v>9</v>
      </c>
      <c r="J5" s="143">
        <v>10</v>
      </c>
      <c r="M5" s="18"/>
    </row>
    <row r="6" spans="1:14" x14ac:dyDescent="0.25">
      <c r="A6" s="252" t="s">
        <v>5</v>
      </c>
      <c r="B6" s="252"/>
      <c r="C6" s="252"/>
      <c r="D6" s="252"/>
      <c r="E6" s="252"/>
      <c r="F6" s="252"/>
      <c r="G6" s="252"/>
      <c r="H6" s="252"/>
      <c r="I6" s="252"/>
      <c r="J6" s="252"/>
    </row>
    <row r="7" spans="1:14" x14ac:dyDescent="0.25">
      <c r="A7" s="169">
        <v>1</v>
      </c>
      <c r="B7" s="209" t="s">
        <v>53</v>
      </c>
      <c r="C7" s="191" t="s">
        <v>118</v>
      </c>
      <c r="D7" s="129">
        <v>43845</v>
      </c>
      <c r="E7" s="145">
        <v>3722</v>
      </c>
      <c r="F7" s="207"/>
      <c r="G7" s="207"/>
      <c r="H7" s="207"/>
      <c r="I7" s="207"/>
      <c r="J7" s="207"/>
    </row>
    <row r="8" spans="1:14" s="1" customFormat="1" x14ac:dyDescent="0.25">
      <c r="A8" s="155" t="s">
        <v>17</v>
      </c>
      <c r="B8" s="156"/>
      <c r="C8" s="156" t="str">
        <f>"за "&amp;LOWER($A$6)</f>
        <v>за январь</v>
      </c>
      <c r="D8" s="157">
        <f>COUNTA(янв_пр)</f>
        <v>1</v>
      </c>
      <c r="E8" s="158">
        <f>SUM(янв_кол)</f>
        <v>3722</v>
      </c>
      <c r="F8" s="159">
        <f>COUNTA(акт_вх_янв)+COUNTA(акт_отб_янв)</f>
        <v>0</v>
      </c>
      <c r="G8" s="188"/>
      <c r="H8" s="188"/>
      <c r="I8" s="188"/>
      <c r="J8" s="161">
        <f>SUM(кол_отб_янв)</f>
        <v>0</v>
      </c>
    </row>
    <row r="9" spans="1:14" x14ac:dyDescent="0.25">
      <c r="A9" s="253" t="s">
        <v>6</v>
      </c>
      <c r="B9" s="253"/>
      <c r="C9" s="253"/>
      <c r="D9" s="253"/>
      <c r="E9" s="253"/>
      <c r="F9" s="253"/>
      <c r="G9" s="253"/>
      <c r="H9" s="253"/>
      <c r="I9" s="253"/>
      <c r="J9" s="253"/>
      <c r="L9" s="1"/>
      <c r="M9" s="1"/>
      <c r="N9" s="1"/>
    </row>
    <row r="10" spans="1:14" ht="30" x14ac:dyDescent="0.25">
      <c r="A10" s="169">
        <v>2</v>
      </c>
      <c r="B10" s="209" t="s">
        <v>53</v>
      </c>
      <c r="C10" s="191" t="s">
        <v>136</v>
      </c>
      <c r="D10" s="129">
        <v>43872</v>
      </c>
      <c r="E10" s="145">
        <v>13761</v>
      </c>
      <c r="F10" s="192"/>
      <c r="G10" s="192"/>
      <c r="H10" s="192"/>
      <c r="I10" s="192"/>
      <c r="J10" s="192"/>
      <c r="L10" s="1"/>
      <c r="M10" s="1"/>
      <c r="N10" s="1"/>
    </row>
    <row r="11" spans="1:14" outlineLevel="1" x14ac:dyDescent="0.25">
      <c r="A11" s="169">
        <v>3</v>
      </c>
      <c r="B11" s="210" t="s">
        <v>53</v>
      </c>
      <c r="C11" s="191" t="s">
        <v>146</v>
      </c>
      <c r="D11" s="129">
        <v>43881</v>
      </c>
      <c r="E11" s="145">
        <v>1000</v>
      </c>
      <c r="F11" s="192"/>
      <c r="G11" s="192"/>
      <c r="H11" s="192"/>
      <c r="I11" s="192"/>
      <c r="J11" s="192"/>
      <c r="L11" s="1"/>
      <c r="M11" s="1"/>
      <c r="N11" s="1"/>
    </row>
    <row r="12" spans="1:14" x14ac:dyDescent="0.25">
      <c r="A12" s="155" t="s">
        <v>17</v>
      </c>
      <c r="B12" s="156"/>
      <c r="C12" s="156" t="str">
        <f>"за "&amp;LOWER($A$9)</f>
        <v>за февраль</v>
      </c>
      <c r="D12" s="157">
        <f>COUNTA(фев_пр)</f>
        <v>2</v>
      </c>
      <c r="E12" s="158">
        <f>SUM(фев_кол)</f>
        <v>14761</v>
      </c>
      <c r="F12" s="159">
        <f>COUNTA(акт_вх_фев)+COUNTA(акт_отб_фев)</f>
        <v>0</v>
      </c>
      <c r="G12" s="188"/>
      <c r="H12" s="188"/>
      <c r="I12" s="188"/>
      <c r="J12" s="161">
        <f>SUM(кол_отб_фев)</f>
        <v>0</v>
      </c>
      <c r="L12" s="1"/>
      <c r="M12" s="1"/>
      <c r="N12" s="1"/>
    </row>
    <row r="13" spans="1:14" x14ac:dyDescent="0.25">
      <c r="A13" s="254" t="s">
        <v>7</v>
      </c>
      <c r="B13" s="254"/>
      <c r="C13" s="254"/>
      <c r="D13" s="254"/>
      <c r="E13" s="254"/>
      <c r="F13" s="254"/>
      <c r="G13" s="254"/>
      <c r="H13" s="254"/>
      <c r="I13" s="254"/>
      <c r="J13" s="254"/>
      <c r="L13" s="1"/>
      <c r="M13" s="1"/>
      <c r="N13" s="1"/>
    </row>
    <row r="14" spans="1:14" x14ac:dyDescent="0.25">
      <c r="A14" s="169">
        <v>4</v>
      </c>
      <c r="B14" s="148" t="s">
        <v>53</v>
      </c>
      <c r="C14" s="211" t="s">
        <v>162</v>
      </c>
      <c r="D14" s="172">
        <v>43900</v>
      </c>
      <c r="E14" s="173">
        <v>5035</v>
      </c>
      <c r="F14" s="192"/>
      <c r="G14" s="192"/>
      <c r="H14" s="192"/>
      <c r="I14" s="192"/>
      <c r="J14" s="192"/>
      <c r="L14" s="1"/>
      <c r="M14" s="1"/>
      <c r="N14" s="1"/>
    </row>
    <row r="15" spans="1:14" x14ac:dyDescent="0.25">
      <c r="A15" s="155" t="s">
        <v>17</v>
      </c>
      <c r="B15" s="156"/>
      <c r="C15" s="156" t="str">
        <f>"за "&amp;LOWER($A$13)</f>
        <v>за март</v>
      </c>
      <c r="D15" s="157">
        <f>COUNTA(мрт_пр)</f>
        <v>1</v>
      </c>
      <c r="E15" s="158">
        <f>SUM(мрт_кол)</f>
        <v>5035</v>
      </c>
      <c r="F15" s="159">
        <f>COUNTA(акт_вх_мрт)+COUNTA(акт_отб_мрт)</f>
        <v>0</v>
      </c>
      <c r="G15" s="160"/>
      <c r="H15" s="160"/>
      <c r="I15" s="160"/>
      <c r="J15" s="161">
        <f>SUM(кол_отб_мрт)</f>
        <v>0</v>
      </c>
      <c r="L15" s="1"/>
      <c r="M15" s="1"/>
      <c r="N15" s="1"/>
    </row>
    <row r="16" spans="1:14" ht="31.5" customHeight="1" x14ac:dyDescent="0.25">
      <c r="A16" s="174" t="s">
        <v>17</v>
      </c>
      <c r="B16" s="175"/>
      <c r="C16" s="175" t="s">
        <v>18</v>
      </c>
      <c r="D16" s="176">
        <f>SUM(D8,D12,D15)</f>
        <v>4</v>
      </c>
      <c r="E16" s="177">
        <f>SUM(E8,E12,E15)</f>
        <v>23518</v>
      </c>
      <c r="F16" s="178">
        <f>SUM(F8,F12,F15)</f>
        <v>0</v>
      </c>
      <c r="G16" s="175"/>
      <c r="H16" s="175" t="str">
        <f>"Кп= "&amp;ROUNDDOWN((F16/D16)*100,1)&amp;"%"</f>
        <v>Кп= 0%</v>
      </c>
      <c r="I16" s="175" t="str">
        <f>"Км= "&amp;ROUNDDOWN((J16/E16)*100,2)&amp;"%"</f>
        <v>Км= 0%</v>
      </c>
      <c r="J16" s="179">
        <f>SUM(J8,J12,J15)</f>
        <v>0</v>
      </c>
      <c r="L16" s="1"/>
      <c r="M16" s="1"/>
      <c r="N16" s="1"/>
    </row>
    <row r="17" spans="1:14" x14ac:dyDescent="0.25">
      <c r="A17" s="253" t="s">
        <v>8</v>
      </c>
      <c r="B17" s="253"/>
      <c r="C17" s="253"/>
      <c r="D17" s="253"/>
      <c r="E17" s="253"/>
      <c r="F17" s="253"/>
      <c r="G17" s="253"/>
      <c r="H17" s="253"/>
      <c r="I17" s="253"/>
      <c r="J17" s="253"/>
      <c r="L17" s="1"/>
      <c r="M17" s="1"/>
      <c r="N17" s="1"/>
    </row>
    <row r="18" spans="1:14" x14ac:dyDescent="0.25">
      <c r="A18" s="169">
        <v>5</v>
      </c>
      <c r="B18" s="151" t="s">
        <v>53</v>
      </c>
      <c r="C18" s="152" t="s">
        <v>173</v>
      </c>
      <c r="D18" s="153">
        <v>43935</v>
      </c>
      <c r="E18" s="147">
        <v>4474</v>
      </c>
      <c r="F18" s="206"/>
      <c r="G18" s="206"/>
      <c r="H18" s="206"/>
      <c r="I18" s="206"/>
      <c r="J18" s="206"/>
      <c r="L18" s="1"/>
      <c r="M18" s="1"/>
      <c r="N18" s="1"/>
    </row>
    <row r="19" spans="1:14" outlineLevel="1" x14ac:dyDescent="0.25">
      <c r="A19" s="169">
        <v>6</v>
      </c>
      <c r="B19" s="151" t="s">
        <v>53</v>
      </c>
      <c r="C19" s="152" t="s">
        <v>178</v>
      </c>
      <c r="D19" s="153">
        <v>43943</v>
      </c>
      <c r="E19" s="147">
        <v>7960</v>
      </c>
      <c r="F19" s="206"/>
      <c r="G19" s="206"/>
      <c r="H19" s="206"/>
      <c r="I19" s="206"/>
      <c r="J19" s="206"/>
      <c r="L19" s="1"/>
      <c r="M19" s="1"/>
      <c r="N19" s="1"/>
    </row>
    <row r="20" spans="1:14" x14ac:dyDescent="0.25">
      <c r="A20" s="155" t="s">
        <v>17</v>
      </c>
      <c r="B20" s="156"/>
      <c r="C20" s="156" t="str">
        <f>"за "&amp;LOWER($A$17)</f>
        <v>за апрель</v>
      </c>
      <c r="D20" s="157">
        <f>COUNTA(апр_пр)</f>
        <v>2</v>
      </c>
      <c r="E20" s="158">
        <f>SUM(апр_кол)</f>
        <v>12434</v>
      </c>
      <c r="F20" s="159">
        <f>COUNTA(акт_вх_апр)+COUNTA(акт_отб_апр)</f>
        <v>0</v>
      </c>
      <c r="G20" s="160"/>
      <c r="H20" s="160"/>
      <c r="I20" s="160"/>
      <c r="J20" s="161">
        <f>SUM(кол_отб_апр)</f>
        <v>0</v>
      </c>
      <c r="L20" s="1"/>
      <c r="M20" s="1"/>
      <c r="N20" s="1"/>
    </row>
    <row r="21" spans="1:14" x14ac:dyDescent="0.25">
      <c r="A21" s="254" t="s">
        <v>9</v>
      </c>
      <c r="B21" s="254"/>
      <c r="C21" s="254"/>
      <c r="D21" s="254"/>
      <c r="E21" s="254"/>
      <c r="F21" s="254"/>
      <c r="G21" s="254"/>
      <c r="H21" s="254"/>
      <c r="I21" s="254"/>
      <c r="J21" s="254"/>
      <c r="L21" s="1"/>
      <c r="M21" s="1"/>
      <c r="N21" s="1"/>
    </row>
    <row r="22" spans="1:14" s="76" customFormat="1" x14ac:dyDescent="0.25">
      <c r="A22" s="162">
        <v>7</v>
      </c>
      <c r="B22" s="212" t="s">
        <v>52</v>
      </c>
      <c r="C22" s="128" t="s">
        <v>231</v>
      </c>
      <c r="D22" s="129">
        <v>43965</v>
      </c>
      <c r="E22" s="130">
        <v>2985</v>
      </c>
      <c r="F22" s="207"/>
      <c r="G22" s="207"/>
      <c r="H22" s="207"/>
      <c r="I22" s="207"/>
      <c r="J22" s="207"/>
      <c r="L22" s="133"/>
      <c r="M22" s="133"/>
      <c r="N22" s="133"/>
    </row>
    <row r="23" spans="1:14" x14ac:dyDescent="0.25">
      <c r="A23" s="155" t="s">
        <v>17</v>
      </c>
      <c r="B23" s="156"/>
      <c r="C23" s="156" t="str">
        <f>"за "&amp;LOWER($A$21)</f>
        <v>за май</v>
      </c>
      <c r="D23" s="157">
        <f>COUNTA(май_пр)</f>
        <v>1</v>
      </c>
      <c r="E23" s="158">
        <f>SUM(май_кол)</f>
        <v>2985</v>
      </c>
      <c r="F23" s="159">
        <f>COUNTA(акт_вх_май)+COUNTA(акт_отб_май)</f>
        <v>0</v>
      </c>
      <c r="G23" s="160"/>
      <c r="H23" s="160"/>
      <c r="I23" s="160"/>
      <c r="J23" s="161">
        <f>SUM(кол_отб_май)</f>
        <v>0</v>
      </c>
    </row>
    <row r="24" spans="1:14" x14ac:dyDescent="0.25">
      <c r="A24" s="254" t="s">
        <v>10</v>
      </c>
      <c r="B24" s="254"/>
      <c r="C24" s="254"/>
      <c r="D24" s="254"/>
      <c r="E24" s="254"/>
      <c r="F24" s="254"/>
      <c r="G24" s="254"/>
      <c r="H24" s="254"/>
      <c r="I24" s="254"/>
      <c r="J24" s="254"/>
    </row>
    <row r="25" spans="1:14" x14ac:dyDescent="0.25">
      <c r="A25" s="169">
        <v>8</v>
      </c>
      <c r="B25" s="151" t="s">
        <v>53</v>
      </c>
      <c r="C25" s="152" t="s">
        <v>207</v>
      </c>
      <c r="D25" s="153">
        <v>43986</v>
      </c>
      <c r="E25" s="165">
        <v>4226</v>
      </c>
      <c r="F25" s="170"/>
      <c r="G25" s="170"/>
      <c r="H25" s="170"/>
      <c r="I25" s="170"/>
      <c r="J25" s="170"/>
    </row>
    <row r="26" spans="1:14" outlineLevel="1" x14ac:dyDescent="0.25">
      <c r="A26" s="169">
        <v>9</v>
      </c>
      <c r="B26" s="151" t="s">
        <v>53</v>
      </c>
      <c r="C26" s="152" t="s">
        <v>218</v>
      </c>
      <c r="D26" s="153">
        <v>44005</v>
      </c>
      <c r="E26" s="165">
        <v>3000</v>
      </c>
      <c r="F26" s="170"/>
      <c r="G26" s="170"/>
      <c r="H26" s="170"/>
      <c r="I26" s="170"/>
      <c r="J26" s="170"/>
    </row>
    <row r="27" spans="1:14" x14ac:dyDescent="0.25">
      <c r="A27" s="155" t="s">
        <v>17</v>
      </c>
      <c r="B27" s="156"/>
      <c r="C27" s="156" t="str">
        <f>"за "&amp;LOWER($A$24)</f>
        <v>за июнь</v>
      </c>
      <c r="D27" s="157">
        <f>COUNTA(июн_пр)</f>
        <v>2</v>
      </c>
      <c r="E27" s="158">
        <f>SUM(июн_кол)</f>
        <v>7226</v>
      </c>
      <c r="F27" s="159">
        <f>COUNTA(акт_вх_июн)+COUNTA(акт_отб_июн)</f>
        <v>0</v>
      </c>
      <c r="G27" s="160"/>
      <c r="H27" s="160"/>
      <c r="I27" s="160"/>
      <c r="J27" s="161">
        <f>SUM(кол_отб_июн)</f>
        <v>0</v>
      </c>
    </row>
    <row r="28" spans="1:14" ht="31.5" customHeight="1" x14ac:dyDescent="0.25">
      <c r="A28" s="174" t="s">
        <v>17</v>
      </c>
      <c r="B28" s="175"/>
      <c r="C28" s="175" t="s">
        <v>109</v>
      </c>
      <c r="D28" s="176">
        <f>SUM(D20,D23,D27)</f>
        <v>5</v>
      </c>
      <c r="E28" s="177">
        <f>SUM(E20,E23,E27)</f>
        <v>22645</v>
      </c>
      <c r="F28" s="178">
        <f>SUM(F20,F23,F27)</f>
        <v>0</v>
      </c>
      <c r="G28" s="175"/>
      <c r="H28" s="175" t="str">
        <f>"Кп= "&amp;ROUNDDOWN((F28/D28)*100,1)&amp;"%"</f>
        <v>Кп= 0%</v>
      </c>
      <c r="I28" s="175" t="str">
        <f>"Км= "&amp;ROUNDDOWN((J28/E28)*100,2)&amp;"%"</f>
        <v>Км= 0%</v>
      </c>
      <c r="J28" s="179">
        <f>SUM(J20,J23,J27)</f>
        <v>0</v>
      </c>
    </row>
    <row r="29" spans="1:14" ht="31.5" customHeight="1" x14ac:dyDescent="0.25">
      <c r="A29" s="174" t="s">
        <v>17</v>
      </c>
      <c r="B29" s="175"/>
      <c r="C29" s="175" t="s">
        <v>110</v>
      </c>
      <c r="D29" s="176">
        <f>SUM(D16,D28)</f>
        <v>9</v>
      </c>
      <c r="E29" s="177">
        <f>SUM(E28,E16)</f>
        <v>46163</v>
      </c>
      <c r="F29" s="178">
        <f>SUM(F28,F16)</f>
        <v>0</v>
      </c>
      <c r="G29" s="175"/>
      <c r="H29" s="175" t="str">
        <f>"Кп= "&amp;ROUNDDOWN((F29/D29)*100,1)&amp;"%"</f>
        <v>Кп= 0%</v>
      </c>
      <c r="I29" s="175" t="str">
        <f>"Км= "&amp;ROUNDDOWN((J29/E29)*100,2)&amp;"%"</f>
        <v>Км= 0%</v>
      </c>
      <c r="J29" s="179">
        <f>SUM(J28,J16)</f>
        <v>0</v>
      </c>
    </row>
    <row r="30" spans="1:14" x14ac:dyDescent="0.25">
      <c r="A30" s="254" t="s">
        <v>11</v>
      </c>
      <c r="B30" s="254"/>
      <c r="C30" s="254"/>
      <c r="D30" s="254"/>
      <c r="E30" s="254"/>
      <c r="F30" s="254"/>
      <c r="G30" s="254"/>
      <c r="H30" s="254"/>
      <c r="I30" s="254"/>
      <c r="J30" s="254"/>
    </row>
    <row r="31" spans="1:14" x14ac:dyDescent="0.25">
      <c r="A31" s="169">
        <v>10</v>
      </c>
      <c r="B31" s="151" t="s">
        <v>53</v>
      </c>
      <c r="C31" s="152" t="s">
        <v>224</v>
      </c>
      <c r="D31" s="153">
        <v>44018</v>
      </c>
      <c r="E31" s="165">
        <v>5531</v>
      </c>
      <c r="F31" s="170"/>
      <c r="G31" s="170"/>
      <c r="H31" s="170"/>
      <c r="I31" s="170"/>
      <c r="J31" s="170"/>
    </row>
    <row r="32" spans="1:14" x14ac:dyDescent="0.25">
      <c r="A32" s="155" t="s">
        <v>17</v>
      </c>
      <c r="B32" s="156"/>
      <c r="C32" s="156" t="str">
        <f>"за "&amp;LOWER($A$30)</f>
        <v>за июль</v>
      </c>
      <c r="D32" s="157">
        <f>COUNTA(июл_пр)</f>
        <v>1</v>
      </c>
      <c r="E32" s="158">
        <f>SUM(июл_кол)</f>
        <v>5531</v>
      </c>
      <c r="F32" s="159">
        <f>COUNTA(акт_вх_июл)+COUNTA(акт_отб_июл)</f>
        <v>0</v>
      </c>
      <c r="G32" s="160"/>
      <c r="H32" s="160"/>
      <c r="I32" s="160"/>
      <c r="J32" s="161">
        <f>SUM(кол_отб_июл)</f>
        <v>0</v>
      </c>
    </row>
    <row r="33" spans="1:10" x14ac:dyDescent="0.25">
      <c r="A33" s="254" t="s">
        <v>13</v>
      </c>
      <c r="B33" s="254"/>
      <c r="C33" s="254"/>
      <c r="D33" s="254"/>
      <c r="E33" s="254"/>
      <c r="F33" s="254"/>
      <c r="G33" s="254"/>
      <c r="H33" s="254"/>
      <c r="I33" s="254"/>
      <c r="J33" s="254"/>
    </row>
    <row r="34" spans="1:10" x14ac:dyDescent="0.25">
      <c r="A34" s="169">
        <v>11</v>
      </c>
      <c r="B34" s="151" t="s">
        <v>53</v>
      </c>
      <c r="C34" s="152" t="s">
        <v>254</v>
      </c>
      <c r="D34" s="153">
        <v>44046</v>
      </c>
      <c r="E34" s="147">
        <v>6148</v>
      </c>
      <c r="F34" s="170"/>
      <c r="G34" s="170"/>
      <c r="H34" s="170"/>
      <c r="I34" s="170"/>
      <c r="J34" s="170"/>
    </row>
    <row r="35" spans="1:10" x14ac:dyDescent="0.25">
      <c r="A35" s="155" t="s">
        <v>17</v>
      </c>
      <c r="B35" s="156"/>
      <c r="C35" s="156" t="str">
        <f>"за "&amp;LOWER($A$33)</f>
        <v>за август</v>
      </c>
      <c r="D35" s="157">
        <f>COUNTA(авг_пр)</f>
        <v>1</v>
      </c>
      <c r="E35" s="158">
        <f>SUM(авг_кол)</f>
        <v>6148</v>
      </c>
      <c r="F35" s="159">
        <f>COUNTA(акт_вх_авг)+COUNTA(акт_отб_авг)</f>
        <v>0</v>
      </c>
      <c r="G35" s="160"/>
      <c r="H35" s="160"/>
      <c r="I35" s="160"/>
      <c r="J35" s="161">
        <f>SUM(кол_отб_авг)</f>
        <v>0</v>
      </c>
    </row>
    <row r="36" spans="1:10" x14ac:dyDescent="0.25">
      <c r="A36" s="254" t="s">
        <v>12</v>
      </c>
      <c r="B36" s="254"/>
      <c r="C36" s="254"/>
      <c r="D36" s="254"/>
      <c r="E36" s="254"/>
      <c r="F36" s="254"/>
      <c r="G36" s="254"/>
      <c r="H36" s="254"/>
      <c r="I36" s="254"/>
      <c r="J36" s="254"/>
    </row>
    <row r="37" spans="1:10" x14ac:dyDescent="0.25">
      <c r="A37" s="169">
        <v>12</v>
      </c>
      <c r="B37" s="151" t="s">
        <v>53</v>
      </c>
      <c r="C37" s="152" t="s">
        <v>274</v>
      </c>
      <c r="D37" s="153">
        <v>44076</v>
      </c>
      <c r="E37" s="147">
        <v>8010</v>
      </c>
      <c r="F37" s="170"/>
      <c r="G37" s="170"/>
      <c r="H37" s="170"/>
      <c r="I37" s="170"/>
      <c r="J37" s="170"/>
    </row>
    <row r="38" spans="1:10" outlineLevel="1" x14ac:dyDescent="0.25">
      <c r="A38" s="169">
        <v>13</v>
      </c>
      <c r="B38" s="148" t="s">
        <v>53</v>
      </c>
      <c r="C38" s="211" t="s">
        <v>291</v>
      </c>
      <c r="D38" s="172">
        <v>44091</v>
      </c>
      <c r="E38" s="146">
        <v>1750</v>
      </c>
      <c r="F38" s="170"/>
      <c r="G38" s="170"/>
      <c r="H38" s="170"/>
      <c r="I38" s="170"/>
      <c r="J38" s="170"/>
    </row>
    <row r="39" spans="1:10" x14ac:dyDescent="0.25">
      <c r="A39" s="155" t="s">
        <v>17</v>
      </c>
      <c r="B39" s="156"/>
      <c r="C39" s="156" t="str">
        <f>"за "&amp;LOWER($A$36)</f>
        <v>за сентябрь</v>
      </c>
      <c r="D39" s="157">
        <f>COUNTA(снт_пр)</f>
        <v>2</v>
      </c>
      <c r="E39" s="158">
        <f>SUM(снт_кол)</f>
        <v>9760</v>
      </c>
      <c r="F39" s="159">
        <f>COUNTA(акт_вх_снт)+COUNTA(акт_отб_снт)</f>
        <v>0</v>
      </c>
      <c r="G39" s="160"/>
      <c r="H39" s="160"/>
      <c r="I39" s="160"/>
      <c r="J39" s="161">
        <f>SUM(кол_отб_снт)</f>
        <v>0</v>
      </c>
    </row>
    <row r="40" spans="1:10" ht="30" customHeight="1" x14ac:dyDescent="0.25">
      <c r="A40" s="105" t="s">
        <v>17</v>
      </c>
      <c r="B40" s="106"/>
      <c r="C40" s="106" t="s">
        <v>111</v>
      </c>
      <c r="D40" s="107">
        <f>SUM(D32,D35,D39)</f>
        <v>4</v>
      </c>
      <c r="E40" s="108">
        <f>SUM(E32,E35,E39)</f>
        <v>21439</v>
      </c>
      <c r="F40" s="109">
        <f>SUM(F32,F35,F39)</f>
        <v>0</v>
      </c>
      <c r="G40" s="106"/>
      <c r="H40" s="106" t="str">
        <f>"Кп= "&amp;ROUNDDOWN((F40/D40)*100,1)&amp;"%"</f>
        <v>Кп= 0%</v>
      </c>
      <c r="I40" s="106" t="str">
        <f>"Км= "&amp;ROUNDDOWN((J40/E40)*100,2)&amp;"%"</f>
        <v>Км= 0%</v>
      </c>
      <c r="J40" s="110">
        <f>SUM(J32,J35,J39)</f>
        <v>0</v>
      </c>
    </row>
    <row r="41" spans="1:10" ht="30" customHeight="1" x14ac:dyDescent="0.25">
      <c r="A41" s="105" t="s">
        <v>17</v>
      </c>
      <c r="B41" s="106"/>
      <c r="C41" s="106" t="s">
        <v>113</v>
      </c>
      <c r="D41" s="107">
        <f>SUM(D29,D40)</f>
        <v>13</v>
      </c>
      <c r="E41" s="108">
        <f>SUM(E40,E29)</f>
        <v>67602</v>
      </c>
      <c r="F41" s="109">
        <f>SUM(F40,F29)</f>
        <v>0</v>
      </c>
      <c r="G41" s="106"/>
      <c r="H41" s="106" t="str">
        <f>"Кп= "&amp;ROUNDDOWN((F41/D41)*100,1)&amp;"%"</f>
        <v>Кп= 0%</v>
      </c>
      <c r="I41" s="106" t="str">
        <f>"Км= "&amp;ROUNDDOWN((J41/E41)*100,2)&amp;"%"</f>
        <v>Км= 0%</v>
      </c>
      <c r="J41" s="110">
        <f>SUM(J40,J29)</f>
        <v>0</v>
      </c>
    </row>
    <row r="42" spans="1:10" ht="24.75" hidden="1" customHeight="1" outlineLevel="1" x14ac:dyDescent="0.25">
      <c r="A42" s="91" t="s">
        <v>20</v>
      </c>
      <c r="B42" s="92"/>
      <c r="C42" s="92"/>
      <c r="D42" s="111"/>
      <c r="E42" s="92"/>
      <c r="F42" s="92"/>
      <c r="G42" s="92" t="s">
        <v>21</v>
      </c>
      <c r="H42" s="92"/>
      <c r="I42" s="92"/>
      <c r="J42" s="112"/>
    </row>
    <row r="43" spans="1:10" ht="15" customHeight="1" collapsed="1" x14ac:dyDescent="0.25">
      <c r="A43" s="252" t="s">
        <v>14</v>
      </c>
      <c r="B43" s="252"/>
      <c r="C43" s="252"/>
      <c r="D43" s="252"/>
      <c r="E43" s="252"/>
      <c r="F43" s="252"/>
      <c r="G43" s="252"/>
      <c r="H43" s="252"/>
      <c r="I43" s="252"/>
      <c r="J43" s="252"/>
    </row>
    <row r="44" spans="1:10" x14ac:dyDescent="0.25">
      <c r="A44" s="169">
        <v>14</v>
      </c>
      <c r="B44" s="151" t="s">
        <v>53</v>
      </c>
      <c r="C44" s="152" t="s">
        <v>303</v>
      </c>
      <c r="D44" s="153">
        <v>44110</v>
      </c>
      <c r="E44" s="147">
        <v>4199</v>
      </c>
      <c r="F44" s="170"/>
      <c r="G44" s="170"/>
      <c r="H44" s="170"/>
      <c r="I44" s="170"/>
      <c r="J44" s="170"/>
    </row>
    <row r="45" spans="1:10" hidden="1" outlineLevel="1" x14ac:dyDescent="0.25">
      <c r="A45" s="170"/>
      <c r="B45" s="170"/>
      <c r="C45" s="170"/>
      <c r="D45" s="213"/>
      <c r="E45" s="170"/>
      <c r="F45" s="170"/>
      <c r="G45" s="170"/>
      <c r="H45" s="170"/>
      <c r="I45" s="170"/>
      <c r="J45" s="170"/>
    </row>
    <row r="46" spans="1:10" hidden="1" outlineLevel="1" x14ac:dyDescent="0.25">
      <c r="A46" s="170"/>
      <c r="B46" s="170"/>
      <c r="C46" s="170"/>
      <c r="D46" s="213"/>
      <c r="E46" s="170"/>
      <c r="F46" s="170"/>
      <c r="G46" s="170"/>
      <c r="H46" s="170"/>
      <c r="I46" s="170"/>
      <c r="J46" s="170"/>
    </row>
    <row r="47" spans="1:10" hidden="1" outlineLevel="1" x14ac:dyDescent="0.25">
      <c r="A47" s="170"/>
      <c r="B47" s="170"/>
      <c r="C47" s="170"/>
      <c r="D47" s="213"/>
      <c r="E47" s="170"/>
      <c r="F47" s="170"/>
      <c r="G47" s="170"/>
      <c r="H47" s="170"/>
      <c r="I47" s="170"/>
      <c r="J47" s="170"/>
    </row>
    <row r="48" spans="1:10" hidden="1" outlineLevel="1" x14ac:dyDescent="0.25">
      <c r="A48" s="170"/>
      <c r="B48" s="170"/>
      <c r="C48" s="170"/>
      <c r="D48" s="213"/>
      <c r="E48" s="170"/>
      <c r="F48" s="170"/>
      <c r="G48" s="170"/>
      <c r="H48" s="170"/>
      <c r="I48" s="170"/>
      <c r="J48" s="170"/>
    </row>
    <row r="49" spans="1:10" collapsed="1" x14ac:dyDescent="0.25">
      <c r="A49" s="155" t="s">
        <v>17</v>
      </c>
      <c r="B49" s="156"/>
      <c r="C49" s="156" t="str">
        <f>"за "&amp;LOWER($A$43)</f>
        <v>за октябрь</v>
      </c>
      <c r="D49" s="157">
        <f>COUNTA(окт_пр)</f>
        <v>1</v>
      </c>
      <c r="E49" s="158">
        <f>SUM(окт_кол)</f>
        <v>4199</v>
      </c>
      <c r="F49" s="159">
        <f>COUNTA(акт_вх_окт)+COUNTA(акт_отб_окт)</f>
        <v>0</v>
      </c>
      <c r="G49" s="160"/>
      <c r="H49" s="160"/>
      <c r="I49" s="160"/>
      <c r="J49" s="161">
        <f>SUM(кол_отб_окт)</f>
        <v>0</v>
      </c>
    </row>
    <row r="50" spans="1:10" x14ac:dyDescent="0.25">
      <c r="A50" s="254" t="s">
        <v>15</v>
      </c>
      <c r="B50" s="254"/>
      <c r="C50" s="254"/>
      <c r="D50" s="254"/>
      <c r="E50" s="254"/>
      <c r="F50" s="254"/>
      <c r="G50" s="254"/>
      <c r="H50" s="254"/>
      <c r="I50" s="254"/>
      <c r="J50" s="254"/>
    </row>
    <row r="51" spans="1:10" x14ac:dyDescent="0.25">
      <c r="A51" s="169">
        <v>15</v>
      </c>
      <c r="B51" s="151" t="s">
        <v>53</v>
      </c>
      <c r="C51" s="152" t="s">
        <v>314</v>
      </c>
      <c r="D51" s="153">
        <v>44138</v>
      </c>
      <c r="E51" s="147">
        <v>7059</v>
      </c>
      <c r="F51" s="170"/>
      <c r="G51" s="170"/>
      <c r="H51" s="170"/>
      <c r="I51" s="170"/>
      <c r="J51" s="170"/>
    </row>
    <row r="52" spans="1:10" outlineLevel="1" x14ac:dyDescent="0.25">
      <c r="A52" s="169">
        <v>16</v>
      </c>
      <c r="B52" s="210" t="s">
        <v>53</v>
      </c>
      <c r="C52" s="191" t="s">
        <v>326</v>
      </c>
      <c r="D52" s="129">
        <v>44158</v>
      </c>
      <c r="E52" s="130">
        <v>2500</v>
      </c>
      <c r="F52" s="170"/>
      <c r="G52" s="170"/>
      <c r="H52" s="170"/>
      <c r="I52" s="170"/>
      <c r="J52" s="170"/>
    </row>
    <row r="53" spans="1:10" x14ac:dyDescent="0.25">
      <c r="A53" s="91" t="s">
        <v>17</v>
      </c>
      <c r="B53" s="92"/>
      <c r="C53" s="92" t="str">
        <f>"за "&amp;LOWER($A$50)</f>
        <v>за ноябрь</v>
      </c>
      <c r="D53" s="93">
        <f>COUNTA(нбр_пр)</f>
        <v>2</v>
      </c>
      <c r="E53" s="94">
        <f>SUM(нбр_кол)</f>
        <v>9559</v>
      </c>
      <c r="F53" s="95">
        <f>COUNTA(акт_вх_нбр)+COUNTA(акт_отб_нбр)</f>
        <v>0</v>
      </c>
      <c r="G53" s="104"/>
      <c r="H53" s="104"/>
      <c r="I53" s="104"/>
      <c r="J53" s="97">
        <f>SUM(кол_отб_нбр)</f>
        <v>0</v>
      </c>
    </row>
    <row r="54" spans="1:10" x14ac:dyDescent="0.25">
      <c r="A54" s="252" t="s">
        <v>16</v>
      </c>
      <c r="B54" s="252"/>
      <c r="C54" s="252"/>
      <c r="D54" s="252"/>
      <c r="E54" s="252"/>
      <c r="F54" s="252"/>
      <c r="G54" s="252"/>
      <c r="H54" s="252"/>
      <c r="I54" s="252"/>
      <c r="J54" s="252"/>
    </row>
    <row r="55" spans="1:10" x14ac:dyDescent="0.25">
      <c r="A55" s="135"/>
      <c r="B55" s="135"/>
      <c r="C55" s="135"/>
      <c r="D55" s="135"/>
      <c r="E55" s="135"/>
      <c r="F55" s="135"/>
      <c r="G55" s="135"/>
      <c r="H55" s="135"/>
      <c r="I55" s="135"/>
      <c r="J55" s="135"/>
    </row>
    <row r="56" spans="1:10" hidden="1" outlineLevel="1" x14ac:dyDescent="0.25">
      <c r="A56" s="135"/>
      <c r="B56" s="135"/>
      <c r="C56" s="135"/>
      <c r="D56" s="135"/>
      <c r="E56" s="135"/>
      <c r="F56" s="135"/>
      <c r="G56" s="135"/>
      <c r="H56" s="135"/>
      <c r="I56" s="135"/>
      <c r="J56" s="135"/>
    </row>
    <row r="57" spans="1:10" hidden="1" outlineLevel="1" x14ac:dyDescent="0.25">
      <c r="A57" s="135"/>
      <c r="B57" s="135"/>
      <c r="C57" s="135"/>
      <c r="D57" s="135"/>
      <c r="E57" s="135"/>
      <c r="F57" s="135"/>
      <c r="G57" s="135"/>
      <c r="H57" s="135"/>
      <c r="I57" s="135"/>
      <c r="J57" s="135"/>
    </row>
    <row r="58" spans="1:10" hidden="1" outlineLevel="1" x14ac:dyDescent="0.25">
      <c r="A58" s="135"/>
      <c r="B58" s="135"/>
      <c r="C58" s="135"/>
      <c r="D58" s="135"/>
      <c r="E58" s="135"/>
      <c r="F58" s="135"/>
      <c r="G58" s="135"/>
      <c r="H58" s="135"/>
      <c r="I58" s="135"/>
      <c r="J58" s="135"/>
    </row>
    <row r="59" spans="1:10" hidden="1" outlineLevel="1" x14ac:dyDescent="0.25">
      <c r="A59" s="135"/>
      <c r="B59" s="135"/>
      <c r="C59" s="135"/>
      <c r="D59" s="135"/>
      <c r="E59" s="135"/>
      <c r="F59" s="135"/>
      <c r="G59" s="135"/>
      <c r="H59" s="135"/>
      <c r="I59" s="135"/>
      <c r="J59" s="135"/>
    </row>
    <row r="60" spans="1:10" collapsed="1" x14ac:dyDescent="0.25">
      <c r="A60" s="91" t="s">
        <v>17</v>
      </c>
      <c r="B60" s="92"/>
      <c r="C60" s="92" t="str">
        <f>"за "&amp;LOWER($A$54)</f>
        <v>за декабрь</v>
      </c>
      <c r="D60" s="93">
        <f>COUNTA(дкб_пр)</f>
        <v>0</v>
      </c>
      <c r="E60" s="94">
        <f>SUM(дкб_кол)</f>
        <v>0</v>
      </c>
      <c r="F60" s="95">
        <f>COUNTA(акт_вх_дкб)+COUNTA(акт_отб_дкб)</f>
        <v>0</v>
      </c>
      <c r="G60" s="104"/>
      <c r="H60" s="104"/>
      <c r="I60" s="104"/>
      <c r="J60" s="97">
        <f>SUM(кол_отб_дкб)</f>
        <v>0</v>
      </c>
    </row>
    <row r="61" spans="1:10" ht="32.25" customHeight="1" x14ac:dyDescent="0.25">
      <c r="A61" s="105" t="s">
        <v>17</v>
      </c>
      <c r="B61" s="106"/>
      <c r="C61" s="106" t="s">
        <v>112</v>
      </c>
      <c r="D61" s="107">
        <f>SUM(D49,D53,D60)</f>
        <v>3</v>
      </c>
      <c r="E61" s="108">
        <f>SUM(E49,E53,E60)</f>
        <v>13758</v>
      </c>
      <c r="F61" s="109">
        <f>SUM(F49,F53,F60)</f>
        <v>0</v>
      </c>
      <c r="G61" s="106"/>
      <c r="H61" s="106" t="str">
        <f>"Кп= "&amp;ROUNDDOWN((F61/D61)*100,1)&amp;"%"</f>
        <v>Кп= 0%</v>
      </c>
      <c r="I61" s="106" t="str">
        <f>"Км= "&amp;ROUNDDOWN((J61/E61)*100,2)&amp;"%"</f>
        <v>Км= 0%</v>
      </c>
      <c r="J61" s="110">
        <f>SUM(J49,J53,J60)</f>
        <v>0</v>
      </c>
    </row>
    <row r="62" spans="1:10" ht="27" customHeight="1" x14ac:dyDescent="0.25">
      <c r="A62" s="105" t="s">
        <v>17</v>
      </c>
      <c r="B62" s="106"/>
      <c r="C62" s="106" t="s">
        <v>114</v>
      </c>
      <c r="D62" s="107">
        <f>SUM(D61,D41)</f>
        <v>16</v>
      </c>
      <c r="E62" s="108">
        <f>SUM(E61,E41)</f>
        <v>81360</v>
      </c>
      <c r="F62" s="109">
        <f>SUM(F61,F41)</f>
        <v>0</v>
      </c>
      <c r="G62" s="106"/>
      <c r="H62" s="106" t="str">
        <f>"Кп= "&amp;ROUNDDOWN((F62/D62)*100,1)&amp;"%"</f>
        <v>Кп= 0%</v>
      </c>
      <c r="I62" s="106" t="str">
        <f>"Км= "&amp;ROUNDDOWN((J62/E62)*100,2)&amp;"%"</f>
        <v>Км= 0%</v>
      </c>
      <c r="J62" s="110">
        <f>SUM(J61,J41)</f>
        <v>0</v>
      </c>
    </row>
    <row r="63" spans="1:10" ht="26.25" customHeight="1" x14ac:dyDescent="0.25">
      <c r="A63" s="139" t="s">
        <v>20</v>
      </c>
      <c r="B63" s="139"/>
      <c r="C63" s="139"/>
      <c r="D63" s="140"/>
      <c r="E63" s="139"/>
      <c r="F63" s="139"/>
      <c r="G63" s="139" t="s">
        <v>21</v>
      </c>
      <c r="H63" s="139"/>
      <c r="I63" s="139"/>
      <c r="J63" s="139"/>
    </row>
    <row r="64" spans="1:10" x14ac:dyDescent="0.25">
      <c r="A64" s="76"/>
      <c r="B64" s="76"/>
      <c r="C64" s="76"/>
      <c r="D64" s="76"/>
      <c r="E64" s="76"/>
      <c r="F64" s="76"/>
      <c r="G64" s="76"/>
      <c r="H64" s="76"/>
      <c r="I64" s="76"/>
      <c r="J64" s="76"/>
    </row>
    <row r="65" spans="1:10" x14ac:dyDescent="0.25">
      <c r="A65" s="76"/>
      <c r="B65" s="76"/>
      <c r="C65" s="76"/>
      <c r="D65" s="76"/>
      <c r="E65" s="76"/>
      <c r="F65" s="76"/>
      <c r="G65" s="76"/>
      <c r="H65" s="76"/>
      <c r="I65" s="76"/>
      <c r="J65" s="76"/>
    </row>
  </sheetData>
  <sheetProtection algorithmName="SHA-512" hashValue="piAuYMw123RsT5sIHE3W3tJKegNjDbp119XU7dGi8xRhio6ZWkBIWnBTS0ABNS8Ly0m7hSN1ztxWG/fpeCl1xA==" saltValue="YAeSLf4Y4GZdV0Cxv4gZQg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54:J54"/>
    <mergeCell ref="A6:J6"/>
    <mergeCell ref="A9:J9"/>
    <mergeCell ref="A13:J13"/>
    <mergeCell ref="A17:J17"/>
    <mergeCell ref="A21:J21"/>
    <mergeCell ref="A24:J24"/>
    <mergeCell ref="A30:J30"/>
    <mergeCell ref="A33:J33"/>
    <mergeCell ref="A36:J36"/>
    <mergeCell ref="A43:J43"/>
    <mergeCell ref="A50:J5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3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93EE9-87AB-48AA-ACD0-0280FCB0D43F}">
  <sheetPr codeName="Лист9">
    <pageSetUpPr fitToPage="1"/>
  </sheetPr>
  <dimension ref="A1:N82"/>
  <sheetViews>
    <sheetView zoomScale="85" zoomScaleNormal="85" workbookViewId="0">
      <pane ySplit="4" topLeftCell="A23" activePane="bottomLeft" state="frozen"/>
      <selection activeCell="A2" sqref="A2:J2"/>
      <selection pane="bottomLeft" activeCell="K14" sqref="K14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76"/>
      <c r="B1" s="76"/>
      <c r="C1" s="76"/>
      <c r="D1" s="76"/>
      <c r="E1" s="76"/>
      <c r="F1" s="76"/>
      <c r="G1" s="76"/>
      <c r="H1" s="76"/>
      <c r="I1" s="76"/>
      <c r="J1" s="77" t="s">
        <v>94</v>
      </c>
    </row>
    <row r="2" spans="1:14" ht="33.75" customHeight="1" x14ac:dyDescent="0.4">
      <c r="A2" s="255" t="s">
        <v>362</v>
      </c>
      <c r="B2" s="255"/>
      <c r="C2" s="255"/>
      <c r="D2" s="255"/>
      <c r="E2" s="255"/>
      <c r="F2" s="255"/>
      <c r="G2" s="255"/>
      <c r="H2" s="255"/>
      <c r="I2" s="255"/>
      <c r="J2" s="255"/>
    </row>
    <row r="3" spans="1:14" x14ac:dyDescent="0.25">
      <c r="A3" s="256" t="s">
        <v>0</v>
      </c>
      <c r="B3" s="257" t="s">
        <v>97</v>
      </c>
      <c r="C3" s="256" t="s">
        <v>1</v>
      </c>
      <c r="D3" s="259" t="s">
        <v>23</v>
      </c>
      <c r="E3" s="256" t="s">
        <v>96</v>
      </c>
      <c r="F3" s="256" t="s">
        <v>3</v>
      </c>
      <c r="G3" s="256"/>
      <c r="H3" s="260" t="s">
        <v>2</v>
      </c>
      <c r="I3" s="261"/>
      <c r="J3" s="259" t="s">
        <v>93</v>
      </c>
    </row>
    <row r="4" spans="1:14" ht="32.25" customHeight="1" x14ac:dyDescent="0.25">
      <c r="A4" s="256"/>
      <c r="B4" s="258"/>
      <c r="C4" s="256"/>
      <c r="D4" s="256"/>
      <c r="E4" s="256"/>
      <c r="F4" s="144" t="s">
        <v>0</v>
      </c>
      <c r="G4" s="144" t="s">
        <v>4</v>
      </c>
      <c r="H4" s="144" t="s">
        <v>0</v>
      </c>
      <c r="I4" s="144" t="s">
        <v>4</v>
      </c>
      <c r="J4" s="256"/>
    </row>
    <row r="5" spans="1:14" ht="14.25" customHeight="1" x14ac:dyDescent="0.25">
      <c r="A5" s="215">
        <v>1</v>
      </c>
      <c r="B5" s="215">
        <v>2</v>
      </c>
      <c r="C5" s="215">
        <v>3</v>
      </c>
      <c r="D5" s="215">
        <v>4</v>
      </c>
      <c r="E5" s="215">
        <v>5</v>
      </c>
      <c r="F5" s="215">
        <v>6</v>
      </c>
      <c r="G5" s="215">
        <v>7</v>
      </c>
      <c r="H5" s="215">
        <v>8</v>
      </c>
      <c r="I5" s="215">
        <v>9</v>
      </c>
      <c r="J5" s="215">
        <v>10</v>
      </c>
      <c r="M5" s="18"/>
    </row>
    <row r="6" spans="1:14" x14ac:dyDescent="0.25">
      <c r="A6" s="254" t="s">
        <v>5</v>
      </c>
      <c r="B6" s="254"/>
      <c r="C6" s="254"/>
      <c r="D6" s="254"/>
      <c r="E6" s="254"/>
      <c r="F6" s="254"/>
      <c r="G6" s="254"/>
      <c r="H6" s="254"/>
      <c r="I6" s="254"/>
      <c r="J6" s="254"/>
    </row>
    <row r="7" spans="1:14" x14ac:dyDescent="0.25">
      <c r="A7" s="169">
        <v>1</v>
      </c>
      <c r="B7" s="209" t="s">
        <v>51</v>
      </c>
      <c r="C7" s="191">
        <v>5</v>
      </c>
      <c r="D7" s="129">
        <v>43839</v>
      </c>
      <c r="E7" s="145">
        <v>5500</v>
      </c>
      <c r="F7" s="215"/>
      <c r="G7" s="215"/>
      <c r="H7" s="215"/>
      <c r="I7" s="215"/>
      <c r="J7" s="215"/>
    </row>
    <row r="8" spans="1:14" hidden="1" outlineLevel="1" x14ac:dyDescent="0.25">
      <c r="A8" s="192"/>
      <c r="B8" s="192"/>
      <c r="C8" s="221"/>
      <c r="D8" s="222"/>
      <c r="E8" s="223"/>
      <c r="F8" s="215"/>
      <c r="G8" s="215"/>
      <c r="H8" s="215"/>
      <c r="I8" s="215"/>
      <c r="J8" s="215"/>
    </row>
    <row r="9" spans="1:14" hidden="1" outlineLevel="1" x14ac:dyDescent="0.25">
      <c r="A9" s="192"/>
      <c r="B9" s="192"/>
      <c r="C9" s="221"/>
      <c r="D9" s="222"/>
      <c r="E9" s="223"/>
      <c r="F9" s="215"/>
      <c r="G9" s="215"/>
      <c r="H9" s="215"/>
      <c r="I9" s="215"/>
      <c r="J9" s="215"/>
    </row>
    <row r="10" spans="1:14" hidden="1" outlineLevel="1" x14ac:dyDescent="0.25">
      <c r="A10" s="192"/>
      <c r="B10" s="192"/>
      <c r="C10" s="221"/>
      <c r="D10" s="222"/>
      <c r="E10" s="223"/>
      <c r="F10" s="215"/>
      <c r="G10" s="215"/>
      <c r="H10" s="215"/>
      <c r="I10" s="215"/>
      <c r="J10" s="215"/>
    </row>
    <row r="11" spans="1:14" hidden="1" outlineLevel="1" x14ac:dyDescent="0.25">
      <c r="A11" s="192"/>
      <c r="B11" s="192"/>
      <c r="C11" s="221"/>
      <c r="D11" s="222"/>
      <c r="E11" s="223"/>
      <c r="F11" s="215"/>
      <c r="G11" s="215"/>
      <c r="H11" s="215"/>
      <c r="I11" s="215"/>
      <c r="J11" s="215"/>
    </row>
    <row r="12" spans="1:14" s="1" customFormat="1" collapsed="1" x14ac:dyDescent="0.25">
      <c r="A12" s="155" t="s">
        <v>17</v>
      </c>
      <c r="B12" s="156"/>
      <c r="C12" s="156" t="str">
        <f>"за "&amp;LOWER($A$6)</f>
        <v>за январь</v>
      </c>
      <c r="D12" s="157">
        <f>COUNTA(янв_пр)</f>
        <v>1</v>
      </c>
      <c r="E12" s="158">
        <f>SUM(янв_кол)</f>
        <v>5500</v>
      </c>
      <c r="F12" s="159">
        <f>COUNTA(акт_вх_янв)+COUNTA(акт_отб_янв)</f>
        <v>0</v>
      </c>
      <c r="G12" s="188"/>
      <c r="H12" s="188"/>
      <c r="I12" s="188"/>
      <c r="J12" s="161">
        <f>SUM(кол_отб_янв)</f>
        <v>0</v>
      </c>
    </row>
    <row r="13" spans="1:14" x14ac:dyDescent="0.25">
      <c r="A13" s="253" t="s">
        <v>6</v>
      </c>
      <c r="B13" s="253"/>
      <c r="C13" s="253"/>
      <c r="D13" s="253"/>
      <c r="E13" s="253"/>
      <c r="F13" s="253"/>
      <c r="G13" s="253"/>
      <c r="H13" s="253"/>
      <c r="I13" s="253"/>
      <c r="J13" s="253"/>
      <c r="L13" s="1"/>
      <c r="M13" s="1"/>
      <c r="N13" s="1"/>
    </row>
    <row r="14" spans="1:14" x14ac:dyDescent="0.25">
      <c r="A14" s="169">
        <v>2</v>
      </c>
      <c r="B14" s="212" t="s">
        <v>51</v>
      </c>
      <c r="C14" s="191" t="s">
        <v>126</v>
      </c>
      <c r="D14" s="129">
        <v>43866</v>
      </c>
      <c r="E14" s="145">
        <v>7000</v>
      </c>
      <c r="F14" s="192"/>
      <c r="G14" s="192"/>
      <c r="H14" s="192"/>
      <c r="I14" s="192"/>
      <c r="J14" s="192"/>
      <c r="L14" s="1"/>
      <c r="M14" s="1"/>
      <c r="N14" s="1"/>
    </row>
    <row r="15" spans="1:14" outlineLevel="1" x14ac:dyDescent="0.25">
      <c r="A15" s="169">
        <v>3</v>
      </c>
      <c r="B15" s="210" t="s">
        <v>51</v>
      </c>
      <c r="C15" s="191" t="s">
        <v>138</v>
      </c>
      <c r="D15" s="129">
        <v>43873</v>
      </c>
      <c r="E15" s="145">
        <v>1500</v>
      </c>
      <c r="F15" s="192"/>
      <c r="G15" s="192"/>
      <c r="H15" s="192"/>
      <c r="I15" s="192"/>
      <c r="J15" s="192"/>
      <c r="L15" s="1"/>
      <c r="M15" s="1"/>
      <c r="N15" s="1"/>
    </row>
    <row r="16" spans="1:14" x14ac:dyDescent="0.25">
      <c r="A16" s="155" t="s">
        <v>17</v>
      </c>
      <c r="B16" s="156"/>
      <c r="C16" s="156" t="str">
        <f>"за "&amp;LOWER($A$13)</f>
        <v>за февраль</v>
      </c>
      <c r="D16" s="157">
        <f>COUNTA(фев_пр)</f>
        <v>2</v>
      </c>
      <c r="E16" s="158">
        <f>SUM(фев_кол)</f>
        <v>8500</v>
      </c>
      <c r="F16" s="159">
        <f>COUNTA(акт_вх_фев)+COUNTA(акт_отб_фев)</f>
        <v>0</v>
      </c>
      <c r="G16" s="188"/>
      <c r="H16" s="188"/>
      <c r="I16" s="188"/>
      <c r="J16" s="161">
        <f>SUM(кол_отб_фев)</f>
        <v>0</v>
      </c>
      <c r="L16" s="1"/>
      <c r="M16" s="1"/>
      <c r="N16" s="1"/>
    </row>
    <row r="17" spans="1:14" x14ac:dyDescent="0.25">
      <c r="A17" s="254" t="s">
        <v>7</v>
      </c>
      <c r="B17" s="254"/>
      <c r="C17" s="254"/>
      <c r="D17" s="254"/>
      <c r="E17" s="254"/>
      <c r="F17" s="254"/>
      <c r="G17" s="254"/>
      <c r="H17" s="254"/>
      <c r="I17" s="254"/>
      <c r="J17" s="254"/>
      <c r="L17" s="1"/>
      <c r="M17" s="1"/>
      <c r="N17" s="1"/>
    </row>
    <row r="18" spans="1:14" x14ac:dyDescent="0.25">
      <c r="A18" s="169">
        <v>4</v>
      </c>
      <c r="B18" s="148" t="s">
        <v>51</v>
      </c>
      <c r="C18" s="211" t="s">
        <v>163</v>
      </c>
      <c r="D18" s="172">
        <v>43901</v>
      </c>
      <c r="E18" s="173">
        <v>6000</v>
      </c>
      <c r="F18" s="192"/>
      <c r="G18" s="192"/>
      <c r="H18" s="192"/>
      <c r="I18" s="192"/>
      <c r="J18" s="192"/>
      <c r="L18" s="1"/>
      <c r="M18" s="1"/>
      <c r="N18" s="1"/>
    </row>
    <row r="19" spans="1:14" hidden="1" outlineLevel="1" x14ac:dyDescent="0.25">
      <c r="A19" s="192"/>
      <c r="B19" s="192"/>
      <c r="C19" s="221"/>
      <c r="D19" s="222"/>
      <c r="E19" s="192"/>
      <c r="F19" s="192"/>
      <c r="G19" s="192"/>
      <c r="H19" s="192"/>
      <c r="I19" s="192"/>
      <c r="J19" s="192"/>
      <c r="L19" s="1"/>
      <c r="M19" s="1"/>
      <c r="N19" s="1"/>
    </row>
    <row r="20" spans="1:14" hidden="1" outlineLevel="1" x14ac:dyDescent="0.25">
      <c r="A20" s="192"/>
      <c r="B20" s="192"/>
      <c r="C20" s="221"/>
      <c r="D20" s="222"/>
      <c r="E20" s="192"/>
      <c r="F20" s="192"/>
      <c r="G20" s="192"/>
      <c r="H20" s="192"/>
      <c r="I20" s="192"/>
      <c r="J20" s="192"/>
      <c r="L20" s="1"/>
      <c r="M20" s="1"/>
      <c r="N20" s="1"/>
    </row>
    <row r="21" spans="1:14" hidden="1" outlineLevel="1" x14ac:dyDescent="0.25">
      <c r="A21" s="192"/>
      <c r="B21" s="192"/>
      <c r="C21" s="221"/>
      <c r="D21" s="222"/>
      <c r="E21" s="192"/>
      <c r="F21" s="192"/>
      <c r="G21" s="192"/>
      <c r="H21" s="192"/>
      <c r="I21" s="192"/>
      <c r="J21" s="192"/>
      <c r="L21" s="1"/>
      <c r="M21" s="1"/>
      <c r="N21" s="1"/>
    </row>
    <row r="22" spans="1:14" hidden="1" outlineLevel="1" x14ac:dyDescent="0.25">
      <c r="A22" s="192"/>
      <c r="B22" s="192"/>
      <c r="C22" s="221"/>
      <c r="D22" s="222"/>
      <c r="E22" s="192"/>
      <c r="F22" s="192"/>
      <c r="G22" s="192"/>
      <c r="H22" s="192"/>
      <c r="I22" s="192"/>
      <c r="J22" s="192"/>
      <c r="L22" s="1"/>
      <c r="M22" s="1"/>
      <c r="N22" s="1"/>
    </row>
    <row r="23" spans="1:14" collapsed="1" x14ac:dyDescent="0.25">
      <c r="A23" s="155" t="s">
        <v>17</v>
      </c>
      <c r="B23" s="156"/>
      <c r="C23" s="156" t="str">
        <f>"за "&amp;LOWER($A$17)</f>
        <v>за март</v>
      </c>
      <c r="D23" s="157">
        <f>COUNTA(мрт_пр)</f>
        <v>1</v>
      </c>
      <c r="E23" s="158">
        <f>SUM(мрт_кол)</f>
        <v>6000</v>
      </c>
      <c r="F23" s="159">
        <f>COUNTA(акт_вх_мрт)+COUNTA(акт_отб_мрт)</f>
        <v>0</v>
      </c>
      <c r="G23" s="160"/>
      <c r="H23" s="160"/>
      <c r="I23" s="160"/>
      <c r="J23" s="161">
        <f>SUM(кол_отб_мрт)</f>
        <v>0</v>
      </c>
      <c r="L23" s="1"/>
      <c r="M23" s="1"/>
      <c r="N23" s="1"/>
    </row>
    <row r="24" spans="1:14" ht="31.5" customHeight="1" x14ac:dyDescent="0.25">
      <c r="A24" s="174" t="s">
        <v>17</v>
      </c>
      <c r="B24" s="175"/>
      <c r="C24" s="175" t="s">
        <v>18</v>
      </c>
      <c r="D24" s="176">
        <f>SUM(D12,D16,D23)</f>
        <v>4</v>
      </c>
      <c r="E24" s="177">
        <f>SUM(E12,E16,E23)</f>
        <v>20000</v>
      </c>
      <c r="F24" s="178">
        <f>SUM(F12,F16,F23)</f>
        <v>0</v>
      </c>
      <c r="G24" s="175"/>
      <c r="H24" s="175" t="str">
        <f>"Кп= "&amp;ROUNDDOWN((F24/D24)*100,1)&amp;"%"</f>
        <v>Кп= 0%</v>
      </c>
      <c r="I24" s="175" t="str">
        <f>"Км= "&amp;ROUNDDOWN((J24/E24)*100,2)&amp;"%"</f>
        <v>Км= 0%</v>
      </c>
      <c r="J24" s="179">
        <f>SUM(J12,J16,J23)</f>
        <v>0</v>
      </c>
      <c r="L24" s="1"/>
      <c r="M24" s="1"/>
      <c r="N24" s="1"/>
    </row>
    <row r="25" spans="1:14" s="76" customFormat="1" ht="31.5" hidden="1" customHeight="1" outlineLevel="1" x14ac:dyDescent="0.25">
      <c r="A25" s="155" t="s">
        <v>20</v>
      </c>
      <c r="B25" s="156"/>
      <c r="C25" s="156"/>
      <c r="D25" s="201"/>
      <c r="E25" s="156"/>
      <c r="F25" s="156"/>
      <c r="G25" s="156" t="s">
        <v>21</v>
      </c>
      <c r="H25" s="156"/>
      <c r="I25" s="156"/>
      <c r="J25" s="202"/>
      <c r="L25" s="133"/>
      <c r="M25" s="133"/>
      <c r="N25" s="133"/>
    </row>
    <row r="26" spans="1:14" s="76" customFormat="1" collapsed="1" x14ac:dyDescent="0.25">
      <c r="A26" s="253" t="s">
        <v>8</v>
      </c>
      <c r="B26" s="253"/>
      <c r="C26" s="253"/>
      <c r="D26" s="253"/>
      <c r="E26" s="253"/>
      <c r="F26" s="253"/>
      <c r="G26" s="253"/>
      <c r="H26" s="253"/>
      <c r="I26" s="253"/>
      <c r="J26" s="253"/>
      <c r="L26" s="133"/>
      <c r="M26" s="133"/>
      <c r="N26" s="133"/>
    </row>
    <row r="27" spans="1:14" s="76" customFormat="1" x14ac:dyDescent="0.25">
      <c r="A27" s="214">
        <v>5</v>
      </c>
      <c r="B27" s="212" t="s">
        <v>51</v>
      </c>
      <c r="C27" s="128" t="s">
        <v>231</v>
      </c>
      <c r="D27" s="129">
        <v>43927</v>
      </c>
      <c r="E27" s="130">
        <v>9500</v>
      </c>
      <c r="F27" s="214"/>
      <c r="G27" s="214"/>
      <c r="H27" s="214"/>
      <c r="I27" s="214"/>
      <c r="J27" s="214"/>
      <c r="L27" s="133"/>
      <c r="M27" s="133"/>
      <c r="N27" s="133"/>
    </row>
    <row r="28" spans="1:14" s="76" customFormat="1" hidden="1" outlineLevel="1" x14ac:dyDescent="0.25">
      <c r="A28" s="214"/>
      <c r="B28" s="214"/>
      <c r="C28" s="214"/>
      <c r="D28" s="214"/>
      <c r="E28" s="214"/>
      <c r="F28" s="214"/>
      <c r="G28" s="214"/>
      <c r="H28" s="214"/>
      <c r="I28" s="214"/>
      <c r="J28" s="214"/>
      <c r="L28" s="133"/>
      <c r="M28" s="133"/>
      <c r="N28" s="133"/>
    </row>
    <row r="29" spans="1:14" s="76" customFormat="1" hidden="1" outlineLevel="1" x14ac:dyDescent="0.25">
      <c r="A29" s="214"/>
      <c r="B29" s="214"/>
      <c r="C29" s="214"/>
      <c r="D29" s="214"/>
      <c r="E29" s="214"/>
      <c r="F29" s="214"/>
      <c r="G29" s="214"/>
      <c r="H29" s="214"/>
      <c r="I29" s="214"/>
      <c r="J29" s="214"/>
      <c r="L29" s="133"/>
      <c r="M29" s="133"/>
      <c r="N29" s="133"/>
    </row>
    <row r="30" spans="1:14" s="76" customFormat="1" hidden="1" outlineLevel="1" x14ac:dyDescent="0.25">
      <c r="A30" s="214"/>
      <c r="B30" s="214"/>
      <c r="C30" s="214"/>
      <c r="D30" s="214"/>
      <c r="E30" s="214"/>
      <c r="F30" s="214"/>
      <c r="G30" s="214"/>
      <c r="H30" s="214"/>
      <c r="I30" s="214"/>
      <c r="J30" s="214"/>
      <c r="L30" s="133"/>
      <c r="M30" s="133"/>
      <c r="N30" s="133"/>
    </row>
    <row r="31" spans="1:14" s="76" customFormat="1" hidden="1" outlineLevel="1" x14ac:dyDescent="0.25">
      <c r="A31" s="170"/>
      <c r="B31" s="170"/>
      <c r="C31" s="170"/>
      <c r="D31" s="213"/>
      <c r="E31" s="170"/>
      <c r="F31" s="170"/>
      <c r="G31" s="170"/>
      <c r="H31" s="170"/>
      <c r="I31" s="170"/>
      <c r="J31" s="170"/>
      <c r="L31" s="133"/>
      <c r="M31" s="133"/>
      <c r="N31" s="133"/>
    </row>
    <row r="32" spans="1:14" s="76" customFormat="1" collapsed="1" x14ac:dyDescent="0.25">
      <c r="A32" s="155" t="s">
        <v>17</v>
      </c>
      <c r="B32" s="156"/>
      <c r="C32" s="156" t="str">
        <f>"за "&amp;LOWER($A$26)</f>
        <v>за апрель</v>
      </c>
      <c r="D32" s="157">
        <f>COUNTA(апр_пр)</f>
        <v>1</v>
      </c>
      <c r="E32" s="158">
        <f>SUM(апр_кол)</f>
        <v>9500</v>
      </c>
      <c r="F32" s="159">
        <f>COUNTA(акт_вх_апр)+COUNTA(акт_отб_апр)</f>
        <v>0</v>
      </c>
      <c r="G32" s="160"/>
      <c r="H32" s="160"/>
      <c r="I32" s="160"/>
      <c r="J32" s="161">
        <f>SUM(кол_отб_апр)</f>
        <v>0</v>
      </c>
      <c r="L32" s="133"/>
      <c r="M32" s="133"/>
      <c r="N32" s="133"/>
    </row>
    <row r="33" spans="1:14" s="76" customFormat="1" x14ac:dyDescent="0.25">
      <c r="A33" s="254" t="s">
        <v>9</v>
      </c>
      <c r="B33" s="254"/>
      <c r="C33" s="254"/>
      <c r="D33" s="254"/>
      <c r="E33" s="254"/>
      <c r="F33" s="254"/>
      <c r="G33" s="254"/>
      <c r="H33" s="254"/>
      <c r="I33" s="254"/>
      <c r="J33" s="254"/>
      <c r="L33" s="133"/>
      <c r="M33" s="133"/>
      <c r="N33" s="133"/>
    </row>
    <row r="34" spans="1:14" s="76" customFormat="1" x14ac:dyDescent="0.25">
      <c r="A34" s="169">
        <v>6</v>
      </c>
      <c r="B34" s="151" t="s">
        <v>51</v>
      </c>
      <c r="C34" s="152" t="s">
        <v>185</v>
      </c>
      <c r="D34" s="153">
        <v>43963</v>
      </c>
      <c r="E34" s="147">
        <v>6000</v>
      </c>
      <c r="F34" s="215"/>
      <c r="G34" s="215"/>
      <c r="H34" s="215"/>
      <c r="I34" s="215"/>
      <c r="J34" s="215"/>
      <c r="L34" s="133"/>
      <c r="M34" s="133"/>
      <c r="N34" s="133"/>
    </row>
    <row r="35" spans="1:14" s="76" customFormat="1" hidden="1" outlineLevel="1" x14ac:dyDescent="0.25">
      <c r="A35" s="166"/>
      <c r="B35" s="166"/>
      <c r="C35" s="166"/>
      <c r="D35" s="166"/>
      <c r="E35" s="166"/>
      <c r="F35" s="166"/>
      <c r="G35" s="166"/>
      <c r="H35" s="166"/>
      <c r="I35" s="166"/>
      <c r="J35" s="166"/>
      <c r="L35" s="133"/>
      <c r="M35" s="133"/>
      <c r="N35" s="133"/>
    </row>
    <row r="36" spans="1:14" s="76" customFormat="1" hidden="1" outlineLevel="1" x14ac:dyDescent="0.25">
      <c r="A36" s="166"/>
      <c r="B36" s="166"/>
      <c r="C36" s="166"/>
      <c r="D36" s="166"/>
      <c r="E36" s="166"/>
      <c r="F36" s="166"/>
      <c r="G36" s="166"/>
      <c r="H36" s="166"/>
      <c r="I36" s="166"/>
      <c r="J36" s="166"/>
      <c r="L36" s="133"/>
      <c r="M36" s="133"/>
      <c r="N36" s="133"/>
    </row>
    <row r="37" spans="1:14" s="76" customFormat="1" hidden="1" outlineLevel="1" x14ac:dyDescent="0.25">
      <c r="A37" s="166"/>
      <c r="B37" s="166"/>
      <c r="C37" s="166"/>
      <c r="D37" s="166"/>
      <c r="E37" s="166"/>
      <c r="F37" s="166"/>
      <c r="G37" s="166"/>
      <c r="H37" s="166"/>
      <c r="I37" s="166"/>
      <c r="J37" s="166"/>
      <c r="L37" s="133"/>
      <c r="M37" s="133"/>
      <c r="N37" s="133"/>
    </row>
    <row r="38" spans="1:14" s="76" customFormat="1" hidden="1" outlineLevel="1" x14ac:dyDescent="0.25">
      <c r="A38" s="168"/>
      <c r="B38" s="168"/>
      <c r="C38" s="168"/>
      <c r="D38" s="224"/>
      <c r="E38" s="168"/>
      <c r="F38" s="168"/>
      <c r="G38" s="168"/>
      <c r="H38" s="168"/>
      <c r="I38" s="168"/>
      <c r="J38" s="168"/>
    </row>
    <row r="39" spans="1:14" s="76" customFormat="1" collapsed="1" x14ac:dyDescent="0.25">
      <c r="A39" s="155" t="s">
        <v>17</v>
      </c>
      <c r="B39" s="156"/>
      <c r="C39" s="156" t="str">
        <f>"за "&amp;LOWER($A$33)</f>
        <v>за май</v>
      </c>
      <c r="D39" s="157">
        <f>COUNTA(май_пр)</f>
        <v>1</v>
      </c>
      <c r="E39" s="158">
        <f>SUM(май_кол)</f>
        <v>6000</v>
      </c>
      <c r="F39" s="159">
        <f>COUNTA(акт_вх_май)+COUNTA(акт_отб_май)</f>
        <v>0</v>
      </c>
      <c r="G39" s="160"/>
      <c r="H39" s="160"/>
      <c r="I39" s="160"/>
      <c r="J39" s="161">
        <f>SUM(кол_отб_май)</f>
        <v>0</v>
      </c>
    </row>
    <row r="40" spans="1:14" s="76" customFormat="1" x14ac:dyDescent="0.25">
      <c r="A40" s="254" t="s">
        <v>10</v>
      </c>
      <c r="B40" s="254"/>
      <c r="C40" s="254"/>
      <c r="D40" s="254"/>
      <c r="E40" s="254"/>
      <c r="F40" s="254"/>
      <c r="G40" s="254"/>
      <c r="H40" s="254"/>
      <c r="I40" s="254"/>
      <c r="J40" s="254"/>
    </row>
    <row r="41" spans="1:14" s="76" customFormat="1" x14ac:dyDescent="0.25">
      <c r="A41" s="169">
        <v>7</v>
      </c>
      <c r="B41" s="151" t="s">
        <v>51</v>
      </c>
      <c r="C41" s="152" t="s">
        <v>208</v>
      </c>
      <c r="D41" s="153">
        <v>43986</v>
      </c>
      <c r="E41" s="165">
        <v>8000</v>
      </c>
      <c r="F41" s="170"/>
      <c r="G41" s="170"/>
      <c r="H41" s="170"/>
      <c r="I41" s="170"/>
      <c r="J41" s="170"/>
    </row>
    <row r="42" spans="1:14" s="76" customFormat="1" hidden="1" outlineLevel="1" x14ac:dyDescent="0.25">
      <c r="A42" s="170"/>
      <c r="B42" s="170"/>
      <c r="C42" s="170"/>
      <c r="D42" s="213"/>
      <c r="E42" s="170"/>
      <c r="F42" s="170"/>
      <c r="G42" s="170"/>
      <c r="H42" s="170"/>
      <c r="I42" s="170"/>
      <c r="J42" s="170"/>
    </row>
    <row r="43" spans="1:14" s="76" customFormat="1" hidden="1" outlineLevel="1" x14ac:dyDescent="0.25">
      <c r="A43" s="170"/>
      <c r="B43" s="170"/>
      <c r="C43" s="170"/>
      <c r="D43" s="213"/>
      <c r="E43" s="170"/>
      <c r="F43" s="170"/>
      <c r="G43" s="170"/>
      <c r="H43" s="170"/>
      <c r="I43" s="170"/>
      <c r="J43" s="170"/>
    </row>
    <row r="44" spans="1:14" s="76" customFormat="1" hidden="1" outlineLevel="1" x14ac:dyDescent="0.25">
      <c r="A44" s="170"/>
      <c r="B44" s="170"/>
      <c r="C44" s="170"/>
      <c r="D44" s="213"/>
      <c r="E44" s="170"/>
      <c r="F44" s="170"/>
      <c r="G44" s="170"/>
      <c r="H44" s="170"/>
      <c r="I44" s="170"/>
      <c r="J44" s="170"/>
    </row>
    <row r="45" spans="1:14" s="76" customFormat="1" hidden="1" outlineLevel="1" x14ac:dyDescent="0.25">
      <c r="A45" s="170"/>
      <c r="B45" s="170"/>
      <c r="C45" s="170"/>
      <c r="D45" s="213"/>
      <c r="E45" s="170"/>
      <c r="F45" s="170"/>
      <c r="G45" s="170"/>
      <c r="H45" s="170"/>
      <c r="I45" s="170"/>
      <c r="J45" s="170"/>
    </row>
    <row r="46" spans="1:14" s="76" customFormat="1" collapsed="1" x14ac:dyDescent="0.25">
      <c r="A46" s="155" t="s">
        <v>17</v>
      </c>
      <c r="B46" s="156"/>
      <c r="C46" s="156" t="str">
        <f>"за "&amp;LOWER($A$40)</f>
        <v>за июнь</v>
      </c>
      <c r="D46" s="157">
        <f>COUNTA(июн_пр)</f>
        <v>1</v>
      </c>
      <c r="E46" s="158">
        <f>SUM(июн_кол)</f>
        <v>8000</v>
      </c>
      <c r="F46" s="159">
        <f>COUNTA(акт_вх_июн)+COUNTA(акт_отб_июн)</f>
        <v>0</v>
      </c>
      <c r="G46" s="160"/>
      <c r="H46" s="160"/>
      <c r="I46" s="160"/>
      <c r="J46" s="161">
        <f>SUM(кол_отб_июн)</f>
        <v>0</v>
      </c>
    </row>
    <row r="47" spans="1:14" ht="31.5" customHeight="1" x14ac:dyDescent="0.25">
      <c r="A47" s="174" t="s">
        <v>17</v>
      </c>
      <c r="B47" s="175"/>
      <c r="C47" s="175" t="s">
        <v>109</v>
      </c>
      <c r="D47" s="176">
        <f>SUM(D32,D39,D46)</f>
        <v>3</v>
      </c>
      <c r="E47" s="177">
        <f>SUM(E32,E39,E46)</f>
        <v>23500</v>
      </c>
      <c r="F47" s="178">
        <f>SUM(F32,F39,F46)</f>
        <v>0</v>
      </c>
      <c r="G47" s="175"/>
      <c r="H47" s="175" t="str">
        <f>"Кп= "&amp;ROUNDDOWN((F47/D47)*100,1)&amp;"%"</f>
        <v>Кп= 0%</v>
      </c>
      <c r="I47" s="175" t="str">
        <f>"Км= "&amp;ROUNDDOWN((J47/E47)*100,2)&amp;"%"</f>
        <v>Км= 0%</v>
      </c>
      <c r="J47" s="179">
        <f>SUM(J32,J39,J46)</f>
        <v>0</v>
      </c>
    </row>
    <row r="48" spans="1:14" ht="31.5" customHeight="1" x14ac:dyDescent="0.25">
      <c r="A48" s="174" t="s">
        <v>17</v>
      </c>
      <c r="B48" s="175"/>
      <c r="C48" s="175" t="s">
        <v>110</v>
      </c>
      <c r="D48" s="176">
        <f>SUM(D24,D47)</f>
        <v>7</v>
      </c>
      <c r="E48" s="177">
        <f>SUM(E47,E24)</f>
        <v>43500</v>
      </c>
      <c r="F48" s="178">
        <f>SUM(F47,F24)</f>
        <v>0</v>
      </c>
      <c r="G48" s="175"/>
      <c r="H48" s="175" t="str">
        <f>"Кп= "&amp;ROUNDDOWN((F48/D48)*100,1)&amp;"%"</f>
        <v>Кп= 0%</v>
      </c>
      <c r="I48" s="175" t="str">
        <f>"Км= "&amp;ROUNDDOWN((J48/E48)*100,2)&amp;"%"</f>
        <v>Км= 0%</v>
      </c>
      <c r="J48" s="179">
        <f>SUM(J47,J24)</f>
        <v>0</v>
      </c>
    </row>
    <row r="49" spans="1:10" x14ac:dyDescent="0.25">
      <c r="A49" s="266" t="s">
        <v>11</v>
      </c>
      <c r="B49" s="266"/>
      <c r="C49" s="266"/>
      <c r="D49" s="266"/>
      <c r="E49" s="266"/>
      <c r="F49" s="266"/>
      <c r="G49" s="266"/>
      <c r="H49" s="266"/>
      <c r="I49" s="266"/>
      <c r="J49" s="266"/>
    </row>
    <row r="50" spans="1:10" s="76" customFormat="1" x14ac:dyDescent="0.25">
      <c r="A50" s="169">
        <v>8</v>
      </c>
      <c r="B50" s="151" t="s">
        <v>51</v>
      </c>
      <c r="C50" s="225" t="s">
        <v>222</v>
      </c>
      <c r="D50" s="226">
        <v>44014</v>
      </c>
      <c r="E50" s="227" t="s">
        <v>223</v>
      </c>
      <c r="F50" s="170"/>
      <c r="G50" s="170"/>
      <c r="H50" s="170"/>
      <c r="I50" s="170"/>
      <c r="J50" s="170"/>
    </row>
    <row r="51" spans="1:10" s="76" customFormat="1" x14ac:dyDescent="0.25">
      <c r="A51" s="155" t="s">
        <v>17</v>
      </c>
      <c r="B51" s="156"/>
      <c r="C51" s="156" t="str">
        <f>"за "&amp;LOWER($A$49)</f>
        <v>за июль</v>
      </c>
      <c r="D51" s="157">
        <f>COUNTA(июл_пр)</f>
        <v>1</v>
      </c>
      <c r="E51" s="158">
        <v>9500</v>
      </c>
      <c r="F51" s="159">
        <f>COUNTA(акт_вх_июл)+COUNTA(акт_отб_июл)</f>
        <v>0</v>
      </c>
      <c r="G51" s="160"/>
      <c r="H51" s="160"/>
      <c r="I51" s="160"/>
      <c r="J51" s="161">
        <f>SUM(кол_отб_июл)</f>
        <v>0</v>
      </c>
    </row>
    <row r="52" spans="1:10" s="76" customFormat="1" x14ac:dyDescent="0.25">
      <c r="A52" s="254" t="s">
        <v>13</v>
      </c>
      <c r="B52" s="254"/>
      <c r="C52" s="254"/>
      <c r="D52" s="254"/>
      <c r="E52" s="254"/>
      <c r="F52" s="254"/>
      <c r="G52" s="254"/>
      <c r="H52" s="254"/>
      <c r="I52" s="254"/>
      <c r="J52" s="254"/>
    </row>
    <row r="53" spans="1:10" s="76" customFormat="1" x14ac:dyDescent="0.25">
      <c r="A53" s="169">
        <v>9</v>
      </c>
      <c r="B53" s="212" t="s">
        <v>51</v>
      </c>
      <c r="C53" s="128" t="s">
        <v>231</v>
      </c>
      <c r="D53" s="129">
        <v>44048</v>
      </c>
      <c r="E53" s="130">
        <v>5500</v>
      </c>
      <c r="F53" s="170"/>
      <c r="G53" s="170"/>
      <c r="H53" s="170"/>
      <c r="I53" s="170"/>
      <c r="J53" s="170"/>
    </row>
    <row r="54" spans="1:10" s="76" customFormat="1" x14ac:dyDescent="0.25">
      <c r="A54" s="155" t="s">
        <v>17</v>
      </c>
      <c r="B54" s="156"/>
      <c r="C54" s="156" t="str">
        <f>"за "&amp;LOWER($A$52)</f>
        <v>за август</v>
      </c>
      <c r="D54" s="157">
        <f>COUNTA(авг_пр)</f>
        <v>1</v>
      </c>
      <c r="E54" s="158">
        <f>SUM(авг_кол)</f>
        <v>5500</v>
      </c>
      <c r="F54" s="159">
        <f>COUNTA(акт_вх_авг)+COUNTA(акт_отб_авг)</f>
        <v>0</v>
      </c>
      <c r="G54" s="160"/>
      <c r="H54" s="160"/>
      <c r="I54" s="160"/>
      <c r="J54" s="161">
        <f>SUM(кол_отб_авг)</f>
        <v>0</v>
      </c>
    </row>
    <row r="55" spans="1:10" s="76" customFormat="1" x14ac:dyDescent="0.25">
      <c r="A55" s="254" t="s">
        <v>12</v>
      </c>
      <c r="B55" s="254"/>
      <c r="C55" s="254"/>
      <c r="D55" s="254"/>
      <c r="E55" s="254"/>
      <c r="F55" s="254"/>
      <c r="G55" s="254"/>
      <c r="H55" s="254"/>
      <c r="I55" s="254"/>
      <c r="J55" s="254"/>
    </row>
    <row r="56" spans="1:10" s="76" customFormat="1" x14ac:dyDescent="0.25">
      <c r="A56" s="169">
        <v>10</v>
      </c>
      <c r="B56" s="148" t="s">
        <v>51</v>
      </c>
      <c r="C56" s="211" t="s">
        <v>276</v>
      </c>
      <c r="D56" s="172">
        <v>44077</v>
      </c>
      <c r="E56" s="146">
        <v>15000</v>
      </c>
      <c r="F56" s="170"/>
      <c r="G56" s="170"/>
      <c r="H56" s="170"/>
      <c r="I56" s="170"/>
      <c r="J56" s="170"/>
    </row>
    <row r="57" spans="1:10" s="76" customFormat="1" x14ac:dyDescent="0.25">
      <c r="A57" s="155" t="s">
        <v>17</v>
      </c>
      <c r="B57" s="156"/>
      <c r="C57" s="156" t="str">
        <f>"за "&amp;LOWER($A$55)</f>
        <v>за сентябрь</v>
      </c>
      <c r="D57" s="157">
        <f>COUNTA(снт_пр)</f>
        <v>1</v>
      </c>
      <c r="E57" s="158">
        <f>SUM(снт_кол)</f>
        <v>15000</v>
      </c>
      <c r="F57" s="159">
        <f>COUNTA(акт_вх_снт)+COUNTA(акт_отб_снт)</f>
        <v>0</v>
      </c>
      <c r="G57" s="160"/>
      <c r="H57" s="160"/>
      <c r="I57" s="160"/>
      <c r="J57" s="161">
        <f>SUM(кол_отб_снт)</f>
        <v>0</v>
      </c>
    </row>
    <row r="58" spans="1:10" s="76" customFormat="1" ht="30" customHeight="1" x14ac:dyDescent="0.25">
      <c r="A58" s="174" t="s">
        <v>17</v>
      </c>
      <c r="B58" s="175"/>
      <c r="C58" s="175" t="s">
        <v>111</v>
      </c>
      <c r="D58" s="176">
        <f>SUM(D51,D54,D57)</f>
        <v>3</v>
      </c>
      <c r="E58" s="177">
        <f>SUM(E51,E54,E57)</f>
        <v>30000</v>
      </c>
      <c r="F58" s="178">
        <f>SUM(F51,F54,F57)</f>
        <v>0</v>
      </c>
      <c r="G58" s="175"/>
      <c r="H58" s="175" t="str">
        <f>"Кп= "&amp;ROUNDDOWN((F58/D58)*100,1)&amp;"%"</f>
        <v>Кп= 0%</v>
      </c>
      <c r="I58" s="175" t="str">
        <f>"Км= "&amp;ROUNDDOWN((J58/E58)*100,2)&amp;"%"</f>
        <v>Км= 0%</v>
      </c>
      <c r="J58" s="179">
        <f>SUM(J51,J54,J57)</f>
        <v>0</v>
      </c>
    </row>
    <row r="59" spans="1:10" s="76" customFormat="1" ht="30" customHeight="1" x14ac:dyDescent="0.25">
      <c r="A59" s="174" t="s">
        <v>17</v>
      </c>
      <c r="B59" s="175"/>
      <c r="C59" s="175" t="s">
        <v>113</v>
      </c>
      <c r="D59" s="176">
        <f>SUM(D48,D58)</f>
        <v>10</v>
      </c>
      <c r="E59" s="177">
        <f>SUM(E58,E48)</f>
        <v>73500</v>
      </c>
      <c r="F59" s="178">
        <f>SUM(F58,F48)</f>
        <v>0</v>
      </c>
      <c r="G59" s="175"/>
      <c r="H59" s="175" t="str">
        <f>"Кп= "&amp;ROUNDDOWN((F59/D59)*100,1)&amp;"%"</f>
        <v>Кп= 0%</v>
      </c>
      <c r="I59" s="175" t="str">
        <f>"Км= "&amp;ROUNDDOWN((J59/E59)*100,2)&amp;"%"</f>
        <v>Км= 0%</v>
      </c>
      <c r="J59" s="179">
        <f>SUM(J58,J48)</f>
        <v>0</v>
      </c>
    </row>
    <row r="60" spans="1:10" s="76" customFormat="1" ht="24.75" hidden="1" customHeight="1" outlineLevel="1" x14ac:dyDescent="0.25">
      <c r="A60" s="155" t="s">
        <v>20</v>
      </c>
      <c r="B60" s="156"/>
      <c r="C60" s="156"/>
      <c r="D60" s="201"/>
      <c r="E60" s="156"/>
      <c r="F60" s="156"/>
      <c r="G60" s="156" t="s">
        <v>21</v>
      </c>
      <c r="H60" s="156"/>
      <c r="I60" s="156"/>
      <c r="J60" s="202"/>
    </row>
    <row r="61" spans="1:10" ht="15" customHeight="1" collapsed="1" x14ac:dyDescent="0.25">
      <c r="A61" s="266" t="s">
        <v>14</v>
      </c>
      <c r="B61" s="266"/>
      <c r="C61" s="266"/>
      <c r="D61" s="266"/>
      <c r="E61" s="266"/>
      <c r="F61" s="266"/>
      <c r="G61" s="266"/>
      <c r="H61" s="266"/>
      <c r="I61" s="266"/>
      <c r="J61" s="266"/>
    </row>
    <row r="62" spans="1:10" s="76" customFormat="1" x14ac:dyDescent="0.25">
      <c r="A62" s="169">
        <v>11</v>
      </c>
      <c r="B62" s="212" t="s">
        <v>381</v>
      </c>
      <c r="C62" s="128" t="s">
        <v>368</v>
      </c>
      <c r="D62" s="129" t="s">
        <v>383</v>
      </c>
      <c r="E62" s="130" t="s">
        <v>382</v>
      </c>
      <c r="F62" s="170"/>
      <c r="G62" s="170"/>
      <c r="H62" s="170"/>
      <c r="I62" s="170"/>
      <c r="J62" s="170"/>
    </row>
    <row r="63" spans="1:10" s="76" customFormat="1" hidden="1" outlineLevel="1" x14ac:dyDescent="0.25">
      <c r="A63" s="170"/>
      <c r="B63" s="170"/>
      <c r="C63" s="170"/>
      <c r="D63" s="213"/>
      <c r="E63" s="170"/>
      <c r="F63" s="170"/>
      <c r="G63" s="170"/>
      <c r="H63" s="170"/>
      <c r="I63" s="170"/>
      <c r="J63" s="170"/>
    </row>
    <row r="64" spans="1:10" s="76" customFormat="1" hidden="1" outlineLevel="1" x14ac:dyDescent="0.25">
      <c r="A64" s="170"/>
      <c r="B64" s="170"/>
      <c r="C64" s="170"/>
      <c r="D64" s="213"/>
      <c r="E64" s="170"/>
      <c r="F64" s="170"/>
      <c r="G64" s="170"/>
      <c r="H64" s="170"/>
      <c r="I64" s="170"/>
      <c r="J64" s="170"/>
    </row>
    <row r="65" spans="1:10" s="76" customFormat="1" hidden="1" outlineLevel="1" x14ac:dyDescent="0.25">
      <c r="A65" s="170"/>
      <c r="B65" s="170"/>
      <c r="C65" s="170"/>
      <c r="D65" s="213"/>
      <c r="E65" s="170"/>
      <c r="F65" s="170"/>
      <c r="G65" s="170"/>
      <c r="H65" s="170"/>
      <c r="I65" s="170"/>
      <c r="J65" s="170"/>
    </row>
    <row r="66" spans="1:10" s="76" customFormat="1" hidden="1" outlineLevel="1" x14ac:dyDescent="0.25">
      <c r="A66" s="170"/>
      <c r="B66" s="170"/>
      <c r="C66" s="170"/>
      <c r="D66" s="213"/>
      <c r="E66" s="170"/>
      <c r="F66" s="170"/>
      <c r="G66" s="170"/>
      <c r="H66" s="170"/>
      <c r="I66" s="170"/>
      <c r="J66" s="170"/>
    </row>
    <row r="67" spans="1:10" s="76" customFormat="1" collapsed="1" x14ac:dyDescent="0.25">
      <c r="A67" s="155" t="s">
        <v>17</v>
      </c>
      <c r="B67" s="156"/>
      <c r="C67" s="156" t="str">
        <f>"за "&amp;LOWER($A$61)</f>
        <v>за октябрь</v>
      </c>
      <c r="D67" s="157">
        <f>COUNTA(окт_пр)</f>
        <v>1</v>
      </c>
      <c r="E67" s="158">
        <f>SUM(окт_кол)</f>
        <v>0</v>
      </c>
      <c r="F67" s="159">
        <f>COUNTA(акт_вх_окт)+COUNTA(акт_отб_окт)</f>
        <v>0</v>
      </c>
      <c r="G67" s="160"/>
      <c r="H67" s="160"/>
      <c r="I67" s="160"/>
      <c r="J67" s="161">
        <f>SUM(кол_отб_окт)</f>
        <v>0</v>
      </c>
    </row>
    <row r="68" spans="1:10" s="76" customFormat="1" x14ac:dyDescent="0.25">
      <c r="A68" s="254" t="s">
        <v>15</v>
      </c>
      <c r="B68" s="254"/>
      <c r="C68" s="254"/>
      <c r="D68" s="254"/>
      <c r="E68" s="254"/>
      <c r="F68" s="254"/>
      <c r="G68" s="254"/>
      <c r="H68" s="254"/>
      <c r="I68" s="254"/>
      <c r="J68" s="254"/>
    </row>
    <row r="69" spans="1:10" s="76" customFormat="1" x14ac:dyDescent="0.25">
      <c r="A69" s="169">
        <v>12</v>
      </c>
      <c r="B69" s="151" t="s">
        <v>51</v>
      </c>
      <c r="C69" s="152" t="s">
        <v>315</v>
      </c>
      <c r="D69" s="153">
        <v>44141</v>
      </c>
      <c r="E69" s="147">
        <v>6000</v>
      </c>
      <c r="F69" s="170"/>
      <c r="G69" s="170"/>
      <c r="H69" s="170"/>
      <c r="I69" s="170"/>
      <c r="J69" s="170"/>
    </row>
    <row r="70" spans="1:10" s="76" customFormat="1" outlineLevel="1" x14ac:dyDescent="0.25">
      <c r="A70" s="169">
        <v>13</v>
      </c>
      <c r="B70" s="151" t="s">
        <v>51</v>
      </c>
      <c r="C70" s="152" t="s">
        <v>324</v>
      </c>
      <c r="D70" s="153">
        <v>44155</v>
      </c>
      <c r="E70" s="147">
        <v>2000</v>
      </c>
      <c r="F70" s="170"/>
      <c r="G70" s="170"/>
      <c r="H70" s="170"/>
      <c r="I70" s="170"/>
      <c r="J70" s="170"/>
    </row>
    <row r="71" spans="1:10" s="76" customFormat="1" x14ac:dyDescent="0.25">
      <c r="A71" s="155" t="s">
        <v>17</v>
      </c>
      <c r="B71" s="156"/>
      <c r="C71" s="156" t="str">
        <f>"за "&amp;LOWER($A$68)</f>
        <v>за ноябрь</v>
      </c>
      <c r="D71" s="157">
        <f>COUNTA(нбр_пр)</f>
        <v>2</v>
      </c>
      <c r="E71" s="158">
        <f>SUM(нбр_кол)</f>
        <v>8000</v>
      </c>
      <c r="F71" s="159">
        <f>COUNTA(акт_вх_нбр)+COUNTA(акт_отб_нбр)</f>
        <v>0</v>
      </c>
      <c r="G71" s="160"/>
      <c r="H71" s="160"/>
      <c r="I71" s="160"/>
      <c r="J71" s="161">
        <f>SUM(кол_отб_нбр)</f>
        <v>0</v>
      </c>
    </row>
    <row r="72" spans="1:10" s="76" customFormat="1" x14ac:dyDescent="0.25">
      <c r="A72" s="254" t="s">
        <v>16</v>
      </c>
      <c r="B72" s="254"/>
      <c r="C72" s="254"/>
      <c r="D72" s="254"/>
      <c r="E72" s="254"/>
      <c r="F72" s="254"/>
      <c r="G72" s="254"/>
      <c r="H72" s="254"/>
      <c r="I72" s="254"/>
      <c r="J72" s="254"/>
    </row>
    <row r="73" spans="1:10" s="76" customFormat="1" x14ac:dyDescent="0.25">
      <c r="A73" s="169">
        <v>14</v>
      </c>
      <c r="B73" s="148" t="s">
        <v>51</v>
      </c>
      <c r="C73" s="211" t="s">
        <v>315</v>
      </c>
      <c r="D73" s="172">
        <v>44174</v>
      </c>
      <c r="E73" s="146">
        <v>3000</v>
      </c>
      <c r="F73" s="170"/>
      <c r="G73" s="170"/>
      <c r="H73" s="170"/>
      <c r="I73" s="170"/>
      <c r="J73" s="170"/>
    </row>
    <row r="74" spans="1:10" s="76" customFormat="1" hidden="1" outlineLevel="1" x14ac:dyDescent="0.25">
      <c r="A74" s="135"/>
      <c r="B74" s="135"/>
      <c r="C74" s="135"/>
      <c r="D74" s="135"/>
      <c r="E74" s="135"/>
      <c r="F74" s="135"/>
      <c r="G74" s="135"/>
      <c r="H74" s="135"/>
      <c r="I74" s="135"/>
      <c r="J74" s="135"/>
    </row>
    <row r="75" spans="1:10" s="76" customFormat="1" hidden="1" outlineLevel="1" x14ac:dyDescent="0.25">
      <c r="A75" s="135"/>
      <c r="B75" s="135"/>
      <c r="C75" s="135"/>
      <c r="D75" s="135"/>
      <c r="E75" s="135"/>
      <c r="F75" s="135"/>
      <c r="G75" s="135"/>
      <c r="H75" s="135"/>
      <c r="I75" s="135"/>
      <c r="J75" s="135"/>
    </row>
    <row r="76" spans="1:10" s="76" customFormat="1" hidden="1" outlineLevel="1" x14ac:dyDescent="0.25">
      <c r="A76" s="135"/>
      <c r="B76" s="135"/>
      <c r="C76" s="135"/>
      <c r="D76" s="135"/>
      <c r="E76" s="135"/>
      <c r="F76" s="135"/>
      <c r="G76" s="135"/>
      <c r="H76" s="135"/>
      <c r="I76" s="135"/>
      <c r="J76" s="135"/>
    </row>
    <row r="77" spans="1:10" s="76" customFormat="1" hidden="1" outlineLevel="1" x14ac:dyDescent="0.25">
      <c r="A77" s="135"/>
      <c r="B77" s="135"/>
      <c r="C77" s="135"/>
      <c r="D77" s="135"/>
      <c r="E77" s="135"/>
      <c r="F77" s="135"/>
      <c r="G77" s="135"/>
      <c r="H77" s="135"/>
      <c r="I77" s="135"/>
      <c r="J77" s="135"/>
    </row>
    <row r="78" spans="1:10" s="76" customFormat="1" collapsed="1" x14ac:dyDescent="0.25">
      <c r="A78" s="91" t="s">
        <v>17</v>
      </c>
      <c r="B78" s="92"/>
      <c r="C78" s="92" t="str">
        <f>"за "&amp;LOWER($A$72)</f>
        <v>за декабрь</v>
      </c>
      <c r="D78" s="93">
        <f>COUNTA(дкб_пр)</f>
        <v>1</v>
      </c>
      <c r="E78" s="94">
        <f>SUM(дкб_кол)</f>
        <v>3000</v>
      </c>
      <c r="F78" s="95">
        <f>COUNTA(акт_вх_дкб)+COUNTA(акт_отб_дкб)</f>
        <v>0</v>
      </c>
      <c r="G78" s="104"/>
      <c r="H78" s="104"/>
      <c r="I78" s="104"/>
      <c r="J78" s="97">
        <f>SUM(кол_отб_дкб)</f>
        <v>0</v>
      </c>
    </row>
    <row r="79" spans="1:10" s="76" customFormat="1" ht="32.25" customHeight="1" x14ac:dyDescent="0.25">
      <c r="A79" s="105" t="s">
        <v>17</v>
      </c>
      <c r="B79" s="106"/>
      <c r="C79" s="106" t="s">
        <v>112</v>
      </c>
      <c r="D79" s="107">
        <f>SUM(D67,D71,D78)</f>
        <v>4</v>
      </c>
      <c r="E79" s="108">
        <f>SUM(E67,E71,E78)</f>
        <v>11000</v>
      </c>
      <c r="F79" s="109">
        <f>SUM(F67,F71,F78)</f>
        <v>0</v>
      </c>
      <c r="G79" s="106"/>
      <c r="H79" s="106" t="str">
        <f>"Кп= "&amp;ROUNDDOWN((F79/D79)*100,1)&amp;"%"</f>
        <v>Кп= 0%</v>
      </c>
      <c r="I79" s="106" t="str">
        <f>"Км= "&amp;ROUNDDOWN((J79/E79)*100,2)&amp;"%"</f>
        <v>Км= 0%</v>
      </c>
      <c r="J79" s="110">
        <f>SUM(J67,J71,J78)</f>
        <v>0</v>
      </c>
    </row>
    <row r="80" spans="1:10" s="76" customFormat="1" ht="27" customHeight="1" x14ac:dyDescent="0.25">
      <c r="A80" s="105" t="s">
        <v>17</v>
      </c>
      <c r="B80" s="106"/>
      <c r="C80" s="106" t="s">
        <v>114</v>
      </c>
      <c r="D80" s="107">
        <f>SUM(D79,D59)</f>
        <v>14</v>
      </c>
      <c r="E80" s="108">
        <f>SUM(E79,E59)</f>
        <v>84500</v>
      </c>
      <c r="F80" s="109">
        <f>SUM(F79,F59)</f>
        <v>0</v>
      </c>
      <c r="G80" s="106"/>
      <c r="H80" s="106" t="str">
        <f>"Кп= "&amp;ROUNDDOWN((F80/D80)*100,1)&amp;"%"</f>
        <v>Кп= 0%</v>
      </c>
      <c r="I80" s="106" t="str">
        <f>"Км= "&amp;ROUNDDOWN((J80/E80)*100,2)&amp;"%"</f>
        <v>Км= 0%</v>
      </c>
      <c r="J80" s="110">
        <f>SUM(J79,J59)</f>
        <v>0</v>
      </c>
    </row>
    <row r="81" spans="1:10" s="76" customFormat="1" ht="27" customHeight="1" x14ac:dyDescent="0.25">
      <c r="A81" s="217" t="s">
        <v>384</v>
      </c>
      <c r="B81" s="217"/>
      <c r="C81" s="217"/>
      <c r="D81" s="218"/>
      <c r="E81" s="219"/>
      <c r="F81" s="220"/>
      <c r="G81" s="217"/>
      <c r="H81" s="217"/>
      <c r="I81" s="217"/>
      <c r="J81" s="219"/>
    </row>
    <row r="82" spans="1:10" s="76" customFormat="1" ht="26.25" customHeight="1" x14ac:dyDescent="0.25">
      <c r="A82" s="139" t="s">
        <v>20</v>
      </c>
      <c r="B82" s="139"/>
      <c r="C82" s="139"/>
      <c r="D82" s="140"/>
      <c r="E82" s="139"/>
      <c r="F82" s="139"/>
      <c r="G82" s="139" t="s">
        <v>21</v>
      </c>
      <c r="H82" s="139"/>
      <c r="I82" s="139"/>
      <c r="J82" s="139"/>
    </row>
  </sheetData>
  <sheetProtection algorithmName="SHA-512" hashValue="tL0NtgXgtIh40EclD5U1bzRNDFqkPY8vRofhlfqu8YgtCtWDzx+pOqMEZ8klqHcr34Ms5y7j+1eNrw/lMrXpfA==" saltValue="X7EhVwmv49bmQ8ra5DF10A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72:J72"/>
    <mergeCell ref="A6:J6"/>
    <mergeCell ref="A13:J13"/>
    <mergeCell ref="A17:J17"/>
    <mergeCell ref="A26:J26"/>
    <mergeCell ref="A33:J33"/>
    <mergeCell ref="A40:J40"/>
    <mergeCell ref="A49:J49"/>
    <mergeCell ref="A52:J52"/>
    <mergeCell ref="A55:J55"/>
    <mergeCell ref="A61:J61"/>
    <mergeCell ref="A68:J68"/>
  </mergeCells>
  <phoneticPr fontId="14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6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690C-0A6D-4FC8-BEC9-833A94259A79}">
  <sheetPr codeName="Лист11">
    <pageSetUpPr fitToPage="1"/>
  </sheetPr>
  <dimension ref="A1:N67"/>
  <sheetViews>
    <sheetView zoomScaleNormal="100" workbookViewId="0">
      <pane ySplit="4" topLeftCell="A39" activePane="bottomLeft" state="frozen"/>
      <selection activeCell="A2" sqref="A2:J2"/>
      <selection pane="bottomLeft" activeCell="J66" sqref="A1:J66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76"/>
      <c r="B1" s="76"/>
      <c r="C1" s="76"/>
      <c r="D1" s="76"/>
      <c r="E1" s="76"/>
      <c r="F1" s="76"/>
      <c r="G1" s="76"/>
      <c r="H1" s="76"/>
      <c r="I1" s="76"/>
      <c r="J1" s="77" t="s">
        <v>94</v>
      </c>
    </row>
    <row r="2" spans="1:14" ht="33.75" customHeight="1" x14ac:dyDescent="0.4">
      <c r="A2" s="255" t="s">
        <v>361</v>
      </c>
      <c r="B2" s="255"/>
      <c r="C2" s="255"/>
      <c r="D2" s="255"/>
      <c r="E2" s="255"/>
      <c r="F2" s="255"/>
      <c r="G2" s="255"/>
      <c r="H2" s="255"/>
      <c r="I2" s="255"/>
      <c r="J2" s="255"/>
    </row>
    <row r="3" spans="1:14" x14ac:dyDescent="0.25">
      <c r="A3" s="256" t="s">
        <v>0</v>
      </c>
      <c r="B3" s="257" t="s">
        <v>97</v>
      </c>
      <c r="C3" s="256" t="s">
        <v>1</v>
      </c>
      <c r="D3" s="259" t="s">
        <v>23</v>
      </c>
      <c r="E3" s="256" t="s">
        <v>96</v>
      </c>
      <c r="F3" s="256" t="s">
        <v>3</v>
      </c>
      <c r="G3" s="256"/>
      <c r="H3" s="260" t="s">
        <v>2</v>
      </c>
      <c r="I3" s="261"/>
      <c r="J3" s="259" t="s">
        <v>93</v>
      </c>
    </row>
    <row r="4" spans="1:14" ht="32.25" customHeight="1" x14ac:dyDescent="0.25">
      <c r="A4" s="256"/>
      <c r="B4" s="258"/>
      <c r="C4" s="256"/>
      <c r="D4" s="256"/>
      <c r="E4" s="256"/>
      <c r="F4" s="78" t="s">
        <v>0</v>
      </c>
      <c r="G4" s="78" t="s">
        <v>4</v>
      </c>
      <c r="H4" s="78" t="s">
        <v>0</v>
      </c>
      <c r="I4" s="78" t="s">
        <v>4</v>
      </c>
      <c r="J4" s="256"/>
    </row>
    <row r="5" spans="1:14" ht="14.25" customHeight="1" x14ac:dyDescent="0.25">
      <c r="A5" s="80">
        <v>1</v>
      </c>
      <c r="B5" s="80">
        <v>2</v>
      </c>
      <c r="C5" s="80">
        <v>3</v>
      </c>
      <c r="D5" s="80">
        <v>4</v>
      </c>
      <c r="E5" s="80">
        <v>5</v>
      </c>
      <c r="F5" s="80">
        <v>6</v>
      </c>
      <c r="G5" s="80">
        <v>7</v>
      </c>
      <c r="H5" s="80">
        <v>8</v>
      </c>
      <c r="I5" s="80">
        <v>9</v>
      </c>
      <c r="J5" s="80">
        <v>10</v>
      </c>
      <c r="M5" s="18"/>
    </row>
    <row r="6" spans="1:14" x14ac:dyDescent="0.25">
      <c r="A6" s="252" t="s">
        <v>5</v>
      </c>
      <c r="B6" s="252"/>
      <c r="C6" s="252"/>
      <c r="D6" s="252"/>
      <c r="E6" s="252"/>
      <c r="F6" s="252"/>
      <c r="G6" s="252"/>
      <c r="H6" s="252"/>
      <c r="I6" s="252"/>
      <c r="J6" s="252"/>
    </row>
    <row r="7" spans="1:14" x14ac:dyDescent="0.25">
      <c r="A7" s="113"/>
      <c r="B7" s="113"/>
      <c r="C7" s="114"/>
      <c r="D7" s="115"/>
      <c r="E7" s="116"/>
      <c r="F7" s="80"/>
      <c r="G7" s="80"/>
      <c r="H7" s="80"/>
      <c r="I7" s="80"/>
      <c r="J7" s="80"/>
    </row>
    <row r="8" spans="1:14" s="1" customFormat="1" x14ac:dyDescent="0.25">
      <c r="A8" s="91" t="s">
        <v>17</v>
      </c>
      <c r="B8" s="92"/>
      <c r="C8" s="92" t="str">
        <f>"за "&amp;LOWER($A$6)</f>
        <v>за январь</v>
      </c>
      <c r="D8" s="93">
        <f>COUNTA(янв_пр)</f>
        <v>0</v>
      </c>
      <c r="E8" s="94">
        <f>SUM(янв_кол)</f>
        <v>0</v>
      </c>
      <c r="F8" s="95">
        <f>COUNTA(акт_вх_янв)+COUNTA(акт_отб_янв)</f>
        <v>0</v>
      </c>
      <c r="G8" s="96"/>
      <c r="H8" s="96"/>
      <c r="I8" s="96"/>
      <c r="J8" s="97">
        <f>SUM(кол_отб_янв)</f>
        <v>0</v>
      </c>
    </row>
    <row r="9" spans="1:14" x14ac:dyDescent="0.25">
      <c r="A9" s="262" t="s">
        <v>6</v>
      </c>
      <c r="B9" s="262"/>
      <c r="C9" s="262"/>
      <c r="D9" s="262"/>
      <c r="E9" s="262"/>
      <c r="F9" s="262"/>
      <c r="G9" s="262"/>
      <c r="H9" s="262"/>
      <c r="I9" s="262"/>
      <c r="J9" s="262"/>
      <c r="L9" s="1"/>
      <c r="M9" s="1"/>
      <c r="N9" s="1"/>
    </row>
    <row r="10" spans="1:14" s="76" customFormat="1" x14ac:dyDescent="0.25">
      <c r="A10" s="81">
        <v>1</v>
      </c>
      <c r="B10" s="82" t="s">
        <v>377</v>
      </c>
      <c r="C10" s="123" t="s">
        <v>368</v>
      </c>
      <c r="D10" s="84" t="s">
        <v>379</v>
      </c>
      <c r="E10" s="124" t="s">
        <v>378</v>
      </c>
      <c r="F10" s="216"/>
      <c r="G10" s="216"/>
      <c r="H10" s="216"/>
      <c r="I10" s="216"/>
      <c r="J10" s="216"/>
      <c r="L10" s="133"/>
      <c r="M10" s="133"/>
      <c r="N10" s="133"/>
    </row>
    <row r="11" spans="1:14" ht="30" x14ac:dyDescent="0.25">
      <c r="A11" s="81">
        <v>2</v>
      </c>
      <c r="B11" s="98" t="s">
        <v>55</v>
      </c>
      <c r="C11" s="83" t="s">
        <v>140</v>
      </c>
      <c r="D11" s="84">
        <v>43875</v>
      </c>
      <c r="E11" s="145">
        <v>1888</v>
      </c>
      <c r="F11" s="87"/>
      <c r="G11" s="87"/>
      <c r="H11" s="87"/>
      <c r="I11" s="87"/>
      <c r="J11" s="87"/>
      <c r="L11" s="1"/>
      <c r="M11" s="1"/>
      <c r="N11" s="1"/>
    </row>
    <row r="12" spans="1:14" x14ac:dyDescent="0.25">
      <c r="A12" s="91" t="s">
        <v>17</v>
      </c>
      <c r="B12" s="92"/>
      <c r="C12" s="92" t="str">
        <f>"за "&amp;LOWER($A$9)</f>
        <v>за февраль</v>
      </c>
      <c r="D12" s="93">
        <f>COUNTA(C10:C11)</f>
        <v>2</v>
      </c>
      <c r="E12" s="94">
        <f>SUM(E10:E11)</f>
        <v>1888</v>
      </c>
      <c r="F12" s="95">
        <f>COUNTA(акт_вх_фев)+COUNTA(акт_отб_фев)</f>
        <v>0</v>
      </c>
      <c r="G12" s="96"/>
      <c r="H12" s="96"/>
      <c r="I12" s="96"/>
      <c r="J12" s="97">
        <f>SUM(кол_отб_фев)</f>
        <v>0</v>
      </c>
      <c r="L12" s="1"/>
      <c r="M12" s="1"/>
      <c r="N12" s="1"/>
    </row>
    <row r="13" spans="1:14" x14ac:dyDescent="0.25">
      <c r="A13" s="252" t="s">
        <v>7</v>
      </c>
      <c r="B13" s="252"/>
      <c r="C13" s="252"/>
      <c r="D13" s="252"/>
      <c r="E13" s="252"/>
      <c r="F13" s="252"/>
      <c r="G13" s="252"/>
      <c r="H13" s="252"/>
      <c r="I13" s="252"/>
      <c r="J13" s="252"/>
      <c r="L13" s="1"/>
      <c r="M13" s="1"/>
      <c r="N13" s="1"/>
    </row>
    <row r="14" spans="1:14" x14ac:dyDescent="0.25">
      <c r="A14" s="113"/>
      <c r="B14" s="113"/>
      <c r="C14" s="114"/>
      <c r="D14" s="115"/>
      <c r="E14" s="113"/>
      <c r="F14" s="87"/>
      <c r="G14" s="87"/>
      <c r="H14" s="87"/>
      <c r="I14" s="87"/>
      <c r="J14" s="87"/>
      <c r="L14" s="1"/>
      <c r="M14" s="1"/>
      <c r="N14" s="1"/>
    </row>
    <row r="15" spans="1:14" x14ac:dyDescent="0.25">
      <c r="A15" s="91" t="s">
        <v>17</v>
      </c>
      <c r="B15" s="92"/>
      <c r="C15" s="92" t="str">
        <f>"за "&amp;LOWER($A$13)</f>
        <v>за март</v>
      </c>
      <c r="D15" s="93">
        <f>COUNTA(мрт_пр)</f>
        <v>0</v>
      </c>
      <c r="E15" s="94">
        <f>SUM(мрт_кол)</f>
        <v>0</v>
      </c>
      <c r="F15" s="95">
        <f>COUNTA(акт_вх_мрт)+COUNTA(акт_отб_мрт)</f>
        <v>0</v>
      </c>
      <c r="G15" s="104"/>
      <c r="H15" s="104"/>
      <c r="I15" s="104"/>
      <c r="J15" s="97">
        <f>SUM(кол_отб_мрт)</f>
        <v>0</v>
      </c>
      <c r="L15" s="1"/>
      <c r="M15" s="1"/>
      <c r="N15" s="1"/>
    </row>
    <row r="16" spans="1:14" ht="25.5" customHeight="1" x14ac:dyDescent="0.25">
      <c r="A16" s="105" t="s">
        <v>17</v>
      </c>
      <c r="B16" s="106"/>
      <c r="C16" s="106" t="s">
        <v>18</v>
      </c>
      <c r="D16" s="107">
        <f>SUM(D8,D12,D15)</f>
        <v>2</v>
      </c>
      <c r="E16" s="108">
        <f>SUM(E8,E12,E15)</f>
        <v>1888</v>
      </c>
      <c r="F16" s="109">
        <f>SUM(F8,F12,F15)</f>
        <v>0</v>
      </c>
      <c r="G16" s="106"/>
      <c r="H16" s="106" t="str">
        <f>"Кп= "&amp;ROUNDDOWN((F16/D16)*100,1)&amp;"%"</f>
        <v>Кп= 0%</v>
      </c>
      <c r="I16" s="106" t="str">
        <f>"Км= "&amp;ROUNDDOWN((J16/E16)*100,2)&amp;"%"</f>
        <v>Км= 0%</v>
      </c>
      <c r="J16" s="110">
        <f>SUM(J8,J12,J15)</f>
        <v>0</v>
      </c>
      <c r="L16" s="1"/>
      <c r="M16" s="1"/>
      <c r="N16" s="1"/>
    </row>
    <row r="17" spans="1:14" ht="26.25" hidden="1" customHeight="1" outlineLevel="1" x14ac:dyDescent="0.25">
      <c r="A17" s="91" t="s">
        <v>20</v>
      </c>
      <c r="B17" s="92"/>
      <c r="C17" s="92"/>
      <c r="D17" s="111"/>
      <c r="E17" s="92"/>
      <c r="F17" s="92"/>
      <c r="G17" s="92" t="s">
        <v>21</v>
      </c>
      <c r="H17" s="92"/>
      <c r="I17" s="92"/>
      <c r="J17" s="112"/>
      <c r="L17" s="1"/>
      <c r="M17" s="1"/>
      <c r="N17" s="1"/>
    </row>
    <row r="18" spans="1:14" collapsed="1" x14ac:dyDescent="0.25">
      <c r="A18" s="262" t="s">
        <v>8</v>
      </c>
      <c r="B18" s="262"/>
      <c r="C18" s="262"/>
      <c r="D18" s="262"/>
      <c r="E18" s="262"/>
      <c r="F18" s="262"/>
      <c r="G18" s="262"/>
      <c r="H18" s="262"/>
      <c r="I18" s="262"/>
      <c r="J18" s="262"/>
      <c r="L18" s="1"/>
      <c r="M18" s="1"/>
      <c r="N18" s="1"/>
    </row>
    <row r="19" spans="1:14" x14ac:dyDescent="0.25">
      <c r="A19" s="132"/>
      <c r="B19" s="132"/>
      <c r="C19" s="132"/>
      <c r="D19" s="132"/>
      <c r="E19" s="132"/>
      <c r="F19" s="132"/>
      <c r="G19" s="132"/>
      <c r="H19" s="132"/>
      <c r="I19" s="132"/>
      <c r="J19" s="132"/>
      <c r="L19" s="1"/>
      <c r="M19" s="1"/>
      <c r="N19" s="1"/>
    </row>
    <row r="20" spans="1:14" x14ac:dyDescent="0.25">
      <c r="A20" s="91" t="s">
        <v>17</v>
      </c>
      <c r="B20" s="92"/>
      <c r="C20" s="92" t="str">
        <f>"за "&amp;LOWER($A$18)</f>
        <v>за апрель</v>
      </c>
      <c r="D20" s="93">
        <f>COUNTA(апр_пр)</f>
        <v>0</v>
      </c>
      <c r="E20" s="94">
        <f>SUM(апр_кол)</f>
        <v>0</v>
      </c>
      <c r="F20" s="95">
        <f>COUNTA(акт_вх_апр)+COUNTA(акт_отб_апр)</f>
        <v>0</v>
      </c>
      <c r="G20" s="104"/>
      <c r="H20" s="104"/>
      <c r="I20" s="104"/>
      <c r="J20" s="97">
        <f>SUM(кол_отб_апр)</f>
        <v>0</v>
      </c>
      <c r="L20" s="1"/>
      <c r="M20" s="1"/>
      <c r="N20" s="1"/>
    </row>
    <row r="21" spans="1:14" x14ac:dyDescent="0.25">
      <c r="A21" s="252" t="s">
        <v>9</v>
      </c>
      <c r="B21" s="252"/>
      <c r="C21" s="252"/>
      <c r="D21" s="252"/>
      <c r="E21" s="252"/>
      <c r="F21" s="252"/>
      <c r="G21" s="252"/>
      <c r="H21" s="252"/>
      <c r="I21" s="252"/>
      <c r="J21" s="252"/>
      <c r="L21" s="1"/>
      <c r="M21" s="1"/>
      <c r="N21" s="1"/>
    </row>
    <row r="22" spans="1:14" x14ac:dyDescent="0.25">
      <c r="A22" s="131"/>
      <c r="B22" s="131"/>
      <c r="C22" s="131"/>
      <c r="D22" s="131"/>
      <c r="E22" s="131"/>
      <c r="F22" s="131"/>
      <c r="G22" s="131"/>
      <c r="H22" s="131"/>
      <c r="I22" s="131"/>
      <c r="J22" s="131"/>
      <c r="L22" s="1"/>
      <c r="M22" s="1"/>
      <c r="N22" s="1"/>
    </row>
    <row r="23" spans="1:14" x14ac:dyDescent="0.25">
      <c r="A23" s="91" t="s">
        <v>17</v>
      </c>
      <c r="B23" s="92"/>
      <c r="C23" s="92" t="str">
        <f>"за "&amp;LOWER($A$21)</f>
        <v>за май</v>
      </c>
      <c r="D23" s="93">
        <f>COUNTA(май_пр)</f>
        <v>0</v>
      </c>
      <c r="E23" s="94">
        <f>SUM(май_кол)</f>
        <v>0</v>
      </c>
      <c r="F23" s="95">
        <f>COUNTA(акт_вх_май)+COUNTA(акт_отб_май)</f>
        <v>0</v>
      </c>
      <c r="G23" s="104"/>
      <c r="H23" s="104"/>
      <c r="I23" s="104"/>
      <c r="J23" s="97">
        <f>SUM(кол_отб_май)</f>
        <v>0</v>
      </c>
    </row>
    <row r="24" spans="1:14" x14ac:dyDescent="0.25">
      <c r="A24" s="252" t="s">
        <v>10</v>
      </c>
      <c r="B24" s="252"/>
      <c r="C24" s="252"/>
      <c r="D24" s="252"/>
      <c r="E24" s="252"/>
      <c r="F24" s="252"/>
      <c r="G24" s="252"/>
      <c r="H24" s="252"/>
      <c r="I24" s="252"/>
      <c r="J24" s="252"/>
    </row>
    <row r="25" spans="1:14" s="76" customFormat="1" x14ac:dyDescent="0.25">
      <c r="A25" s="81">
        <v>3</v>
      </c>
      <c r="B25" s="121" t="s">
        <v>377</v>
      </c>
      <c r="C25" s="123" t="s">
        <v>368</v>
      </c>
      <c r="D25" s="84" t="s">
        <v>376</v>
      </c>
      <c r="E25" s="124" t="s">
        <v>375</v>
      </c>
      <c r="F25" s="135"/>
      <c r="G25" s="135"/>
      <c r="H25" s="135"/>
      <c r="I25" s="135"/>
      <c r="J25" s="135"/>
    </row>
    <row r="26" spans="1:14" x14ac:dyDescent="0.25">
      <c r="A26" s="91" t="s">
        <v>17</v>
      </c>
      <c r="B26" s="92"/>
      <c r="C26" s="92" t="str">
        <f>"за "&amp;LOWER($A$24)</f>
        <v>за июнь</v>
      </c>
      <c r="D26" s="93">
        <f>COUNTA(июн_пр)</f>
        <v>1</v>
      </c>
      <c r="E26" s="94">
        <f>SUM(июн_кол)</f>
        <v>0</v>
      </c>
      <c r="F26" s="95">
        <f>COUNTA(акт_вх_июн)+COUNTA(акт_отб_июн)</f>
        <v>0</v>
      </c>
      <c r="G26" s="104"/>
      <c r="H26" s="104"/>
      <c r="I26" s="104"/>
      <c r="J26" s="97">
        <f>SUM(кол_отб_июн)</f>
        <v>0</v>
      </c>
    </row>
    <row r="27" spans="1:14" ht="31.5" customHeight="1" x14ac:dyDescent="0.25">
      <c r="A27" s="105" t="s">
        <v>17</v>
      </c>
      <c r="B27" s="106"/>
      <c r="C27" s="106" t="s">
        <v>109</v>
      </c>
      <c r="D27" s="107">
        <f>SUM(D20,D23,D26)</f>
        <v>1</v>
      </c>
      <c r="E27" s="108">
        <f>SUM(E20,E23,E26)</f>
        <v>0</v>
      </c>
      <c r="F27" s="109">
        <f>SUM(F20,F23,F26)</f>
        <v>0</v>
      </c>
      <c r="G27" s="106"/>
      <c r="H27" s="106" t="s">
        <v>234</v>
      </c>
      <c r="I27" s="106" t="s">
        <v>234</v>
      </c>
      <c r="J27" s="110">
        <f>SUM(J20,J23,J26)</f>
        <v>0</v>
      </c>
    </row>
    <row r="28" spans="1:14" ht="31.5" customHeight="1" x14ac:dyDescent="0.25">
      <c r="A28" s="105" t="s">
        <v>17</v>
      </c>
      <c r="B28" s="106"/>
      <c r="C28" s="106" t="s">
        <v>110</v>
      </c>
      <c r="D28" s="107">
        <f>SUM(D16,D27)</f>
        <v>3</v>
      </c>
      <c r="E28" s="108">
        <f>SUM(E27,E16)</f>
        <v>1888</v>
      </c>
      <c r="F28" s="109">
        <f>SUM(F27,F16)</f>
        <v>0</v>
      </c>
      <c r="G28" s="106"/>
      <c r="H28" s="106" t="str">
        <f>"Кп= "&amp;ROUNDDOWN((F28/D28)*100,1)&amp;"%"</f>
        <v>Кп= 0%</v>
      </c>
      <c r="I28" s="106" t="str">
        <f>"Км= "&amp;ROUNDDOWN((J28/E28)*100,2)&amp;"%"</f>
        <v>Км= 0%</v>
      </c>
      <c r="J28" s="110">
        <f>SUM(J27,J16)</f>
        <v>0</v>
      </c>
    </row>
    <row r="29" spans="1:14" x14ac:dyDescent="0.25">
      <c r="A29" s="252" t="s">
        <v>11</v>
      </c>
      <c r="B29" s="252"/>
      <c r="C29" s="252"/>
      <c r="D29" s="252"/>
      <c r="E29" s="252"/>
      <c r="F29" s="252"/>
      <c r="G29" s="252"/>
      <c r="H29" s="252"/>
      <c r="I29" s="252"/>
      <c r="J29" s="252"/>
    </row>
    <row r="30" spans="1:14" x14ac:dyDescent="0.25">
      <c r="A30" s="81">
        <v>4</v>
      </c>
      <c r="B30" s="117" t="s">
        <v>55</v>
      </c>
      <c r="C30" s="118" t="s">
        <v>249</v>
      </c>
      <c r="D30" s="119">
        <v>44036</v>
      </c>
      <c r="E30" s="147">
        <v>1818</v>
      </c>
      <c r="F30" s="135"/>
      <c r="G30" s="135"/>
      <c r="H30" s="135"/>
      <c r="I30" s="135"/>
      <c r="J30" s="135"/>
    </row>
    <row r="31" spans="1:14" outlineLevel="1" x14ac:dyDescent="0.25">
      <c r="A31" s="81">
        <v>5</v>
      </c>
      <c r="B31" s="99" t="s">
        <v>55</v>
      </c>
      <c r="C31" s="100" t="s">
        <v>249</v>
      </c>
      <c r="D31" s="101">
        <v>44042</v>
      </c>
      <c r="E31" s="146">
        <v>1269</v>
      </c>
      <c r="F31" s="135"/>
      <c r="G31" s="135"/>
      <c r="H31" s="135"/>
      <c r="I31" s="135"/>
      <c r="J31" s="135"/>
    </row>
    <row r="32" spans="1:14" x14ac:dyDescent="0.25">
      <c r="A32" s="91" t="s">
        <v>17</v>
      </c>
      <c r="B32" s="92"/>
      <c r="C32" s="92" t="str">
        <f>"за "&amp;LOWER($A$29)</f>
        <v>за июль</v>
      </c>
      <c r="D32" s="93">
        <f>COUNTA(июл_пр)</f>
        <v>2</v>
      </c>
      <c r="E32" s="94">
        <f>SUM(июл_кол)</f>
        <v>3087</v>
      </c>
      <c r="F32" s="95">
        <f>COUNTA(акт_вх_июл)+COUNTA(акт_отб_июл)</f>
        <v>0</v>
      </c>
      <c r="G32" s="104"/>
      <c r="H32" s="104"/>
      <c r="I32" s="104"/>
      <c r="J32" s="97">
        <f>SUM(кол_отб_июл)</f>
        <v>0</v>
      </c>
    </row>
    <row r="33" spans="1:10" x14ac:dyDescent="0.25">
      <c r="A33" s="252" t="s">
        <v>13</v>
      </c>
      <c r="B33" s="252"/>
      <c r="C33" s="252"/>
      <c r="D33" s="252"/>
      <c r="E33" s="252"/>
      <c r="F33" s="252"/>
      <c r="G33" s="252"/>
      <c r="H33" s="252"/>
      <c r="I33" s="252"/>
      <c r="J33" s="252"/>
    </row>
    <row r="34" spans="1:10" x14ac:dyDescent="0.25">
      <c r="A34" s="135"/>
      <c r="B34" s="135"/>
      <c r="C34" s="135"/>
      <c r="D34" s="138"/>
      <c r="E34" s="135"/>
      <c r="F34" s="135"/>
      <c r="G34" s="135"/>
      <c r="H34" s="135"/>
      <c r="I34" s="135"/>
      <c r="J34" s="135"/>
    </row>
    <row r="35" spans="1:10" x14ac:dyDescent="0.25">
      <c r="A35" s="91" t="s">
        <v>17</v>
      </c>
      <c r="B35" s="92"/>
      <c r="C35" s="92" t="str">
        <f>"за "&amp;LOWER($A$33)</f>
        <v>за август</v>
      </c>
      <c r="D35" s="93">
        <f>COUNTA(авг_пр)</f>
        <v>0</v>
      </c>
      <c r="E35" s="94">
        <f>SUM(авг_кол)</f>
        <v>0</v>
      </c>
      <c r="F35" s="95">
        <f>COUNTA(акт_вх_авг)+COUNTA(акт_отб_авг)</f>
        <v>0</v>
      </c>
      <c r="G35" s="104"/>
      <c r="H35" s="104"/>
      <c r="I35" s="104"/>
      <c r="J35" s="97">
        <f>SUM(кол_отб_авг)</f>
        <v>0</v>
      </c>
    </row>
    <row r="36" spans="1:10" x14ac:dyDescent="0.25">
      <c r="A36" s="252" t="s">
        <v>12</v>
      </c>
      <c r="B36" s="252"/>
      <c r="C36" s="252"/>
      <c r="D36" s="252"/>
      <c r="E36" s="252"/>
      <c r="F36" s="252"/>
      <c r="G36" s="252"/>
      <c r="H36" s="252"/>
      <c r="I36" s="252"/>
      <c r="J36" s="252"/>
    </row>
    <row r="37" spans="1:10" x14ac:dyDescent="0.25">
      <c r="A37" s="135"/>
      <c r="B37" s="135"/>
      <c r="C37" s="135"/>
      <c r="D37" s="138"/>
      <c r="E37" s="135"/>
      <c r="F37" s="135"/>
      <c r="G37" s="135"/>
      <c r="H37" s="135"/>
      <c r="I37" s="135"/>
      <c r="J37" s="135"/>
    </row>
    <row r="38" spans="1:10" x14ac:dyDescent="0.25">
      <c r="A38" s="91" t="s">
        <v>17</v>
      </c>
      <c r="B38" s="92"/>
      <c r="C38" s="92" t="str">
        <f>"за "&amp;LOWER($A$36)</f>
        <v>за сентябрь</v>
      </c>
      <c r="D38" s="93">
        <f>COUNTA(снт_пр)</f>
        <v>0</v>
      </c>
      <c r="E38" s="94">
        <f>SUM(снт_кол)</f>
        <v>0</v>
      </c>
      <c r="F38" s="95">
        <f>COUNTA(акт_вх_снт)+COUNTA(акт_отб_снт)</f>
        <v>0</v>
      </c>
      <c r="G38" s="104"/>
      <c r="H38" s="104"/>
      <c r="I38" s="104"/>
      <c r="J38" s="97">
        <f>SUM(кол_отб_снт)</f>
        <v>0</v>
      </c>
    </row>
    <row r="39" spans="1:10" ht="30" customHeight="1" x14ac:dyDescent="0.25">
      <c r="A39" s="105" t="s">
        <v>17</v>
      </c>
      <c r="B39" s="106"/>
      <c r="C39" s="106" t="s">
        <v>111</v>
      </c>
      <c r="D39" s="107">
        <f>SUM(D32,D35,D38)</f>
        <v>2</v>
      </c>
      <c r="E39" s="108">
        <f>SUM(E32,E35,E38)</f>
        <v>3087</v>
      </c>
      <c r="F39" s="109">
        <f>SUM(F32,F35,F38)</f>
        <v>0</v>
      </c>
      <c r="G39" s="106"/>
      <c r="H39" s="106" t="str">
        <f>"Кп= "&amp;ROUNDDOWN((F39/D39)*100,1)&amp;"%"</f>
        <v>Кп= 0%</v>
      </c>
      <c r="I39" s="106" t="str">
        <f>"Км= "&amp;ROUNDDOWN((J39/E39)*100,2)&amp;"%"</f>
        <v>Км= 0%</v>
      </c>
      <c r="J39" s="110">
        <f>SUM(J32,J35,J38)</f>
        <v>0</v>
      </c>
    </row>
    <row r="40" spans="1:10" ht="30" customHeight="1" x14ac:dyDescent="0.25">
      <c r="A40" s="105" t="s">
        <v>17</v>
      </c>
      <c r="B40" s="106"/>
      <c r="C40" s="106" t="s">
        <v>113</v>
      </c>
      <c r="D40" s="107">
        <f>SUM(D28,D39)</f>
        <v>5</v>
      </c>
      <c r="E40" s="108">
        <f>SUM(E39,E28)</f>
        <v>4975</v>
      </c>
      <c r="F40" s="109">
        <f>SUM(F39,F28)</f>
        <v>0</v>
      </c>
      <c r="G40" s="106"/>
      <c r="H40" s="106" t="str">
        <f>"Кп= "&amp;ROUNDDOWN((F40/D40)*100,1)&amp;"%"</f>
        <v>Кп= 0%</v>
      </c>
      <c r="I40" s="106" t="str">
        <f>"Км= "&amp;ROUNDDOWN((J40/E40)*100,2)&amp;"%"</f>
        <v>Км= 0%</v>
      </c>
      <c r="J40" s="110">
        <f>SUM(J39,J28)</f>
        <v>0</v>
      </c>
    </row>
    <row r="41" spans="1:10" ht="24.75" hidden="1" customHeight="1" outlineLevel="1" x14ac:dyDescent="0.25">
      <c r="A41" s="91" t="s">
        <v>20</v>
      </c>
      <c r="B41" s="92"/>
      <c r="C41" s="92"/>
      <c r="D41" s="111"/>
      <c r="E41" s="92"/>
      <c r="F41" s="92"/>
      <c r="G41" s="92" t="s">
        <v>21</v>
      </c>
      <c r="H41" s="92"/>
      <c r="I41" s="92"/>
      <c r="J41" s="112"/>
    </row>
    <row r="42" spans="1:10" ht="15" customHeight="1" collapsed="1" x14ac:dyDescent="0.25">
      <c r="A42" s="252" t="s">
        <v>14</v>
      </c>
      <c r="B42" s="252"/>
      <c r="C42" s="252"/>
      <c r="D42" s="252"/>
      <c r="E42" s="252"/>
      <c r="F42" s="252"/>
      <c r="G42" s="252"/>
      <c r="H42" s="252"/>
      <c r="I42" s="252"/>
      <c r="J42" s="252"/>
    </row>
    <row r="43" spans="1:10" x14ac:dyDescent="0.25">
      <c r="A43" s="135"/>
      <c r="B43" s="135"/>
      <c r="C43" s="135"/>
      <c r="D43" s="138"/>
      <c r="E43" s="135"/>
      <c r="F43" s="135"/>
      <c r="G43" s="135"/>
      <c r="H43" s="135"/>
      <c r="I43" s="135"/>
      <c r="J43" s="135"/>
    </row>
    <row r="44" spans="1:10" hidden="1" outlineLevel="1" x14ac:dyDescent="0.25">
      <c r="A44" s="135"/>
      <c r="B44" s="135"/>
      <c r="C44" s="135"/>
      <c r="D44" s="138"/>
      <c r="E44" s="135"/>
      <c r="F44" s="135"/>
      <c r="G44" s="135"/>
      <c r="H44" s="135"/>
      <c r="I44" s="135"/>
      <c r="J44" s="135"/>
    </row>
    <row r="45" spans="1:10" hidden="1" outlineLevel="1" x14ac:dyDescent="0.25">
      <c r="A45" s="135"/>
      <c r="B45" s="135"/>
      <c r="C45" s="135"/>
      <c r="D45" s="138"/>
      <c r="E45" s="135"/>
      <c r="F45" s="135"/>
      <c r="G45" s="135"/>
      <c r="H45" s="135"/>
      <c r="I45" s="135"/>
      <c r="J45" s="135"/>
    </row>
    <row r="46" spans="1:10" hidden="1" outlineLevel="1" x14ac:dyDescent="0.25">
      <c r="A46" s="135"/>
      <c r="B46" s="135"/>
      <c r="C46" s="135"/>
      <c r="D46" s="138"/>
      <c r="E46" s="135"/>
      <c r="F46" s="135"/>
      <c r="G46" s="135"/>
      <c r="H46" s="135"/>
      <c r="I46" s="135"/>
      <c r="J46" s="135"/>
    </row>
    <row r="47" spans="1:10" hidden="1" outlineLevel="1" x14ac:dyDescent="0.25">
      <c r="A47" s="135"/>
      <c r="B47" s="135"/>
      <c r="C47" s="135"/>
      <c r="D47" s="138"/>
      <c r="E47" s="135"/>
      <c r="F47" s="135"/>
      <c r="G47" s="135"/>
      <c r="H47" s="135"/>
      <c r="I47" s="135"/>
      <c r="J47" s="135"/>
    </row>
    <row r="48" spans="1:10" collapsed="1" x14ac:dyDescent="0.25">
      <c r="A48" s="91" t="s">
        <v>17</v>
      </c>
      <c r="B48" s="92"/>
      <c r="C48" s="92" t="str">
        <f>"за "&amp;LOWER($A$42)</f>
        <v>за октябрь</v>
      </c>
      <c r="D48" s="93">
        <f>COUNTA(окт_пр)</f>
        <v>0</v>
      </c>
      <c r="E48" s="94">
        <f>SUM(окт_кол)</f>
        <v>0</v>
      </c>
      <c r="F48" s="95">
        <f>COUNTA(акт_вх_окт)+COUNTA(акт_отб_окт)</f>
        <v>0</v>
      </c>
      <c r="G48" s="104"/>
      <c r="H48" s="104"/>
      <c r="I48" s="104"/>
      <c r="J48" s="97">
        <f>SUM(кол_отб_окт)</f>
        <v>0</v>
      </c>
    </row>
    <row r="49" spans="1:10" x14ac:dyDescent="0.25">
      <c r="A49" s="252" t="s">
        <v>15</v>
      </c>
      <c r="B49" s="252"/>
      <c r="C49" s="252"/>
      <c r="D49" s="252"/>
      <c r="E49" s="252"/>
      <c r="F49" s="252"/>
      <c r="G49" s="252"/>
      <c r="H49" s="252"/>
      <c r="I49" s="252"/>
      <c r="J49" s="252"/>
    </row>
    <row r="50" spans="1:10" s="76" customFormat="1" x14ac:dyDescent="0.25">
      <c r="A50" s="81">
        <v>6</v>
      </c>
      <c r="B50" s="121" t="s">
        <v>374</v>
      </c>
      <c r="C50" s="123" t="s">
        <v>368</v>
      </c>
      <c r="D50" s="84" t="s">
        <v>373</v>
      </c>
      <c r="E50" s="124" t="s">
        <v>372</v>
      </c>
      <c r="F50" s="135"/>
      <c r="G50" s="135"/>
      <c r="H50" s="135"/>
      <c r="I50" s="135"/>
      <c r="J50" s="135"/>
    </row>
    <row r="51" spans="1:10" hidden="1" outlineLevel="1" x14ac:dyDescent="0.25">
      <c r="A51" s="135"/>
      <c r="B51" s="135"/>
      <c r="C51" s="135"/>
      <c r="D51" s="138"/>
      <c r="E51" s="135"/>
      <c r="F51" s="135"/>
      <c r="G51" s="135"/>
      <c r="H51" s="135"/>
      <c r="I51" s="135"/>
      <c r="J51" s="135"/>
    </row>
    <row r="52" spans="1:10" hidden="1" outlineLevel="1" x14ac:dyDescent="0.25">
      <c r="A52" s="135"/>
      <c r="B52" s="135"/>
      <c r="C52" s="135"/>
      <c r="D52" s="138"/>
      <c r="E52" s="135"/>
      <c r="F52" s="135"/>
      <c r="G52" s="135"/>
      <c r="H52" s="135"/>
      <c r="I52" s="135"/>
      <c r="J52" s="135"/>
    </row>
    <row r="53" spans="1:10" hidden="1" outlineLevel="1" x14ac:dyDescent="0.25">
      <c r="A53" s="135"/>
      <c r="B53" s="135"/>
      <c r="C53" s="135"/>
      <c r="D53" s="138"/>
      <c r="E53" s="135"/>
      <c r="F53" s="135"/>
      <c r="G53" s="135"/>
      <c r="H53" s="135"/>
      <c r="I53" s="135"/>
      <c r="J53" s="135"/>
    </row>
    <row r="54" spans="1:10" hidden="1" outlineLevel="1" x14ac:dyDescent="0.25">
      <c r="A54" s="135"/>
      <c r="B54" s="135"/>
      <c r="C54" s="135"/>
      <c r="D54" s="138"/>
      <c r="E54" s="135"/>
      <c r="F54" s="135"/>
      <c r="G54" s="135"/>
      <c r="H54" s="135"/>
      <c r="I54" s="135"/>
      <c r="J54" s="135"/>
    </row>
    <row r="55" spans="1:10" collapsed="1" x14ac:dyDescent="0.25">
      <c r="A55" s="91" t="s">
        <v>17</v>
      </c>
      <c r="B55" s="92"/>
      <c r="C55" s="92" t="str">
        <f>"за "&amp;LOWER($A$49)</f>
        <v>за ноябрь</v>
      </c>
      <c r="D55" s="93">
        <f>COUNTA(нбр_пр)</f>
        <v>1</v>
      </c>
      <c r="E55" s="94">
        <f>SUM(нбр_кол)</f>
        <v>0</v>
      </c>
      <c r="F55" s="95">
        <f>COUNTA(акт_вх_нбр)+COUNTA(акт_отб_нбр)</f>
        <v>0</v>
      </c>
      <c r="G55" s="104"/>
      <c r="H55" s="104"/>
      <c r="I55" s="104"/>
      <c r="J55" s="97">
        <f>SUM(кол_отб_нбр)</f>
        <v>0</v>
      </c>
    </row>
    <row r="56" spans="1:10" x14ac:dyDescent="0.25">
      <c r="A56" s="252" t="s">
        <v>16</v>
      </c>
      <c r="B56" s="252"/>
      <c r="C56" s="252"/>
      <c r="D56" s="252"/>
      <c r="E56" s="252"/>
      <c r="F56" s="252"/>
      <c r="G56" s="252"/>
      <c r="H56" s="252"/>
      <c r="I56" s="252"/>
      <c r="J56" s="252"/>
    </row>
    <row r="57" spans="1:10" x14ac:dyDescent="0.25">
      <c r="A57" s="81">
        <v>7</v>
      </c>
      <c r="B57" s="98" t="s">
        <v>55</v>
      </c>
      <c r="C57" s="83" t="s">
        <v>339</v>
      </c>
      <c r="D57" s="84">
        <v>44174</v>
      </c>
      <c r="E57" s="130">
        <v>1835</v>
      </c>
      <c r="F57" s="135"/>
      <c r="G57" s="135"/>
      <c r="H57" s="135"/>
      <c r="I57" s="135"/>
      <c r="J57" s="135"/>
    </row>
    <row r="58" spans="1:10" hidden="1" outlineLevel="1" x14ac:dyDescent="0.25">
      <c r="A58" s="135"/>
      <c r="B58" s="135"/>
      <c r="C58" s="135"/>
      <c r="D58" s="135"/>
      <c r="E58" s="135"/>
      <c r="F58" s="135"/>
      <c r="G58" s="135"/>
      <c r="H58" s="135"/>
      <c r="I58" s="135"/>
      <c r="J58" s="135"/>
    </row>
    <row r="59" spans="1:10" hidden="1" outlineLevel="1" x14ac:dyDescent="0.25">
      <c r="A59" s="135"/>
      <c r="B59" s="135"/>
      <c r="C59" s="135"/>
      <c r="D59" s="135"/>
      <c r="E59" s="135"/>
      <c r="F59" s="135"/>
      <c r="G59" s="135"/>
      <c r="H59" s="135"/>
      <c r="I59" s="135"/>
      <c r="J59" s="135"/>
    </row>
    <row r="60" spans="1:10" hidden="1" outlineLevel="1" x14ac:dyDescent="0.25">
      <c r="A60" s="135"/>
      <c r="B60" s="135"/>
      <c r="C60" s="135"/>
      <c r="D60" s="135"/>
      <c r="E60" s="135"/>
      <c r="F60" s="135"/>
      <c r="G60" s="135"/>
      <c r="H60" s="135"/>
      <c r="I60" s="135"/>
      <c r="J60" s="135"/>
    </row>
    <row r="61" spans="1:10" hidden="1" outlineLevel="1" x14ac:dyDescent="0.25">
      <c r="A61" s="135"/>
      <c r="B61" s="135"/>
      <c r="C61" s="135"/>
      <c r="D61" s="135"/>
      <c r="E61" s="135"/>
      <c r="F61" s="135"/>
      <c r="G61" s="135"/>
      <c r="H61" s="135"/>
      <c r="I61" s="135"/>
      <c r="J61" s="135"/>
    </row>
    <row r="62" spans="1:10" collapsed="1" x14ac:dyDescent="0.25">
      <c r="A62" s="91" t="s">
        <v>17</v>
      </c>
      <c r="B62" s="92"/>
      <c r="C62" s="92" t="str">
        <f>"за "&amp;LOWER($A$56)</f>
        <v>за декабрь</v>
      </c>
      <c r="D62" s="93">
        <f>COUNTA(дкб_пр)</f>
        <v>1</v>
      </c>
      <c r="E62" s="94">
        <f>SUM(дкб_кол)</f>
        <v>1835</v>
      </c>
      <c r="F62" s="95">
        <f>COUNTA(акт_вх_дкб)+COUNTA(акт_отб_дкб)</f>
        <v>0</v>
      </c>
      <c r="G62" s="104"/>
      <c r="H62" s="104"/>
      <c r="I62" s="104"/>
      <c r="J62" s="97">
        <f>SUM(кол_отб_дкб)</f>
        <v>0</v>
      </c>
    </row>
    <row r="63" spans="1:10" ht="32.25" customHeight="1" x14ac:dyDescent="0.25">
      <c r="A63" s="105" t="s">
        <v>17</v>
      </c>
      <c r="B63" s="106"/>
      <c r="C63" s="106" t="s">
        <v>112</v>
      </c>
      <c r="D63" s="107">
        <f>SUM(D48,D55,D62)</f>
        <v>2</v>
      </c>
      <c r="E63" s="108">
        <f>SUM(E48,E55,E62)</f>
        <v>1835</v>
      </c>
      <c r="F63" s="109">
        <f>SUM(F48,F55,F62)</f>
        <v>0</v>
      </c>
      <c r="G63" s="106"/>
      <c r="H63" s="106" t="str">
        <f>"Кп= "&amp;ROUNDDOWN((F63/D63)*100,1)&amp;"%"</f>
        <v>Кп= 0%</v>
      </c>
      <c r="I63" s="106" t="str">
        <f>"Км= "&amp;ROUNDDOWN((J63/E63)*100,2)&amp;"%"</f>
        <v>Км= 0%</v>
      </c>
      <c r="J63" s="110">
        <f>SUM(J48,J55,J62)</f>
        <v>0</v>
      </c>
    </row>
    <row r="64" spans="1:10" ht="27" customHeight="1" x14ac:dyDescent="0.25">
      <c r="A64" s="105" t="s">
        <v>192</v>
      </c>
      <c r="B64" s="106"/>
      <c r="C64" s="106" t="s">
        <v>114</v>
      </c>
      <c r="D64" s="107">
        <f>SUM(D63,D40)</f>
        <v>7</v>
      </c>
      <c r="E64" s="108">
        <f>SUM(E63,E40)</f>
        <v>6810</v>
      </c>
      <c r="F64" s="109">
        <f>SUM(F63,F40)</f>
        <v>0</v>
      </c>
      <c r="G64" s="106"/>
      <c r="H64" s="106" t="str">
        <f>"Кп= "&amp;ROUNDDOWN((F64/D64)*100,1)&amp;"%"</f>
        <v>Кп= 0%</v>
      </c>
      <c r="I64" s="106" t="str">
        <f>"Км= "&amp;ROUNDDOWN((J64/E64)*100,2)&amp;"%"</f>
        <v>Км= 0%</v>
      </c>
      <c r="J64" s="110">
        <f>SUM(J63,J40)</f>
        <v>0</v>
      </c>
    </row>
    <row r="65" spans="1:10" ht="27" customHeight="1" x14ac:dyDescent="0.25">
      <c r="A65" s="217" t="s">
        <v>380</v>
      </c>
      <c r="B65" s="217"/>
      <c r="C65" s="217"/>
      <c r="D65" s="218"/>
      <c r="E65" s="219"/>
      <c r="F65" s="220"/>
      <c r="G65" s="217"/>
      <c r="H65" s="217"/>
      <c r="I65" s="217"/>
      <c r="J65" s="219"/>
    </row>
    <row r="66" spans="1:10" ht="26.25" customHeight="1" x14ac:dyDescent="0.25">
      <c r="A66" s="139" t="s">
        <v>20</v>
      </c>
      <c r="B66" s="139"/>
      <c r="C66" s="139"/>
      <c r="D66" s="140"/>
      <c r="E66" s="139"/>
      <c r="F66" s="139"/>
      <c r="G66" s="139" t="s">
        <v>21</v>
      </c>
      <c r="H66" s="139"/>
      <c r="I66" s="139"/>
      <c r="J66" s="139"/>
    </row>
    <row r="67" spans="1:10" x14ac:dyDescent="0.25">
      <c r="A67" s="76"/>
      <c r="B67" s="76"/>
      <c r="C67" s="76"/>
      <c r="D67" s="76"/>
      <c r="E67" s="76"/>
      <c r="F67" s="76"/>
      <c r="G67" s="76"/>
      <c r="H67" s="76"/>
      <c r="I67" s="76"/>
      <c r="J67" s="76"/>
    </row>
  </sheetData>
  <sheetProtection algorithmName="SHA-512" hashValue="xRxLlYn0RPCJ90ZvHeMArZkbfjSIfodWQ5s/9LfNnEa+/8imS3NW+pxsfXfMJ2iApmu9Wfpag3aNCphT99UMyg==" saltValue="i5XcPG4/bgVu+QIKkGVe/A==" spinCount="100000" sheet="1" formatCells="0" formatColumns="0" formatRows="0" insertColumns="0" insertRows="0" insertHyperlinks="0" deleteColumns="0" deleteRows="0" sort="0" autoFilter="0" pivotTables="0"/>
  <mergeCells count="21">
    <mergeCell ref="A56:J56"/>
    <mergeCell ref="A6:J6"/>
    <mergeCell ref="A9:J9"/>
    <mergeCell ref="A13:J13"/>
    <mergeCell ref="A18:J18"/>
    <mergeCell ref="A21:J21"/>
    <mergeCell ref="A24:J24"/>
    <mergeCell ref="A29:J29"/>
    <mergeCell ref="A33:J33"/>
    <mergeCell ref="A36:J36"/>
    <mergeCell ref="A42:J42"/>
    <mergeCell ref="A49:J49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7" right="0.7" top="0.75" bottom="0.75" header="0.3" footer="0.3"/>
  <pageSetup paperSize="9" scale="88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F3098-EBFA-43DA-80B2-CFF7E0138C64}">
  <sheetPr codeName="Лист13">
    <pageSetUpPr fitToPage="1"/>
  </sheetPr>
  <dimension ref="A1:N62"/>
  <sheetViews>
    <sheetView zoomScaleNormal="100" workbookViewId="0">
      <pane ySplit="4" topLeftCell="A20" activePane="bottomLeft" state="frozen"/>
      <selection activeCell="A2" sqref="A2:J2"/>
      <selection pane="bottomLeft" activeCell="A19" sqref="A19:J19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76"/>
      <c r="B1" s="76"/>
      <c r="C1" s="76"/>
      <c r="D1" s="76"/>
      <c r="E1" s="76"/>
      <c r="F1" s="76"/>
      <c r="G1" s="76"/>
      <c r="H1" s="76"/>
      <c r="I1" s="76"/>
      <c r="J1" s="77" t="s">
        <v>94</v>
      </c>
    </row>
    <row r="2" spans="1:14" ht="33.75" customHeight="1" x14ac:dyDescent="0.4">
      <c r="A2" s="255" t="s">
        <v>360</v>
      </c>
      <c r="B2" s="255"/>
      <c r="C2" s="255"/>
      <c r="D2" s="255"/>
      <c r="E2" s="255"/>
      <c r="F2" s="255"/>
      <c r="G2" s="255"/>
      <c r="H2" s="255"/>
      <c r="I2" s="255"/>
      <c r="J2" s="255"/>
    </row>
    <row r="3" spans="1:14" x14ac:dyDescent="0.25">
      <c r="A3" s="256" t="s">
        <v>0</v>
      </c>
      <c r="B3" s="257" t="s">
        <v>97</v>
      </c>
      <c r="C3" s="256" t="s">
        <v>1</v>
      </c>
      <c r="D3" s="259" t="s">
        <v>23</v>
      </c>
      <c r="E3" s="256" t="s">
        <v>96</v>
      </c>
      <c r="F3" s="256" t="s">
        <v>3</v>
      </c>
      <c r="G3" s="256"/>
      <c r="H3" s="260" t="s">
        <v>2</v>
      </c>
      <c r="I3" s="261"/>
      <c r="J3" s="259" t="s">
        <v>93</v>
      </c>
    </row>
    <row r="4" spans="1:14" ht="32.25" customHeight="1" x14ac:dyDescent="0.25">
      <c r="A4" s="256"/>
      <c r="B4" s="258"/>
      <c r="C4" s="256"/>
      <c r="D4" s="256"/>
      <c r="E4" s="256"/>
      <c r="F4" s="78" t="s">
        <v>0</v>
      </c>
      <c r="G4" s="78" t="s">
        <v>4</v>
      </c>
      <c r="H4" s="78" t="s">
        <v>0</v>
      </c>
      <c r="I4" s="78" t="s">
        <v>4</v>
      </c>
      <c r="J4" s="256"/>
    </row>
    <row r="5" spans="1:14" ht="14.25" customHeight="1" x14ac:dyDescent="0.25">
      <c r="A5" s="80">
        <v>1</v>
      </c>
      <c r="B5" s="80">
        <v>2</v>
      </c>
      <c r="C5" s="80">
        <v>3</v>
      </c>
      <c r="D5" s="80">
        <v>4</v>
      </c>
      <c r="E5" s="80">
        <v>5</v>
      </c>
      <c r="F5" s="80">
        <v>6</v>
      </c>
      <c r="G5" s="80">
        <v>7</v>
      </c>
      <c r="H5" s="80">
        <v>8</v>
      </c>
      <c r="I5" s="80">
        <v>9</v>
      </c>
      <c r="J5" s="80">
        <v>10</v>
      </c>
      <c r="M5" s="18"/>
    </row>
    <row r="6" spans="1:14" x14ac:dyDescent="0.25">
      <c r="A6" s="252" t="s">
        <v>5</v>
      </c>
      <c r="B6" s="252"/>
      <c r="C6" s="252"/>
      <c r="D6" s="252"/>
      <c r="E6" s="252"/>
      <c r="F6" s="252"/>
      <c r="G6" s="252"/>
      <c r="H6" s="252"/>
      <c r="I6" s="252"/>
      <c r="J6" s="252"/>
    </row>
    <row r="7" spans="1:14" x14ac:dyDescent="0.25">
      <c r="A7" s="81">
        <v>1</v>
      </c>
      <c r="B7" s="121" t="s">
        <v>58</v>
      </c>
      <c r="C7" s="83" t="s">
        <v>123</v>
      </c>
      <c r="D7" s="84">
        <v>43860</v>
      </c>
      <c r="E7" s="85">
        <v>2954</v>
      </c>
      <c r="F7" s="80"/>
      <c r="G7" s="80"/>
      <c r="H7" s="80"/>
      <c r="I7" s="80"/>
      <c r="J7" s="80"/>
    </row>
    <row r="8" spans="1:14" s="1" customFormat="1" x14ac:dyDescent="0.25">
      <c r="A8" s="91" t="s">
        <v>17</v>
      </c>
      <c r="B8" s="92"/>
      <c r="C8" s="92" t="str">
        <f>"за "&amp;LOWER($A$6)</f>
        <v>за январь</v>
      </c>
      <c r="D8" s="93">
        <f>COUNTA(янв_пр)</f>
        <v>1</v>
      </c>
      <c r="E8" s="94">
        <f>SUM(янв_кол)</f>
        <v>2954</v>
      </c>
      <c r="F8" s="95">
        <f>COUNTA(акт_вх_янв)+COUNTA(акт_отб_янв)</f>
        <v>0</v>
      </c>
      <c r="G8" s="96"/>
      <c r="H8" s="96"/>
      <c r="I8" s="96"/>
      <c r="J8" s="97">
        <f>SUM(кол_отб_янв)</f>
        <v>0</v>
      </c>
    </row>
    <row r="9" spans="1:14" x14ac:dyDescent="0.25">
      <c r="A9" s="262" t="s">
        <v>6</v>
      </c>
      <c r="B9" s="262"/>
      <c r="C9" s="262"/>
      <c r="D9" s="262"/>
      <c r="E9" s="262"/>
      <c r="F9" s="262"/>
      <c r="G9" s="262"/>
      <c r="H9" s="262"/>
      <c r="I9" s="262"/>
      <c r="J9" s="262"/>
      <c r="L9" s="1"/>
      <c r="M9" s="1"/>
      <c r="N9" s="1"/>
    </row>
    <row r="10" spans="1:14" x14ac:dyDescent="0.25">
      <c r="A10" s="81">
        <v>2</v>
      </c>
      <c r="B10" s="98" t="s">
        <v>58</v>
      </c>
      <c r="C10" s="83" t="s">
        <v>139</v>
      </c>
      <c r="D10" s="84">
        <v>43875</v>
      </c>
      <c r="E10" s="85">
        <v>237</v>
      </c>
      <c r="F10" s="87"/>
      <c r="G10" s="87"/>
      <c r="H10" s="87"/>
      <c r="I10" s="87"/>
      <c r="J10" s="87"/>
      <c r="L10" s="1"/>
      <c r="M10" s="1"/>
      <c r="N10" s="1"/>
    </row>
    <row r="11" spans="1:14" x14ac:dyDescent="0.25">
      <c r="A11" s="91" t="s">
        <v>17</v>
      </c>
      <c r="B11" s="92"/>
      <c r="C11" s="92" t="str">
        <f>"за "&amp;LOWER($A$9)</f>
        <v>за февраль</v>
      </c>
      <c r="D11" s="93">
        <f>COUNTA(фев_пр)</f>
        <v>1</v>
      </c>
      <c r="E11" s="94">
        <f>SUM(фев_кол)</f>
        <v>237</v>
      </c>
      <c r="F11" s="95">
        <f>COUNTA(акт_вх_фев)+COUNTA(акт_отб_фев)</f>
        <v>0</v>
      </c>
      <c r="G11" s="96"/>
      <c r="H11" s="96"/>
      <c r="I11" s="96"/>
      <c r="J11" s="97">
        <f>SUM(кол_отб_фев)</f>
        <v>0</v>
      </c>
      <c r="L11" s="1"/>
      <c r="M11" s="1"/>
      <c r="N11" s="1"/>
    </row>
    <row r="12" spans="1:14" x14ac:dyDescent="0.25">
      <c r="A12" s="252" t="s">
        <v>7</v>
      </c>
      <c r="B12" s="252"/>
      <c r="C12" s="252"/>
      <c r="D12" s="252"/>
      <c r="E12" s="252"/>
      <c r="F12" s="252"/>
      <c r="G12" s="252"/>
      <c r="H12" s="252"/>
      <c r="I12" s="252"/>
      <c r="J12" s="252"/>
      <c r="L12" s="1"/>
      <c r="M12" s="1"/>
      <c r="N12" s="1"/>
    </row>
    <row r="13" spans="1:14" x14ac:dyDescent="0.25">
      <c r="A13" s="113"/>
      <c r="B13" s="113"/>
      <c r="C13" s="114"/>
      <c r="D13" s="115"/>
      <c r="E13" s="113"/>
      <c r="F13" s="87"/>
      <c r="G13" s="87"/>
      <c r="H13" s="87"/>
      <c r="I13" s="87"/>
      <c r="J13" s="87"/>
      <c r="L13" s="1"/>
      <c r="M13" s="1"/>
      <c r="N13" s="1"/>
    </row>
    <row r="14" spans="1:14" x14ac:dyDescent="0.25">
      <c r="A14" s="91" t="s">
        <v>17</v>
      </c>
      <c r="B14" s="92"/>
      <c r="C14" s="92" t="str">
        <f>"за "&amp;LOWER($A$12)</f>
        <v>за март</v>
      </c>
      <c r="D14" s="93">
        <f>COUNTA(мрт_пр)</f>
        <v>0</v>
      </c>
      <c r="E14" s="94">
        <f>SUM(мрт_кол)</f>
        <v>0</v>
      </c>
      <c r="F14" s="95">
        <f>COUNTA(акт_вх_мрт)+COUNTA(акт_отб_мрт)</f>
        <v>0</v>
      </c>
      <c r="G14" s="104"/>
      <c r="H14" s="104"/>
      <c r="I14" s="104"/>
      <c r="J14" s="97">
        <f>SUM(кол_отб_мрт)</f>
        <v>0</v>
      </c>
      <c r="L14" s="1"/>
      <c r="M14" s="1"/>
      <c r="N14" s="1"/>
    </row>
    <row r="15" spans="1:14" ht="31.5" customHeight="1" x14ac:dyDescent="0.25">
      <c r="A15" s="105" t="s">
        <v>17</v>
      </c>
      <c r="B15" s="106"/>
      <c r="C15" s="106" t="s">
        <v>18</v>
      </c>
      <c r="D15" s="107">
        <f>SUM(D8,D11,D14)</f>
        <v>2</v>
      </c>
      <c r="E15" s="108">
        <f>SUM(E8,E11,E14)</f>
        <v>3191</v>
      </c>
      <c r="F15" s="109">
        <f>SUM(F8,F11,F14)</f>
        <v>0</v>
      </c>
      <c r="G15" s="106"/>
      <c r="H15" s="106" t="str">
        <f>"Кп= "&amp;ROUNDDOWN((F15/D15)*100,1)&amp;"%"</f>
        <v>Кп= 0%</v>
      </c>
      <c r="I15" s="106" t="str">
        <f>"Км= "&amp;ROUNDDOWN((J15/E15)*100,2)&amp;"%"</f>
        <v>Км= 0%</v>
      </c>
      <c r="J15" s="110">
        <f>SUM(J8,J11,J14)</f>
        <v>0</v>
      </c>
      <c r="L15" s="1"/>
      <c r="M15" s="1"/>
      <c r="N15" s="1"/>
    </row>
    <row r="16" spans="1:14" x14ac:dyDescent="0.25">
      <c r="A16" s="262" t="s">
        <v>8</v>
      </c>
      <c r="B16" s="262"/>
      <c r="C16" s="262"/>
      <c r="D16" s="262"/>
      <c r="E16" s="262"/>
      <c r="F16" s="262"/>
      <c r="G16" s="262"/>
      <c r="H16" s="262"/>
      <c r="I16" s="262"/>
      <c r="J16" s="262"/>
      <c r="L16" s="1"/>
      <c r="M16" s="1"/>
      <c r="N16" s="1"/>
    </row>
    <row r="17" spans="1:14" x14ac:dyDescent="0.25">
      <c r="A17" s="132"/>
      <c r="B17" s="132"/>
      <c r="C17" s="132"/>
      <c r="D17" s="132"/>
      <c r="E17" s="132"/>
      <c r="F17" s="132"/>
      <c r="G17" s="132"/>
      <c r="H17" s="132"/>
      <c r="I17" s="132"/>
      <c r="J17" s="132"/>
      <c r="L17" s="1"/>
      <c r="M17" s="1"/>
      <c r="N17" s="1"/>
    </row>
    <row r="18" spans="1:14" x14ac:dyDescent="0.25">
      <c r="A18" s="91" t="s">
        <v>17</v>
      </c>
      <c r="B18" s="92"/>
      <c r="C18" s="92" t="str">
        <f>"за "&amp;LOWER($A$16)</f>
        <v>за апрель</v>
      </c>
      <c r="D18" s="93">
        <f>COUNTA(апр_пр)</f>
        <v>0</v>
      </c>
      <c r="E18" s="94">
        <f>SUM(апр_кол)</f>
        <v>0</v>
      </c>
      <c r="F18" s="95">
        <f>COUNTA(акт_вх_апр)+COUNTA(акт_отб_апр)</f>
        <v>0</v>
      </c>
      <c r="G18" s="104"/>
      <c r="H18" s="104"/>
      <c r="I18" s="104"/>
      <c r="J18" s="97">
        <f>SUM(кол_отб_апр)</f>
        <v>0</v>
      </c>
      <c r="L18" s="1"/>
      <c r="M18" s="1"/>
      <c r="N18" s="1"/>
    </row>
    <row r="19" spans="1:14" x14ac:dyDescent="0.25">
      <c r="A19" s="252" t="s">
        <v>9</v>
      </c>
      <c r="B19" s="252"/>
      <c r="C19" s="252"/>
      <c r="D19" s="252"/>
      <c r="E19" s="252"/>
      <c r="F19" s="252"/>
      <c r="G19" s="252"/>
      <c r="H19" s="252"/>
      <c r="I19" s="252"/>
      <c r="J19" s="252"/>
      <c r="L19" s="1"/>
      <c r="M19" s="1"/>
      <c r="N19" s="1"/>
    </row>
    <row r="20" spans="1:14" x14ac:dyDescent="0.25">
      <c r="A20" s="131"/>
      <c r="B20" s="131"/>
      <c r="C20" s="131"/>
      <c r="D20" s="131"/>
      <c r="E20" s="131"/>
      <c r="F20" s="131"/>
      <c r="G20" s="131"/>
      <c r="H20" s="131"/>
      <c r="I20" s="131"/>
      <c r="J20" s="131"/>
      <c r="L20" s="1"/>
      <c r="M20" s="1"/>
      <c r="N20" s="1"/>
    </row>
    <row r="21" spans="1:14" x14ac:dyDescent="0.25">
      <c r="A21" s="91" t="s">
        <v>17</v>
      </c>
      <c r="B21" s="92"/>
      <c r="C21" s="92" t="str">
        <f>"за "&amp;LOWER($A$19)</f>
        <v>за май</v>
      </c>
      <c r="D21" s="93">
        <f>COUNTA(май_пр)</f>
        <v>0</v>
      </c>
      <c r="E21" s="94">
        <f>SUM(май_кол)</f>
        <v>0</v>
      </c>
      <c r="F21" s="95">
        <f>COUNTA(акт_вх_май)+COUNTA(акт_отб_май)</f>
        <v>0</v>
      </c>
      <c r="G21" s="104"/>
      <c r="H21" s="104"/>
      <c r="I21" s="104"/>
      <c r="J21" s="97">
        <f>SUM(кол_отб_май)</f>
        <v>0</v>
      </c>
    </row>
    <row r="22" spans="1:14" x14ac:dyDescent="0.25">
      <c r="A22" s="252" t="s">
        <v>10</v>
      </c>
      <c r="B22" s="252"/>
      <c r="C22" s="252"/>
      <c r="D22" s="252"/>
      <c r="E22" s="252"/>
      <c r="F22" s="252"/>
      <c r="G22" s="252"/>
      <c r="H22" s="252"/>
      <c r="I22" s="252"/>
      <c r="J22" s="252"/>
    </row>
    <row r="23" spans="1:14" x14ac:dyDescent="0.25">
      <c r="A23" s="135"/>
      <c r="B23" s="135"/>
      <c r="C23" s="135"/>
      <c r="D23" s="138"/>
      <c r="E23" s="135"/>
      <c r="F23" s="135"/>
      <c r="G23" s="135"/>
      <c r="H23" s="135"/>
      <c r="I23" s="135"/>
      <c r="J23" s="135"/>
    </row>
    <row r="24" spans="1:14" x14ac:dyDescent="0.25">
      <c r="A24" s="91" t="s">
        <v>17</v>
      </c>
      <c r="B24" s="92"/>
      <c r="C24" s="92" t="str">
        <f>"за "&amp;LOWER($A$22)</f>
        <v>за июнь</v>
      </c>
      <c r="D24" s="93">
        <f>COUNTA(июн_пр)</f>
        <v>0</v>
      </c>
      <c r="E24" s="94">
        <f>SUM(июн_кол)</f>
        <v>0</v>
      </c>
      <c r="F24" s="95">
        <f>COUNTA(акт_вх_июн)+COUNTA(акт_отб_июн)</f>
        <v>0</v>
      </c>
      <c r="G24" s="104"/>
      <c r="H24" s="104"/>
      <c r="I24" s="104"/>
      <c r="J24" s="97">
        <f>SUM(кол_отб_июн)</f>
        <v>0</v>
      </c>
    </row>
    <row r="25" spans="1:14" ht="31.5" customHeight="1" x14ac:dyDescent="0.25">
      <c r="A25" s="105" t="s">
        <v>17</v>
      </c>
      <c r="B25" s="106"/>
      <c r="C25" s="106" t="s">
        <v>109</v>
      </c>
      <c r="D25" s="107">
        <f>SUM(D18,D21,D24)</f>
        <v>0</v>
      </c>
      <c r="E25" s="108">
        <f>SUM(E18,E21,E24)</f>
        <v>0</v>
      </c>
      <c r="F25" s="109">
        <f>SUM(F18,F21,F24)</f>
        <v>0</v>
      </c>
      <c r="G25" s="106"/>
      <c r="H25" s="106" t="s">
        <v>232</v>
      </c>
      <c r="I25" s="106" t="s">
        <v>233</v>
      </c>
      <c r="J25" s="110">
        <f>SUM(J18,J21,J24)</f>
        <v>0</v>
      </c>
    </row>
    <row r="26" spans="1:14" ht="31.5" customHeight="1" x14ac:dyDescent="0.25">
      <c r="A26" s="105" t="s">
        <v>17</v>
      </c>
      <c r="B26" s="106"/>
      <c r="C26" s="106" t="s">
        <v>110</v>
      </c>
      <c r="D26" s="107">
        <f>SUM(D15,D25)</f>
        <v>2</v>
      </c>
      <c r="E26" s="108">
        <f>SUM(E25,E15)</f>
        <v>3191</v>
      </c>
      <c r="F26" s="109">
        <f>SUM(F25,F15)</f>
        <v>0</v>
      </c>
      <c r="G26" s="106"/>
      <c r="H26" s="106" t="str">
        <f>"Кп= "&amp;ROUNDDOWN((F26/D26)*100,1)&amp;"%"</f>
        <v>Кп= 0%</v>
      </c>
      <c r="I26" s="106" t="str">
        <f>"Км= "&amp;ROUNDDOWN((J26/E26)*100,2)&amp;"%"</f>
        <v>Км= 0%</v>
      </c>
      <c r="J26" s="110">
        <f>SUM(J25,J15)</f>
        <v>0</v>
      </c>
    </row>
    <row r="27" spans="1:14" x14ac:dyDescent="0.25">
      <c r="A27" s="267" t="s">
        <v>11</v>
      </c>
      <c r="B27" s="267"/>
      <c r="C27" s="267"/>
      <c r="D27" s="267"/>
      <c r="E27" s="267"/>
      <c r="F27" s="267"/>
      <c r="G27" s="267"/>
      <c r="H27" s="267"/>
      <c r="I27" s="267"/>
      <c r="J27" s="267"/>
    </row>
    <row r="28" spans="1:14" s="76" customFormat="1" x14ac:dyDescent="0.25">
      <c r="A28" s="135"/>
      <c r="B28" s="135"/>
      <c r="C28" s="135"/>
      <c r="D28" s="138"/>
      <c r="E28" s="135"/>
      <c r="F28" s="135"/>
      <c r="G28" s="135"/>
      <c r="H28" s="135"/>
      <c r="I28" s="135"/>
      <c r="J28" s="135"/>
    </row>
    <row r="29" spans="1:14" s="76" customFormat="1" x14ac:dyDescent="0.25">
      <c r="A29" s="91" t="s">
        <v>17</v>
      </c>
      <c r="B29" s="92"/>
      <c r="C29" s="92" t="str">
        <f>"за "&amp;LOWER($A$27)</f>
        <v>за июль</v>
      </c>
      <c r="D29" s="93">
        <f>COUNTA(июл_пр)</f>
        <v>0</v>
      </c>
      <c r="E29" s="94">
        <f>SUM(июл_кол)</f>
        <v>0</v>
      </c>
      <c r="F29" s="95">
        <f>COUNTA(акт_вх_июл)+COUNTA(акт_отб_июл)</f>
        <v>0</v>
      </c>
      <c r="G29" s="104"/>
      <c r="H29" s="104"/>
      <c r="I29" s="104"/>
      <c r="J29" s="97">
        <f>SUM(кол_отб_июл)</f>
        <v>0</v>
      </c>
    </row>
    <row r="30" spans="1:14" x14ac:dyDescent="0.25">
      <c r="A30" s="267" t="s">
        <v>13</v>
      </c>
      <c r="B30" s="267"/>
      <c r="C30" s="267"/>
      <c r="D30" s="267"/>
      <c r="E30" s="267"/>
      <c r="F30" s="267"/>
      <c r="G30" s="267"/>
      <c r="H30" s="267"/>
      <c r="I30" s="267"/>
      <c r="J30" s="267"/>
    </row>
    <row r="31" spans="1:14" s="76" customFormat="1" x14ac:dyDescent="0.25">
      <c r="A31" s="135"/>
      <c r="B31" s="135"/>
      <c r="C31" s="135"/>
      <c r="D31" s="138"/>
      <c r="E31" s="135"/>
      <c r="F31" s="135"/>
      <c r="G31" s="135"/>
      <c r="H31" s="135"/>
      <c r="I31" s="135"/>
      <c r="J31" s="135"/>
    </row>
    <row r="32" spans="1:14" s="76" customFormat="1" x14ac:dyDescent="0.25">
      <c r="A32" s="91" t="s">
        <v>17</v>
      </c>
      <c r="B32" s="92"/>
      <c r="C32" s="92" t="str">
        <f>"за "&amp;LOWER($A$30)</f>
        <v>за август</v>
      </c>
      <c r="D32" s="93">
        <f>COUNTA(авг_пр)</f>
        <v>0</v>
      </c>
      <c r="E32" s="94">
        <f>SUM(авг_кол)</f>
        <v>0</v>
      </c>
      <c r="F32" s="95">
        <f>COUNTA(акт_вх_авг)+COUNTA(акт_отб_авг)</f>
        <v>0</v>
      </c>
      <c r="G32" s="104"/>
      <c r="H32" s="104"/>
      <c r="I32" s="104"/>
      <c r="J32" s="97">
        <f>SUM(кол_отб_авг)</f>
        <v>0</v>
      </c>
    </row>
    <row r="33" spans="1:10" x14ac:dyDescent="0.25">
      <c r="A33" s="252" t="s">
        <v>12</v>
      </c>
      <c r="B33" s="252"/>
      <c r="C33" s="252"/>
      <c r="D33" s="252"/>
      <c r="E33" s="252"/>
      <c r="F33" s="252"/>
      <c r="G33" s="252"/>
      <c r="H33" s="252"/>
      <c r="I33" s="252"/>
      <c r="J33" s="252"/>
    </row>
    <row r="34" spans="1:10" x14ac:dyDescent="0.25">
      <c r="A34" s="135"/>
      <c r="B34" s="135"/>
      <c r="C34" s="135"/>
      <c r="D34" s="138"/>
      <c r="E34" s="135"/>
      <c r="F34" s="135"/>
      <c r="G34" s="135"/>
      <c r="H34" s="135"/>
      <c r="I34" s="135"/>
      <c r="J34" s="135"/>
    </row>
    <row r="35" spans="1:10" x14ac:dyDescent="0.25">
      <c r="A35" s="91" t="s">
        <v>17</v>
      </c>
      <c r="B35" s="92"/>
      <c r="C35" s="92" t="str">
        <f>"за "&amp;LOWER($A$33)</f>
        <v>за сентябрь</v>
      </c>
      <c r="D35" s="93">
        <f>COUNTA(снт_пр)</f>
        <v>0</v>
      </c>
      <c r="E35" s="94">
        <f>SUM(снт_кол)</f>
        <v>0</v>
      </c>
      <c r="F35" s="95">
        <f>COUNTA(акт_вх_снт)+COUNTA(акт_отб_снт)</f>
        <v>0</v>
      </c>
      <c r="G35" s="104"/>
      <c r="H35" s="104"/>
      <c r="I35" s="104"/>
      <c r="J35" s="97">
        <f>SUM(кол_отб_снт)</f>
        <v>0</v>
      </c>
    </row>
    <row r="36" spans="1:10" ht="30" customHeight="1" x14ac:dyDescent="0.25">
      <c r="A36" s="105" t="s">
        <v>17</v>
      </c>
      <c r="B36" s="106"/>
      <c r="C36" s="106" t="s">
        <v>111</v>
      </c>
      <c r="D36" s="107">
        <f>SUM(D29,D32,D35)</f>
        <v>0</v>
      </c>
      <c r="E36" s="108">
        <f>SUM(E29,E32,E35)</f>
        <v>0</v>
      </c>
      <c r="F36" s="109">
        <f>SUM(F29,F32,F35)</f>
        <v>0</v>
      </c>
      <c r="G36" s="106"/>
      <c r="H36" s="106" t="s">
        <v>232</v>
      </c>
      <c r="I36" s="106" t="s">
        <v>233</v>
      </c>
      <c r="J36" s="110">
        <f>SUM(J29,J32,J35)</f>
        <v>0</v>
      </c>
    </row>
    <row r="37" spans="1:10" ht="30" customHeight="1" x14ac:dyDescent="0.25">
      <c r="A37" s="105" t="s">
        <v>17</v>
      </c>
      <c r="B37" s="106"/>
      <c r="C37" s="106" t="s">
        <v>113</v>
      </c>
      <c r="D37" s="107">
        <f>SUM(D26,D36)</f>
        <v>2</v>
      </c>
      <c r="E37" s="108">
        <f>SUM(E36,E26)</f>
        <v>3191</v>
      </c>
      <c r="F37" s="109">
        <f>SUM(F36,F26)</f>
        <v>0</v>
      </c>
      <c r="G37" s="106"/>
      <c r="H37" s="106" t="str">
        <f>"Кп= "&amp;ROUNDDOWN((F37/D37)*100,1)&amp;"%"</f>
        <v>Кп= 0%</v>
      </c>
      <c r="I37" s="106" t="str">
        <f>"Км= "&amp;ROUNDDOWN((J37/E37)*100,2)&amp;"%"</f>
        <v>Км= 0%</v>
      </c>
      <c r="J37" s="110">
        <f>SUM(J36,J26)</f>
        <v>0</v>
      </c>
    </row>
    <row r="38" spans="1:10" ht="24.75" hidden="1" customHeight="1" outlineLevel="1" x14ac:dyDescent="0.25">
      <c r="A38" s="91" t="s">
        <v>20</v>
      </c>
      <c r="B38" s="92"/>
      <c r="C38" s="92"/>
      <c r="D38" s="111"/>
      <c r="E38" s="92"/>
      <c r="F38" s="92"/>
      <c r="G38" s="92" t="s">
        <v>21</v>
      </c>
      <c r="H38" s="92"/>
      <c r="I38" s="92"/>
      <c r="J38" s="112"/>
    </row>
    <row r="39" spans="1:10" ht="15" customHeight="1" collapsed="1" x14ac:dyDescent="0.25">
      <c r="A39" s="252" t="s">
        <v>14</v>
      </c>
      <c r="B39" s="252"/>
      <c r="C39" s="252"/>
      <c r="D39" s="252"/>
      <c r="E39" s="252"/>
      <c r="F39" s="252"/>
      <c r="G39" s="252"/>
      <c r="H39" s="252"/>
      <c r="I39" s="252"/>
      <c r="J39" s="252"/>
    </row>
    <row r="40" spans="1:10" x14ac:dyDescent="0.25">
      <c r="A40" s="135"/>
      <c r="B40" s="135"/>
      <c r="C40" s="135"/>
      <c r="D40" s="138"/>
      <c r="E40" s="135"/>
      <c r="F40" s="135"/>
      <c r="G40" s="135"/>
      <c r="H40" s="135"/>
      <c r="I40" s="135"/>
      <c r="J40" s="135"/>
    </row>
    <row r="41" spans="1:10" hidden="1" outlineLevel="1" x14ac:dyDescent="0.25">
      <c r="A41" s="135"/>
      <c r="B41" s="135"/>
      <c r="C41" s="135"/>
      <c r="D41" s="138"/>
      <c r="E41" s="135"/>
      <c r="F41" s="135"/>
      <c r="G41" s="135"/>
      <c r="H41" s="135"/>
      <c r="I41" s="135"/>
      <c r="J41" s="135"/>
    </row>
    <row r="42" spans="1:10" hidden="1" outlineLevel="1" x14ac:dyDescent="0.25">
      <c r="A42" s="135"/>
      <c r="B42" s="135"/>
      <c r="C42" s="135"/>
      <c r="D42" s="138"/>
      <c r="E42" s="135"/>
      <c r="F42" s="135"/>
      <c r="G42" s="135"/>
      <c r="H42" s="135"/>
      <c r="I42" s="135"/>
      <c r="J42" s="135"/>
    </row>
    <row r="43" spans="1:10" hidden="1" outlineLevel="1" x14ac:dyDescent="0.25">
      <c r="A43" s="135"/>
      <c r="B43" s="135"/>
      <c r="C43" s="135"/>
      <c r="D43" s="138"/>
      <c r="E43" s="135"/>
      <c r="F43" s="135"/>
      <c r="G43" s="135"/>
      <c r="H43" s="135"/>
      <c r="I43" s="135"/>
      <c r="J43" s="135"/>
    </row>
    <row r="44" spans="1:10" hidden="1" outlineLevel="1" x14ac:dyDescent="0.25">
      <c r="A44" s="135"/>
      <c r="B44" s="135"/>
      <c r="C44" s="135"/>
      <c r="D44" s="138"/>
      <c r="E44" s="135"/>
      <c r="F44" s="135"/>
      <c r="G44" s="135"/>
      <c r="H44" s="135"/>
      <c r="I44" s="135"/>
      <c r="J44" s="135"/>
    </row>
    <row r="45" spans="1:10" collapsed="1" x14ac:dyDescent="0.25">
      <c r="A45" s="91" t="s">
        <v>17</v>
      </c>
      <c r="B45" s="92"/>
      <c r="C45" s="92" t="str">
        <f>"за "&amp;LOWER($A$39)</f>
        <v>за октябрь</v>
      </c>
      <c r="D45" s="93">
        <f>COUNTA(окт_пр)</f>
        <v>0</v>
      </c>
      <c r="E45" s="94">
        <f>SUM(окт_кол)</f>
        <v>0</v>
      </c>
      <c r="F45" s="95">
        <f>COUNTA(акт_вх_окт)+COUNTA(акт_отб_окт)</f>
        <v>0</v>
      </c>
      <c r="G45" s="104"/>
      <c r="H45" s="104"/>
      <c r="I45" s="104"/>
      <c r="J45" s="97">
        <f>SUM(кол_отб_окт)</f>
        <v>0</v>
      </c>
    </row>
    <row r="46" spans="1:10" x14ac:dyDescent="0.25">
      <c r="A46" s="252" t="s">
        <v>15</v>
      </c>
      <c r="B46" s="252"/>
      <c r="C46" s="252"/>
      <c r="D46" s="252"/>
      <c r="E46" s="252"/>
      <c r="F46" s="252"/>
      <c r="G46" s="252"/>
      <c r="H46" s="252"/>
      <c r="I46" s="252"/>
      <c r="J46" s="252"/>
    </row>
    <row r="47" spans="1:10" x14ac:dyDescent="0.25">
      <c r="A47" s="135"/>
      <c r="B47" s="135"/>
      <c r="C47" s="135"/>
      <c r="D47" s="138"/>
      <c r="E47" s="135"/>
      <c r="F47" s="135"/>
      <c r="G47" s="135"/>
      <c r="H47" s="135"/>
      <c r="I47" s="135"/>
      <c r="J47" s="135"/>
    </row>
    <row r="48" spans="1:10" hidden="1" outlineLevel="1" x14ac:dyDescent="0.25">
      <c r="A48" s="135"/>
      <c r="B48" s="135"/>
      <c r="C48" s="135"/>
      <c r="D48" s="138"/>
      <c r="E48" s="135"/>
      <c r="F48" s="135"/>
      <c r="G48" s="135"/>
      <c r="H48" s="135"/>
      <c r="I48" s="135"/>
      <c r="J48" s="135"/>
    </row>
    <row r="49" spans="1:10" hidden="1" outlineLevel="1" x14ac:dyDescent="0.25">
      <c r="A49" s="135"/>
      <c r="B49" s="135"/>
      <c r="C49" s="135"/>
      <c r="D49" s="138"/>
      <c r="E49" s="135"/>
      <c r="F49" s="135"/>
      <c r="G49" s="135"/>
      <c r="H49" s="135"/>
      <c r="I49" s="135"/>
      <c r="J49" s="135"/>
    </row>
    <row r="50" spans="1:10" hidden="1" outlineLevel="1" x14ac:dyDescent="0.25">
      <c r="A50" s="135"/>
      <c r="B50" s="135"/>
      <c r="C50" s="135"/>
      <c r="D50" s="138"/>
      <c r="E50" s="135"/>
      <c r="F50" s="135"/>
      <c r="G50" s="135"/>
      <c r="H50" s="135"/>
      <c r="I50" s="135"/>
      <c r="J50" s="135"/>
    </row>
    <row r="51" spans="1:10" hidden="1" outlineLevel="1" x14ac:dyDescent="0.25">
      <c r="A51" s="135"/>
      <c r="B51" s="135"/>
      <c r="C51" s="135"/>
      <c r="D51" s="138"/>
      <c r="E51" s="135"/>
      <c r="F51" s="135"/>
      <c r="G51" s="135"/>
      <c r="H51" s="135"/>
      <c r="I51" s="135"/>
      <c r="J51" s="135"/>
    </row>
    <row r="52" spans="1:10" collapsed="1" x14ac:dyDescent="0.25">
      <c r="A52" s="91" t="s">
        <v>17</v>
      </c>
      <c r="B52" s="92"/>
      <c r="C52" s="92" t="str">
        <f>"за "&amp;LOWER($A$46)</f>
        <v>за ноябрь</v>
      </c>
      <c r="D52" s="93">
        <f>COUNTA(нбр_пр)</f>
        <v>0</v>
      </c>
      <c r="E52" s="94">
        <f>SUM(нбр_кол)</f>
        <v>0</v>
      </c>
      <c r="F52" s="95">
        <f>COUNTA(акт_вх_нбр)+COUNTA(акт_отб_нбр)</f>
        <v>0</v>
      </c>
      <c r="G52" s="104"/>
      <c r="H52" s="104"/>
      <c r="I52" s="104"/>
      <c r="J52" s="97">
        <f>SUM(кол_отб_нбр)</f>
        <v>0</v>
      </c>
    </row>
    <row r="53" spans="1:10" x14ac:dyDescent="0.25">
      <c r="A53" s="252" t="s">
        <v>16</v>
      </c>
      <c r="B53" s="252"/>
      <c r="C53" s="252"/>
      <c r="D53" s="252"/>
      <c r="E53" s="252"/>
      <c r="F53" s="252"/>
      <c r="G53" s="252"/>
      <c r="H53" s="252"/>
      <c r="I53" s="252"/>
      <c r="J53" s="252"/>
    </row>
    <row r="54" spans="1:10" x14ac:dyDescent="0.25">
      <c r="A54" s="135"/>
      <c r="B54" s="135"/>
      <c r="C54" s="135"/>
      <c r="D54" s="135"/>
      <c r="E54" s="135"/>
      <c r="F54" s="135"/>
      <c r="G54" s="135"/>
      <c r="H54" s="135"/>
      <c r="I54" s="135"/>
      <c r="J54" s="135"/>
    </row>
    <row r="55" spans="1:10" hidden="1" outlineLevel="1" x14ac:dyDescent="0.25">
      <c r="A55" s="135"/>
      <c r="B55" s="135"/>
      <c r="C55" s="135"/>
      <c r="D55" s="135"/>
      <c r="E55" s="135"/>
      <c r="F55" s="135"/>
      <c r="G55" s="135"/>
      <c r="H55" s="135"/>
      <c r="I55" s="135"/>
      <c r="J55" s="135"/>
    </row>
    <row r="56" spans="1:10" hidden="1" outlineLevel="1" x14ac:dyDescent="0.25">
      <c r="A56" s="135"/>
      <c r="B56" s="135"/>
      <c r="C56" s="135"/>
      <c r="D56" s="135"/>
      <c r="E56" s="135"/>
      <c r="F56" s="135"/>
      <c r="G56" s="135"/>
      <c r="H56" s="135"/>
      <c r="I56" s="135"/>
      <c r="J56" s="135"/>
    </row>
    <row r="57" spans="1:10" hidden="1" outlineLevel="1" x14ac:dyDescent="0.25">
      <c r="A57" s="135"/>
      <c r="B57" s="135"/>
      <c r="C57" s="135"/>
      <c r="D57" s="135"/>
      <c r="E57" s="135"/>
      <c r="F57" s="135"/>
      <c r="G57" s="135"/>
      <c r="H57" s="135"/>
      <c r="I57" s="135"/>
      <c r="J57" s="135"/>
    </row>
    <row r="58" spans="1:10" hidden="1" outlineLevel="1" x14ac:dyDescent="0.25">
      <c r="A58" s="135"/>
      <c r="B58" s="135"/>
      <c r="C58" s="135"/>
      <c r="D58" s="135"/>
      <c r="E58" s="135"/>
      <c r="F58" s="135"/>
      <c r="G58" s="135"/>
      <c r="H58" s="135"/>
      <c r="I58" s="135"/>
      <c r="J58" s="135"/>
    </row>
    <row r="59" spans="1:10" collapsed="1" x14ac:dyDescent="0.25">
      <c r="A59" s="91" t="s">
        <v>17</v>
      </c>
      <c r="B59" s="92"/>
      <c r="C59" s="92" t="str">
        <f>"за "&amp;LOWER($A$53)</f>
        <v>за декабрь</v>
      </c>
      <c r="D59" s="93">
        <f>COUNTA(дкб_пр)</f>
        <v>0</v>
      </c>
      <c r="E59" s="94">
        <f>SUM(дкб_кол)</f>
        <v>0</v>
      </c>
      <c r="F59" s="95">
        <f>COUNTA(акт_вх_дкб)+COUNTA(акт_отб_дкб)</f>
        <v>0</v>
      </c>
      <c r="G59" s="104"/>
      <c r="H59" s="104"/>
      <c r="I59" s="104"/>
      <c r="J59" s="97">
        <f>SUM(кол_отб_дкб)</f>
        <v>0</v>
      </c>
    </row>
    <row r="60" spans="1:10" ht="32.25" customHeight="1" x14ac:dyDescent="0.25">
      <c r="A60" s="105" t="s">
        <v>17</v>
      </c>
      <c r="B60" s="106"/>
      <c r="C60" s="106" t="s">
        <v>112</v>
      </c>
      <c r="D60" s="107">
        <f>SUM(D45,D52,D59)</f>
        <v>0</v>
      </c>
      <c r="E60" s="108">
        <f>SUM(E45,E52,E59)</f>
        <v>0</v>
      </c>
      <c r="F60" s="109">
        <f>SUM(F45,F52,F59)</f>
        <v>0</v>
      </c>
      <c r="G60" s="106"/>
      <c r="H60" s="106"/>
      <c r="I60" s="106"/>
      <c r="J60" s="110">
        <f>SUM(J45,J52,J59)</f>
        <v>0</v>
      </c>
    </row>
    <row r="61" spans="1:10" ht="27" customHeight="1" x14ac:dyDescent="0.25">
      <c r="A61" s="105" t="s">
        <v>17</v>
      </c>
      <c r="B61" s="106"/>
      <c r="C61" s="106" t="s">
        <v>114</v>
      </c>
      <c r="D61" s="107">
        <f>SUM(D60,D37)</f>
        <v>2</v>
      </c>
      <c r="E61" s="108">
        <f>SUM(E60,E37)</f>
        <v>3191</v>
      </c>
      <c r="F61" s="109">
        <f>SUM(F60,F37)</f>
        <v>0</v>
      </c>
      <c r="G61" s="106"/>
      <c r="H61" s="106" t="str">
        <f>"Кп= "&amp;ROUNDDOWN((F61/D61)*100,1)&amp;"%"</f>
        <v>Кп= 0%</v>
      </c>
      <c r="I61" s="106" t="str">
        <f>"Км= "&amp;ROUNDDOWN((J61/E61)*100,2)&amp;"%"</f>
        <v>Км= 0%</v>
      </c>
      <c r="J61" s="110">
        <f>SUM(J60,J37)</f>
        <v>0</v>
      </c>
    </row>
    <row r="62" spans="1:10" ht="26.25" customHeight="1" x14ac:dyDescent="0.25">
      <c r="A62" s="139" t="s">
        <v>20</v>
      </c>
      <c r="B62" s="139"/>
      <c r="C62" s="139"/>
      <c r="D62" s="140"/>
      <c r="E62" s="139"/>
      <c r="F62" s="139"/>
      <c r="G62" s="139" t="s">
        <v>21</v>
      </c>
      <c r="H62" s="139"/>
      <c r="I62" s="139"/>
      <c r="J62" s="139"/>
    </row>
  </sheetData>
  <sheetProtection algorithmName="SHA-512" hashValue="61c06xYHYPG57/35oVO5qsNDdzGapjAMpj9y5qBN7yLBl5ERIMqWpUDsEUxATjkLohzQtUFtkuXg+CJF6oYLLA==" saltValue="tJHkgxBkplixpgdnvxqG5Q==" spinCount="100000" sheet="1" formatCells="0" formatColumns="0" formatRows="0" insertColumns="0" insertRows="0" insertHyperlinks="0" deleteColumns="0" deleteRows="0" sort="0" autoFilter="0" pivotTables="0"/>
  <mergeCells count="21">
    <mergeCell ref="A53:J53"/>
    <mergeCell ref="A6:J6"/>
    <mergeCell ref="A9:J9"/>
    <mergeCell ref="A12:J12"/>
    <mergeCell ref="A16:J16"/>
    <mergeCell ref="A19:J19"/>
    <mergeCell ref="A22:J22"/>
    <mergeCell ref="A27:J27"/>
    <mergeCell ref="A30:J30"/>
    <mergeCell ref="A33:J33"/>
    <mergeCell ref="A39:J39"/>
    <mergeCell ref="A46:J46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6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336DE-7DAA-40D4-BDA2-B3AC39FFA70B}">
  <sheetPr codeName="Лист7">
    <pageSetUpPr fitToPage="1"/>
  </sheetPr>
  <dimension ref="A1:N63"/>
  <sheetViews>
    <sheetView zoomScaleNormal="100" workbookViewId="0">
      <pane ySplit="4" topLeftCell="A32" activePane="bottomLeft" state="frozen"/>
      <selection activeCell="A2" sqref="A2:J2"/>
      <selection pane="bottomLeft" activeCell="G24" sqref="G24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76"/>
      <c r="B1" s="76"/>
      <c r="C1" s="76"/>
      <c r="D1" s="76"/>
      <c r="E1" s="76"/>
      <c r="F1" s="76"/>
      <c r="G1" s="76"/>
      <c r="H1" s="76"/>
      <c r="I1" s="76"/>
      <c r="J1" s="77" t="s">
        <v>94</v>
      </c>
    </row>
    <row r="2" spans="1:14" ht="33.75" customHeight="1" x14ac:dyDescent="0.4">
      <c r="A2" s="255" t="s">
        <v>358</v>
      </c>
      <c r="B2" s="255"/>
      <c r="C2" s="255"/>
      <c r="D2" s="255"/>
      <c r="E2" s="255"/>
      <c r="F2" s="255"/>
      <c r="G2" s="255"/>
      <c r="H2" s="255"/>
      <c r="I2" s="255"/>
      <c r="J2" s="255"/>
    </row>
    <row r="3" spans="1:14" x14ac:dyDescent="0.25">
      <c r="A3" s="256" t="s">
        <v>0</v>
      </c>
      <c r="B3" s="257" t="s">
        <v>97</v>
      </c>
      <c r="C3" s="256" t="s">
        <v>1</v>
      </c>
      <c r="D3" s="259" t="s">
        <v>23</v>
      </c>
      <c r="E3" s="256" t="s">
        <v>96</v>
      </c>
      <c r="F3" s="256" t="s">
        <v>3</v>
      </c>
      <c r="G3" s="256"/>
      <c r="H3" s="260" t="s">
        <v>2</v>
      </c>
      <c r="I3" s="261"/>
      <c r="J3" s="259" t="s">
        <v>93</v>
      </c>
    </row>
    <row r="4" spans="1:14" ht="32.25" customHeight="1" x14ac:dyDescent="0.25">
      <c r="A4" s="256"/>
      <c r="B4" s="258"/>
      <c r="C4" s="256"/>
      <c r="D4" s="256"/>
      <c r="E4" s="256"/>
      <c r="F4" s="78" t="s">
        <v>0</v>
      </c>
      <c r="G4" s="78" t="s">
        <v>4</v>
      </c>
      <c r="H4" s="78" t="s">
        <v>0</v>
      </c>
      <c r="I4" s="78" t="s">
        <v>4</v>
      </c>
      <c r="J4" s="256"/>
    </row>
    <row r="5" spans="1:14" ht="14.25" customHeight="1" x14ac:dyDescent="0.25">
      <c r="A5" s="80">
        <v>1</v>
      </c>
      <c r="B5" s="80">
        <v>2</v>
      </c>
      <c r="C5" s="80">
        <v>3</v>
      </c>
      <c r="D5" s="80">
        <v>4</v>
      </c>
      <c r="E5" s="80">
        <v>5</v>
      </c>
      <c r="F5" s="80">
        <v>6</v>
      </c>
      <c r="G5" s="80">
        <v>7</v>
      </c>
      <c r="H5" s="80">
        <v>8</v>
      </c>
      <c r="I5" s="80">
        <v>9</v>
      </c>
      <c r="J5" s="80">
        <v>10</v>
      </c>
      <c r="M5" s="18"/>
    </row>
    <row r="6" spans="1:14" x14ac:dyDescent="0.25">
      <c r="A6" s="252" t="s">
        <v>5</v>
      </c>
      <c r="B6" s="252"/>
      <c r="C6" s="252"/>
      <c r="D6" s="252"/>
      <c r="E6" s="252"/>
      <c r="F6" s="252"/>
      <c r="G6" s="252"/>
      <c r="H6" s="252"/>
      <c r="I6" s="252"/>
      <c r="J6" s="252"/>
    </row>
    <row r="7" spans="1:14" x14ac:dyDescent="0.25">
      <c r="A7" s="113"/>
      <c r="B7" s="113"/>
      <c r="C7" s="114"/>
      <c r="D7" s="115"/>
      <c r="E7" s="116"/>
      <c r="F7" s="80"/>
      <c r="G7" s="80"/>
      <c r="H7" s="80"/>
      <c r="I7" s="80"/>
      <c r="J7" s="80"/>
    </row>
    <row r="8" spans="1:14" s="1" customFormat="1" x14ac:dyDescent="0.25">
      <c r="A8" s="91" t="s">
        <v>192</v>
      </c>
      <c r="B8" s="92"/>
      <c r="C8" s="92" t="str">
        <f>"за "&amp;LOWER($A$6)</f>
        <v>за январь</v>
      </c>
      <c r="D8" s="93">
        <f>COUNTA(янв_пр)</f>
        <v>0</v>
      </c>
      <c r="E8" s="94">
        <f>SUM(янв_кол)</f>
        <v>0</v>
      </c>
      <c r="F8" s="95">
        <f>COUNTA(акт_вх_янв)+COUNTA(акт_отб_янв)</f>
        <v>0</v>
      </c>
      <c r="G8" s="96"/>
      <c r="H8" s="96"/>
      <c r="I8" s="96"/>
      <c r="J8" s="97">
        <f>SUM(кол_отб_янв)</f>
        <v>0</v>
      </c>
    </row>
    <row r="9" spans="1:14" x14ac:dyDescent="0.25">
      <c r="A9" s="262" t="s">
        <v>6</v>
      </c>
      <c r="B9" s="262"/>
      <c r="C9" s="262"/>
      <c r="D9" s="262"/>
      <c r="E9" s="262"/>
      <c r="F9" s="262"/>
      <c r="G9" s="262"/>
      <c r="H9" s="262"/>
      <c r="I9" s="262"/>
      <c r="J9" s="262"/>
      <c r="L9" s="1"/>
      <c r="M9" s="1"/>
      <c r="N9" s="1"/>
    </row>
    <row r="10" spans="1:14" x14ac:dyDescent="0.25">
      <c r="A10" s="81">
        <v>1</v>
      </c>
      <c r="B10" s="98" t="s">
        <v>60</v>
      </c>
      <c r="C10" s="83" t="s">
        <v>144</v>
      </c>
      <c r="D10" s="84">
        <v>43880</v>
      </c>
      <c r="E10" s="85">
        <v>3000</v>
      </c>
      <c r="F10" s="87"/>
      <c r="G10" s="87"/>
      <c r="H10" s="87"/>
      <c r="I10" s="87"/>
      <c r="J10" s="87"/>
      <c r="L10" s="1"/>
      <c r="M10" s="1"/>
      <c r="N10" s="1"/>
    </row>
    <row r="11" spans="1:14" x14ac:dyDescent="0.25">
      <c r="A11" s="91" t="s">
        <v>192</v>
      </c>
      <c r="B11" s="92"/>
      <c r="C11" s="92" t="str">
        <f>"за "&amp;LOWER($A$9)</f>
        <v>за февраль</v>
      </c>
      <c r="D11" s="93">
        <f>COUNTA(фев_пр)</f>
        <v>1</v>
      </c>
      <c r="E11" s="94">
        <f>SUM(фев_кол)</f>
        <v>3000</v>
      </c>
      <c r="F11" s="95">
        <f>COUNTA(акт_вх_фев)+COUNTA(акт_отб_фев)</f>
        <v>0</v>
      </c>
      <c r="G11" s="96"/>
      <c r="H11" s="96"/>
      <c r="I11" s="96"/>
      <c r="J11" s="97">
        <f>SUM(кол_отб_фев)</f>
        <v>0</v>
      </c>
      <c r="L11" s="1"/>
      <c r="M11" s="1"/>
      <c r="N11" s="1"/>
    </row>
    <row r="12" spans="1:14" x14ac:dyDescent="0.25">
      <c r="A12" s="252" t="s">
        <v>7</v>
      </c>
      <c r="B12" s="252"/>
      <c r="C12" s="252"/>
      <c r="D12" s="252"/>
      <c r="E12" s="252"/>
      <c r="F12" s="252"/>
      <c r="G12" s="252"/>
      <c r="H12" s="252"/>
      <c r="I12" s="252"/>
      <c r="J12" s="252"/>
      <c r="L12" s="1"/>
      <c r="M12" s="1"/>
      <c r="N12" s="1"/>
    </row>
    <row r="13" spans="1:14" x14ac:dyDescent="0.25">
      <c r="A13" s="113"/>
      <c r="B13" s="113"/>
      <c r="C13" s="114"/>
      <c r="D13" s="115"/>
      <c r="E13" s="113"/>
      <c r="F13" s="87"/>
      <c r="G13" s="87"/>
      <c r="H13" s="87"/>
      <c r="I13" s="87"/>
      <c r="J13" s="87"/>
      <c r="L13" s="1"/>
      <c r="M13" s="1"/>
      <c r="N13" s="1"/>
    </row>
    <row r="14" spans="1:14" x14ac:dyDescent="0.25">
      <c r="A14" s="91" t="s">
        <v>192</v>
      </c>
      <c r="B14" s="92"/>
      <c r="C14" s="92" t="str">
        <f>"за "&amp;LOWER($A$12)</f>
        <v>за март</v>
      </c>
      <c r="D14" s="93">
        <f>COUNTA(мрт_пр)</f>
        <v>0</v>
      </c>
      <c r="E14" s="94">
        <f>SUM(мрт_кол)</f>
        <v>0</v>
      </c>
      <c r="F14" s="95">
        <f>COUNTA(акт_вх_мрт)+COUNTA(акт_отб_мрт)</f>
        <v>0</v>
      </c>
      <c r="G14" s="104"/>
      <c r="H14" s="104"/>
      <c r="I14" s="104"/>
      <c r="J14" s="97">
        <f>SUM(кол_отб_мрт)</f>
        <v>0</v>
      </c>
      <c r="L14" s="1"/>
      <c r="M14" s="1"/>
      <c r="N14" s="1"/>
    </row>
    <row r="15" spans="1:14" ht="31.5" customHeight="1" x14ac:dyDescent="0.25">
      <c r="A15" s="105" t="s">
        <v>192</v>
      </c>
      <c r="B15" s="106"/>
      <c r="C15" s="106" t="s">
        <v>18</v>
      </c>
      <c r="D15" s="107">
        <f>SUM(D8,D11,D14)</f>
        <v>1</v>
      </c>
      <c r="E15" s="108">
        <f>SUM(E8,E11,E14)</f>
        <v>3000</v>
      </c>
      <c r="F15" s="109">
        <f>SUM(F8,F11,F14)</f>
        <v>0</v>
      </c>
      <c r="G15" s="106"/>
      <c r="H15" s="106" t="str">
        <f>"Кп= "&amp;ROUNDDOWN((F15/D15)*100,1)&amp;"%"</f>
        <v>Кп= 0%</v>
      </c>
      <c r="I15" s="106" t="str">
        <f>"Км= "&amp;ROUNDDOWN((J15/E15)*100,2)&amp;"%"</f>
        <v>Км= 0%</v>
      </c>
      <c r="J15" s="110">
        <f>SUM(J8,J11,J14)</f>
        <v>0</v>
      </c>
      <c r="L15" s="1"/>
      <c r="M15" s="1"/>
      <c r="N15" s="1"/>
    </row>
    <row r="16" spans="1:14" x14ac:dyDescent="0.25">
      <c r="A16" s="262" t="s">
        <v>8</v>
      </c>
      <c r="B16" s="262"/>
      <c r="C16" s="262"/>
      <c r="D16" s="262"/>
      <c r="E16" s="262"/>
      <c r="F16" s="262"/>
      <c r="G16" s="262"/>
      <c r="H16" s="262"/>
      <c r="I16" s="262"/>
      <c r="J16" s="262"/>
      <c r="L16" s="1"/>
      <c r="M16" s="1"/>
      <c r="N16" s="1"/>
    </row>
    <row r="17" spans="1:14" x14ac:dyDescent="0.25">
      <c r="A17" s="132"/>
      <c r="B17" s="132"/>
      <c r="C17" s="132"/>
      <c r="D17" s="132"/>
      <c r="E17" s="132"/>
      <c r="F17" s="132"/>
      <c r="G17" s="132"/>
      <c r="H17" s="132"/>
      <c r="I17" s="132"/>
      <c r="J17" s="132"/>
      <c r="L17" s="1"/>
      <c r="M17" s="1"/>
      <c r="N17" s="1"/>
    </row>
    <row r="18" spans="1:14" x14ac:dyDescent="0.25">
      <c r="A18" s="91" t="s">
        <v>192</v>
      </c>
      <c r="B18" s="92"/>
      <c r="C18" s="92" t="str">
        <f>"за "&amp;LOWER($A$16)</f>
        <v>за апрель</v>
      </c>
      <c r="D18" s="93">
        <f>COUNTA(апр_пр)</f>
        <v>0</v>
      </c>
      <c r="E18" s="94">
        <f>SUM(апр_кол)</f>
        <v>0</v>
      </c>
      <c r="F18" s="95">
        <f>COUNTA(акт_вх_апр)+COUNTA(акт_отб_апр)</f>
        <v>0</v>
      </c>
      <c r="G18" s="104"/>
      <c r="H18" s="104"/>
      <c r="I18" s="104"/>
      <c r="J18" s="97">
        <f>SUM(кол_отб_апр)</f>
        <v>0</v>
      </c>
      <c r="L18" s="1"/>
      <c r="M18" s="1"/>
      <c r="N18" s="1"/>
    </row>
    <row r="19" spans="1:14" x14ac:dyDescent="0.25">
      <c r="A19" s="252" t="s">
        <v>9</v>
      </c>
      <c r="B19" s="252"/>
      <c r="C19" s="252"/>
      <c r="D19" s="252"/>
      <c r="E19" s="252"/>
      <c r="F19" s="252"/>
      <c r="G19" s="252"/>
      <c r="H19" s="252"/>
      <c r="I19" s="252"/>
      <c r="J19" s="252"/>
      <c r="L19" s="1"/>
      <c r="M19" s="1"/>
      <c r="N19" s="1"/>
    </row>
    <row r="20" spans="1:14" ht="27.75" customHeight="1" x14ac:dyDescent="0.25">
      <c r="A20" s="81">
        <v>2</v>
      </c>
      <c r="B20" s="99" t="s">
        <v>59</v>
      </c>
      <c r="C20" s="100" t="s">
        <v>186</v>
      </c>
      <c r="D20" s="101">
        <v>43964</v>
      </c>
      <c r="E20" s="146">
        <v>216</v>
      </c>
      <c r="F20" s="131"/>
      <c r="G20" s="131"/>
      <c r="H20" s="131"/>
      <c r="I20" s="131"/>
      <c r="J20" s="131"/>
      <c r="L20" s="1"/>
      <c r="M20" s="1"/>
      <c r="N20" s="1"/>
    </row>
    <row r="21" spans="1:14" x14ac:dyDescent="0.25">
      <c r="A21" s="91" t="s">
        <v>192</v>
      </c>
      <c r="B21" s="92"/>
      <c r="C21" s="92" t="str">
        <f>"за "&amp;LOWER($A$19)</f>
        <v>за май</v>
      </c>
      <c r="D21" s="93">
        <f>COUNTA(май_пр)</f>
        <v>1</v>
      </c>
      <c r="E21" s="94">
        <f>SUM(май_кол)</f>
        <v>216</v>
      </c>
      <c r="F21" s="95">
        <f>COUNTA(акт_вх_май)+COUNTA(акт_отб_май)</f>
        <v>0</v>
      </c>
      <c r="G21" s="104"/>
      <c r="H21" s="104"/>
      <c r="I21" s="104"/>
      <c r="J21" s="97">
        <f>SUM(кол_отб_май)</f>
        <v>0</v>
      </c>
    </row>
    <row r="22" spans="1:14" x14ac:dyDescent="0.25">
      <c r="A22" s="252" t="s">
        <v>10</v>
      </c>
      <c r="B22" s="252"/>
      <c r="C22" s="252"/>
      <c r="D22" s="252"/>
      <c r="E22" s="252"/>
      <c r="F22" s="252"/>
      <c r="G22" s="252"/>
      <c r="H22" s="252"/>
      <c r="I22" s="252"/>
      <c r="J22" s="252"/>
    </row>
    <row r="23" spans="1:14" x14ac:dyDescent="0.25">
      <c r="A23" s="135"/>
      <c r="B23" s="135"/>
      <c r="C23" s="135"/>
      <c r="D23" s="138"/>
      <c r="E23" s="135"/>
      <c r="F23" s="135"/>
      <c r="G23" s="135"/>
      <c r="H23" s="135"/>
      <c r="I23" s="135"/>
      <c r="J23" s="135"/>
    </row>
    <row r="24" spans="1:14" x14ac:dyDescent="0.25">
      <c r="A24" s="91" t="s">
        <v>192</v>
      </c>
      <c r="B24" s="92"/>
      <c r="C24" s="92" t="str">
        <f>"за "&amp;LOWER($A$22)</f>
        <v>за июнь</v>
      </c>
      <c r="D24" s="93">
        <f>COUNTA(июн_пр)</f>
        <v>0</v>
      </c>
      <c r="E24" s="94">
        <f>SUM(июн_кол)</f>
        <v>0</v>
      </c>
      <c r="F24" s="95">
        <f>COUNTA(акт_вх_июн)+COUNTA(акт_отб_июн)</f>
        <v>0</v>
      </c>
      <c r="G24" s="104"/>
      <c r="H24" s="104"/>
      <c r="I24" s="104"/>
      <c r="J24" s="97">
        <f>SUM(кол_отб_июн)</f>
        <v>0</v>
      </c>
    </row>
    <row r="25" spans="1:14" ht="31.5" customHeight="1" x14ac:dyDescent="0.25">
      <c r="A25" s="105" t="s">
        <v>192</v>
      </c>
      <c r="B25" s="106"/>
      <c r="C25" s="106" t="s">
        <v>109</v>
      </c>
      <c r="D25" s="107">
        <f>SUM(D18,D21,D24)</f>
        <v>1</v>
      </c>
      <c r="E25" s="108">
        <f>SUM(E18,E21,E24)</f>
        <v>216</v>
      </c>
      <c r="F25" s="109">
        <f>SUM(F18,F21,F24)</f>
        <v>0</v>
      </c>
      <c r="G25" s="106"/>
      <c r="H25" s="106" t="str">
        <f>"Кп= "&amp;ROUNDDOWN((F25/D25)*100,1)&amp;"%"</f>
        <v>Кп= 0%</v>
      </c>
      <c r="I25" s="106" t="str">
        <f>"Км= "&amp;ROUNDDOWN((J25/E25)*100,2)&amp;"%"</f>
        <v>Км= 0%</v>
      </c>
      <c r="J25" s="110">
        <f>SUM(J18,J21,J24)</f>
        <v>0</v>
      </c>
    </row>
    <row r="26" spans="1:14" ht="31.5" customHeight="1" x14ac:dyDescent="0.25">
      <c r="A26" s="149" t="s">
        <v>192</v>
      </c>
      <c r="B26" s="106"/>
      <c r="C26" s="106" t="s">
        <v>110</v>
      </c>
      <c r="D26" s="107">
        <f>SUM(D15,D25)</f>
        <v>2</v>
      </c>
      <c r="E26" s="108">
        <f>SUM(E25,E15)</f>
        <v>3216</v>
      </c>
      <c r="F26" s="109">
        <f>SUM(F25,F15)</f>
        <v>0</v>
      </c>
      <c r="G26" s="106"/>
      <c r="H26" s="106" t="str">
        <f>"Кп= "&amp;ROUNDDOWN((F26/D26)*100,1)&amp;"%"</f>
        <v>Кп= 0%</v>
      </c>
      <c r="I26" s="106" t="str">
        <f>"Км= "&amp;ROUNDDOWN((J26/E26)*100,2)&amp;"%"</f>
        <v>Км= 0%</v>
      </c>
      <c r="J26" s="110">
        <f>SUM(J25,J15)</f>
        <v>0</v>
      </c>
    </row>
    <row r="27" spans="1:14" x14ac:dyDescent="0.25">
      <c r="A27" s="252" t="s">
        <v>11</v>
      </c>
      <c r="B27" s="252"/>
      <c r="C27" s="252"/>
      <c r="D27" s="252"/>
      <c r="E27" s="252"/>
      <c r="F27" s="252"/>
      <c r="G27" s="252"/>
      <c r="H27" s="252"/>
      <c r="I27" s="252"/>
      <c r="J27" s="252"/>
    </row>
    <row r="28" spans="1:14" x14ac:dyDescent="0.25">
      <c r="A28" s="81">
        <v>3</v>
      </c>
      <c r="B28" s="117" t="s">
        <v>60</v>
      </c>
      <c r="C28" s="118" t="s">
        <v>250</v>
      </c>
      <c r="D28" s="119">
        <v>44036</v>
      </c>
      <c r="E28" s="125">
        <v>1200</v>
      </c>
      <c r="F28" s="135"/>
      <c r="G28" s="135"/>
      <c r="H28" s="135"/>
      <c r="I28" s="135"/>
      <c r="J28" s="135"/>
    </row>
    <row r="29" spans="1:14" x14ac:dyDescent="0.25">
      <c r="A29" s="91" t="s">
        <v>192</v>
      </c>
      <c r="B29" s="92"/>
      <c r="C29" s="92" t="str">
        <f>"за "&amp;LOWER($A$27)</f>
        <v>за июль</v>
      </c>
      <c r="D29" s="93">
        <f>COUNTA(июл_пр)</f>
        <v>1</v>
      </c>
      <c r="E29" s="94">
        <f>SUM(июл_кол)</f>
        <v>1200</v>
      </c>
      <c r="F29" s="95">
        <f>COUNTA(акт_вх_июл)+COUNTA(акт_отб_июл)</f>
        <v>0</v>
      </c>
      <c r="G29" s="104"/>
      <c r="H29" s="104"/>
      <c r="I29" s="104"/>
      <c r="J29" s="97">
        <f>SUM(кол_отб_июл)</f>
        <v>0</v>
      </c>
    </row>
    <row r="30" spans="1:14" x14ac:dyDescent="0.25">
      <c r="A30" s="252" t="s">
        <v>13</v>
      </c>
      <c r="B30" s="252"/>
      <c r="C30" s="252"/>
      <c r="D30" s="252"/>
      <c r="E30" s="252"/>
      <c r="F30" s="252"/>
      <c r="G30" s="252"/>
      <c r="H30" s="252"/>
      <c r="I30" s="252"/>
      <c r="J30" s="252"/>
    </row>
    <row r="31" spans="1:14" x14ac:dyDescent="0.25">
      <c r="A31" s="81">
        <v>4</v>
      </c>
      <c r="B31" s="117" t="s">
        <v>60</v>
      </c>
      <c r="C31" s="118" t="s">
        <v>268</v>
      </c>
      <c r="D31" s="119">
        <v>44067</v>
      </c>
      <c r="E31" s="125">
        <v>3000</v>
      </c>
      <c r="F31" s="135"/>
      <c r="G31" s="135"/>
      <c r="H31" s="135"/>
      <c r="I31" s="135"/>
      <c r="J31" s="135"/>
    </row>
    <row r="32" spans="1:14" x14ac:dyDescent="0.25">
      <c r="A32" s="91" t="s">
        <v>192</v>
      </c>
      <c r="B32" s="92"/>
      <c r="C32" s="92" t="str">
        <f>"за "&amp;LOWER($A$30)</f>
        <v>за август</v>
      </c>
      <c r="D32" s="93">
        <f>COUNTA(авг_пр)</f>
        <v>1</v>
      </c>
      <c r="E32" s="94">
        <f>SUM(авг_кол)</f>
        <v>3000</v>
      </c>
      <c r="F32" s="95">
        <f>COUNTA(акт_вх_авг)+COUNTA(акт_отб_авг)</f>
        <v>0</v>
      </c>
      <c r="G32" s="104"/>
      <c r="H32" s="104"/>
      <c r="I32" s="104"/>
      <c r="J32" s="97">
        <f>SUM(кол_отб_авг)</f>
        <v>0</v>
      </c>
    </row>
    <row r="33" spans="1:10" x14ac:dyDescent="0.25">
      <c r="A33" s="252" t="s">
        <v>12</v>
      </c>
      <c r="B33" s="252"/>
      <c r="C33" s="252"/>
      <c r="D33" s="252"/>
      <c r="E33" s="252"/>
      <c r="F33" s="252"/>
      <c r="G33" s="252"/>
      <c r="H33" s="252"/>
      <c r="I33" s="252"/>
      <c r="J33" s="252"/>
    </row>
    <row r="34" spans="1:10" x14ac:dyDescent="0.25">
      <c r="A34" s="81">
        <v>5</v>
      </c>
      <c r="B34" s="99" t="s">
        <v>62</v>
      </c>
      <c r="C34" s="100" t="s">
        <v>275</v>
      </c>
      <c r="D34" s="101">
        <v>44077</v>
      </c>
      <c r="E34" s="102">
        <v>700</v>
      </c>
      <c r="F34" s="135"/>
      <c r="G34" s="135"/>
      <c r="H34" s="135"/>
      <c r="I34" s="135"/>
      <c r="J34" s="135"/>
    </row>
    <row r="35" spans="1:10" x14ac:dyDescent="0.25">
      <c r="A35" s="91" t="s">
        <v>192</v>
      </c>
      <c r="B35" s="92"/>
      <c r="C35" s="92" t="str">
        <f>"за "&amp;LOWER($A$33)</f>
        <v>за сентябрь</v>
      </c>
      <c r="D35" s="93">
        <f>COUNTA(снт_пр)</f>
        <v>1</v>
      </c>
      <c r="E35" s="94">
        <f>SUM(снт_кол)</f>
        <v>700</v>
      </c>
      <c r="F35" s="95">
        <f>COUNTA(акт_вх_снт)+COUNTA(акт_отб_снт)</f>
        <v>0</v>
      </c>
      <c r="G35" s="104"/>
      <c r="H35" s="104"/>
      <c r="I35" s="104"/>
      <c r="J35" s="97">
        <f>SUM(кол_отб_снт)</f>
        <v>0</v>
      </c>
    </row>
    <row r="36" spans="1:10" ht="30" customHeight="1" x14ac:dyDescent="0.25">
      <c r="A36" s="105" t="s">
        <v>192</v>
      </c>
      <c r="B36" s="106"/>
      <c r="C36" s="106" t="s">
        <v>111</v>
      </c>
      <c r="D36" s="107">
        <f>SUM(D29,D32,D35)</f>
        <v>3</v>
      </c>
      <c r="E36" s="108">
        <f>SUM(E29,E32,E35)</f>
        <v>4900</v>
      </c>
      <c r="F36" s="109">
        <f>SUM(F29,F32,F35)</f>
        <v>0</v>
      </c>
      <c r="G36" s="106"/>
      <c r="H36" s="106" t="str">
        <f>"Кп= "&amp;ROUNDDOWN((F36/D36)*100,1)&amp;"%"</f>
        <v>Кп= 0%</v>
      </c>
      <c r="I36" s="106" t="str">
        <f>"Км= "&amp;ROUNDDOWN((J36/E36)*100,2)&amp;"%"</f>
        <v>Км= 0%</v>
      </c>
      <c r="J36" s="110">
        <f>SUM(J29,J32,J35)</f>
        <v>0</v>
      </c>
    </row>
    <row r="37" spans="1:10" ht="30" customHeight="1" x14ac:dyDescent="0.25">
      <c r="A37" s="105" t="s">
        <v>192</v>
      </c>
      <c r="B37" s="106"/>
      <c r="C37" s="106" t="s">
        <v>113</v>
      </c>
      <c r="D37" s="107">
        <f>SUM(D26,D36)</f>
        <v>5</v>
      </c>
      <c r="E37" s="108">
        <f>SUM(E36,E26)</f>
        <v>8116</v>
      </c>
      <c r="F37" s="109">
        <f>SUM(F36,F26)</f>
        <v>0</v>
      </c>
      <c r="G37" s="106"/>
      <c r="H37" s="106" t="str">
        <f>"Кп= "&amp;ROUNDDOWN((F37/D37)*100,1)&amp;"%"</f>
        <v>Кп= 0%</v>
      </c>
      <c r="I37" s="106" t="str">
        <f>"Км= "&amp;ROUNDDOWN((J37/E37)*100,2)&amp;"%"</f>
        <v>Км= 0%</v>
      </c>
      <c r="J37" s="110">
        <f>SUM(J36,J26)</f>
        <v>0</v>
      </c>
    </row>
    <row r="38" spans="1:10" ht="24.75" hidden="1" customHeight="1" outlineLevel="1" x14ac:dyDescent="0.25">
      <c r="A38" s="139" t="s">
        <v>20</v>
      </c>
      <c r="B38" s="139"/>
      <c r="C38" s="139"/>
      <c r="D38" s="140"/>
      <c r="E38" s="139"/>
      <c r="F38" s="139"/>
      <c r="G38" s="139" t="s">
        <v>21</v>
      </c>
      <c r="H38" s="139"/>
      <c r="I38" s="139"/>
      <c r="J38" s="139"/>
    </row>
    <row r="39" spans="1:10" ht="15" customHeight="1" collapsed="1" x14ac:dyDescent="0.25">
      <c r="A39" s="252" t="s">
        <v>14</v>
      </c>
      <c r="B39" s="252"/>
      <c r="C39" s="252"/>
      <c r="D39" s="252"/>
      <c r="E39" s="252"/>
      <c r="F39" s="252"/>
      <c r="G39" s="252"/>
      <c r="H39" s="252"/>
      <c r="I39" s="252"/>
      <c r="J39" s="252"/>
    </row>
    <row r="40" spans="1:10" x14ac:dyDescent="0.25">
      <c r="A40" s="81">
        <v>6</v>
      </c>
      <c r="B40" s="117" t="s">
        <v>60</v>
      </c>
      <c r="C40" s="118" t="s">
        <v>302</v>
      </c>
      <c r="D40" s="119">
        <v>44110</v>
      </c>
      <c r="E40" s="125">
        <v>3000</v>
      </c>
      <c r="F40" s="135"/>
      <c r="G40" s="135"/>
      <c r="H40" s="135"/>
      <c r="I40" s="135"/>
      <c r="J40" s="135"/>
    </row>
    <row r="41" spans="1:10" hidden="1" outlineLevel="1" x14ac:dyDescent="0.25">
      <c r="A41" s="135"/>
      <c r="B41" s="135"/>
      <c r="C41" s="135"/>
      <c r="D41" s="138"/>
      <c r="E41" s="135"/>
      <c r="F41" s="135"/>
      <c r="G41" s="135"/>
      <c r="H41" s="135"/>
      <c r="I41" s="135"/>
      <c r="J41" s="135"/>
    </row>
    <row r="42" spans="1:10" hidden="1" outlineLevel="1" x14ac:dyDescent="0.25">
      <c r="A42" s="135"/>
      <c r="B42" s="135"/>
      <c r="C42" s="135"/>
      <c r="D42" s="138"/>
      <c r="E42" s="135"/>
      <c r="F42" s="135"/>
      <c r="G42" s="135"/>
      <c r="H42" s="135"/>
      <c r="I42" s="135"/>
      <c r="J42" s="135"/>
    </row>
    <row r="43" spans="1:10" hidden="1" outlineLevel="1" x14ac:dyDescent="0.25">
      <c r="A43" s="135"/>
      <c r="B43" s="135"/>
      <c r="C43" s="135"/>
      <c r="D43" s="138"/>
      <c r="E43" s="135"/>
      <c r="F43" s="135"/>
      <c r="G43" s="135"/>
      <c r="H43" s="135"/>
      <c r="I43" s="135"/>
      <c r="J43" s="135"/>
    </row>
    <row r="44" spans="1:10" hidden="1" outlineLevel="1" x14ac:dyDescent="0.25">
      <c r="A44" s="135"/>
      <c r="B44" s="135"/>
      <c r="C44" s="135"/>
      <c r="D44" s="138"/>
      <c r="E44" s="135"/>
      <c r="F44" s="135"/>
      <c r="G44" s="135"/>
      <c r="H44" s="135"/>
      <c r="I44" s="135"/>
      <c r="J44" s="135"/>
    </row>
    <row r="45" spans="1:10" collapsed="1" x14ac:dyDescent="0.25">
      <c r="A45" s="91" t="s">
        <v>192</v>
      </c>
      <c r="B45" s="92"/>
      <c r="C45" s="92" t="str">
        <f>"за "&amp;LOWER($A$39)</f>
        <v>за октябрь</v>
      </c>
      <c r="D45" s="93">
        <f>COUNTA(окт_пр)</f>
        <v>1</v>
      </c>
      <c r="E45" s="94">
        <f>SUM(окт_кол)</f>
        <v>3000</v>
      </c>
      <c r="F45" s="95">
        <f>COUNTA(акт_вх_окт)+COUNTA(акт_отб_окт)</f>
        <v>0</v>
      </c>
      <c r="G45" s="104"/>
      <c r="H45" s="104"/>
      <c r="I45" s="104"/>
      <c r="J45" s="97">
        <f>SUM(кол_отб_окт)</f>
        <v>0</v>
      </c>
    </row>
    <row r="46" spans="1:10" x14ac:dyDescent="0.25">
      <c r="A46" s="252" t="s">
        <v>15</v>
      </c>
      <c r="B46" s="252"/>
      <c r="C46" s="252"/>
      <c r="D46" s="252"/>
      <c r="E46" s="252"/>
      <c r="F46" s="252"/>
      <c r="G46" s="252"/>
      <c r="H46" s="252"/>
      <c r="I46" s="252"/>
      <c r="J46" s="252"/>
    </row>
    <row r="47" spans="1:10" ht="30" x14ac:dyDescent="0.25">
      <c r="A47" s="81">
        <v>7</v>
      </c>
      <c r="B47" s="117" t="s">
        <v>59</v>
      </c>
      <c r="C47" s="118" t="s">
        <v>319</v>
      </c>
      <c r="D47" s="119">
        <v>44148</v>
      </c>
      <c r="E47" s="147">
        <v>324</v>
      </c>
      <c r="F47" s="135"/>
      <c r="G47" s="135"/>
      <c r="H47" s="135"/>
      <c r="I47" s="135"/>
      <c r="J47" s="135"/>
    </row>
    <row r="48" spans="1:10" hidden="1" outlineLevel="1" x14ac:dyDescent="0.25">
      <c r="A48" s="135"/>
      <c r="B48" s="135"/>
      <c r="C48" s="135"/>
      <c r="D48" s="138"/>
      <c r="E48" s="135"/>
      <c r="F48" s="135"/>
      <c r="G48" s="135"/>
      <c r="H48" s="135"/>
      <c r="I48" s="135"/>
      <c r="J48" s="135"/>
    </row>
    <row r="49" spans="1:10" hidden="1" outlineLevel="1" x14ac:dyDescent="0.25">
      <c r="A49" s="135"/>
      <c r="B49" s="135"/>
      <c r="C49" s="135"/>
      <c r="D49" s="138"/>
      <c r="E49" s="135"/>
      <c r="F49" s="135"/>
      <c r="G49" s="135"/>
      <c r="H49" s="135"/>
      <c r="I49" s="135"/>
      <c r="J49" s="135"/>
    </row>
    <row r="50" spans="1:10" hidden="1" outlineLevel="1" x14ac:dyDescent="0.25">
      <c r="A50" s="135"/>
      <c r="B50" s="135"/>
      <c r="C50" s="135"/>
      <c r="D50" s="138"/>
      <c r="E50" s="135"/>
      <c r="F50" s="135"/>
      <c r="G50" s="135"/>
      <c r="H50" s="135"/>
      <c r="I50" s="135"/>
      <c r="J50" s="135"/>
    </row>
    <row r="51" spans="1:10" hidden="1" outlineLevel="1" x14ac:dyDescent="0.25">
      <c r="A51" s="135"/>
      <c r="B51" s="135"/>
      <c r="C51" s="135"/>
      <c r="D51" s="138"/>
      <c r="E51" s="135"/>
      <c r="F51" s="135"/>
      <c r="G51" s="135"/>
      <c r="H51" s="135"/>
      <c r="I51" s="135"/>
      <c r="J51" s="135"/>
    </row>
    <row r="52" spans="1:10" collapsed="1" x14ac:dyDescent="0.25">
      <c r="A52" s="91" t="s">
        <v>192</v>
      </c>
      <c r="B52" s="92"/>
      <c r="C52" s="92" t="str">
        <f>"за "&amp;LOWER($A$46)</f>
        <v>за ноябрь</v>
      </c>
      <c r="D52" s="93">
        <f>COUNTA(нбр_пр)</f>
        <v>1</v>
      </c>
      <c r="E52" s="94">
        <f>SUM(нбр_кол)</f>
        <v>324</v>
      </c>
      <c r="F52" s="95">
        <f>COUNTA(акт_вх_нбр)+COUNTA(акт_отб_нбр)</f>
        <v>0</v>
      </c>
      <c r="G52" s="104"/>
      <c r="H52" s="104"/>
      <c r="I52" s="104"/>
      <c r="J52" s="97">
        <f>SUM(кол_отб_нбр)</f>
        <v>0</v>
      </c>
    </row>
    <row r="53" spans="1:10" x14ac:dyDescent="0.25">
      <c r="A53" s="252" t="s">
        <v>16</v>
      </c>
      <c r="B53" s="252"/>
      <c r="C53" s="252"/>
      <c r="D53" s="252"/>
      <c r="E53" s="252"/>
      <c r="F53" s="252"/>
      <c r="G53" s="252"/>
      <c r="H53" s="252"/>
      <c r="I53" s="252"/>
      <c r="J53" s="252"/>
    </row>
    <row r="54" spans="1:10" x14ac:dyDescent="0.25">
      <c r="A54" s="81">
        <v>8</v>
      </c>
      <c r="B54" s="98" t="s">
        <v>60</v>
      </c>
      <c r="C54" s="83" t="s">
        <v>341</v>
      </c>
      <c r="D54" s="84">
        <v>44179</v>
      </c>
      <c r="E54" s="124">
        <v>1500</v>
      </c>
      <c r="F54" s="135"/>
      <c r="G54" s="135"/>
      <c r="H54" s="135"/>
      <c r="I54" s="135"/>
      <c r="J54" s="135"/>
    </row>
    <row r="55" spans="1:10" hidden="1" outlineLevel="1" x14ac:dyDescent="0.25">
      <c r="A55" s="135"/>
      <c r="B55" s="135"/>
      <c r="C55" s="135"/>
      <c r="D55" s="135"/>
      <c r="E55" s="135"/>
      <c r="F55" s="135"/>
      <c r="G55" s="135"/>
      <c r="H55" s="135"/>
      <c r="I55" s="135"/>
      <c r="J55" s="135"/>
    </row>
    <row r="56" spans="1:10" hidden="1" outlineLevel="1" x14ac:dyDescent="0.25">
      <c r="A56" s="135"/>
      <c r="B56" s="135"/>
      <c r="C56" s="135"/>
      <c r="D56" s="135"/>
      <c r="E56" s="135"/>
      <c r="F56" s="135"/>
      <c r="G56" s="135"/>
      <c r="H56" s="135"/>
      <c r="I56" s="135"/>
      <c r="J56" s="135"/>
    </row>
    <row r="57" spans="1:10" hidden="1" outlineLevel="1" x14ac:dyDescent="0.25">
      <c r="A57" s="135"/>
      <c r="B57" s="135"/>
      <c r="C57" s="135"/>
      <c r="D57" s="135"/>
      <c r="E57" s="135"/>
      <c r="F57" s="135"/>
      <c r="G57" s="135"/>
      <c r="H57" s="135"/>
      <c r="I57" s="135"/>
      <c r="J57" s="135"/>
    </row>
    <row r="58" spans="1:10" hidden="1" outlineLevel="1" x14ac:dyDescent="0.25">
      <c r="A58" s="135"/>
      <c r="B58" s="135"/>
      <c r="C58" s="135"/>
      <c r="D58" s="135"/>
      <c r="E58" s="135"/>
      <c r="F58" s="135"/>
      <c r="G58" s="135"/>
      <c r="H58" s="135"/>
      <c r="I58" s="135"/>
      <c r="J58" s="135"/>
    </row>
    <row r="59" spans="1:10" collapsed="1" x14ac:dyDescent="0.25">
      <c r="A59" s="91" t="s">
        <v>192</v>
      </c>
      <c r="B59" s="92"/>
      <c r="C59" s="92" t="str">
        <f>"за "&amp;LOWER($A$53)</f>
        <v>за декабрь</v>
      </c>
      <c r="D59" s="93">
        <f>COUNTA(дкб_пр)</f>
        <v>1</v>
      </c>
      <c r="E59" s="94">
        <f>SUM(дкб_кол)</f>
        <v>1500</v>
      </c>
      <c r="F59" s="95">
        <f>COUNTA(акт_вх_дкб)+COUNTA(акт_отб_дкб)</f>
        <v>0</v>
      </c>
      <c r="G59" s="104"/>
      <c r="H59" s="104"/>
      <c r="I59" s="104"/>
      <c r="J59" s="97">
        <f>SUM(кол_отб_дкб)</f>
        <v>0</v>
      </c>
    </row>
    <row r="60" spans="1:10" ht="32.25" customHeight="1" x14ac:dyDescent="0.25">
      <c r="A60" s="105" t="s">
        <v>192</v>
      </c>
      <c r="B60" s="106"/>
      <c r="C60" s="106" t="s">
        <v>112</v>
      </c>
      <c r="D60" s="107">
        <f>SUM(D45,D52,D59)</f>
        <v>3</v>
      </c>
      <c r="E60" s="108">
        <f>SUM(E45,E52,E59)</f>
        <v>4824</v>
      </c>
      <c r="F60" s="109">
        <f>SUM(F45,F52,F59)</f>
        <v>0</v>
      </c>
      <c r="G60" s="106"/>
      <c r="H60" s="106" t="str">
        <f>"Кп= "&amp;ROUNDDOWN((F60/D60)*100,1)&amp;"%"</f>
        <v>Кп= 0%</v>
      </c>
      <c r="I60" s="106" t="str">
        <f>"Км= "&amp;ROUNDDOWN((J60/E60)*100,2)&amp;"%"</f>
        <v>Км= 0%</v>
      </c>
      <c r="J60" s="110">
        <f>SUM(J45,J52,J59)</f>
        <v>0</v>
      </c>
    </row>
    <row r="61" spans="1:10" ht="27" customHeight="1" x14ac:dyDescent="0.25">
      <c r="A61" s="105" t="s">
        <v>192</v>
      </c>
      <c r="B61" s="106"/>
      <c r="C61" s="106" t="s">
        <v>114</v>
      </c>
      <c r="D61" s="107">
        <f>SUM(D60,D37)</f>
        <v>8</v>
      </c>
      <c r="E61" s="108">
        <f>SUM(E60,E37)</f>
        <v>12940</v>
      </c>
      <c r="F61" s="109">
        <f>SUM(F60,F37)</f>
        <v>0</v>
      </c>
      <c r="G61" s="106"/>
      <c r="H61" s="106" t="str">
        <f>"Кп= "&amp;ROUNDDOWN((F61/D61)*100,1)&amp;"%"</f>
        <v>Кп= 0%</v>
      </c>
      <c r="I61" s="106" t="str">
        <f>"Км= "&amp;ROUNDDOWN((J61/E61)*100,2)&amp;"%"</f>
        <v>Км= 0%</v>
      </c>
      <c r="J61" s="110">
        <f>SUM(J60,J37)</f>
        <v>0</v>
      </c>
    </row>
    <row r="62" spans="1:10" ht="27" customHeight="1" x14ac:dyDescent="0.25">
      <c r="A62" s="105" t="s">
        <v>359</v>
      </c>
      <c r="B62" s="106"/>
      <c r="C62" s="106"/>
      <c r="D62" s="107"/>
      <c r="E62" s="108"/>
      <c r="F62" s="109"/>
      <c r="G62" s="106"/>
      <c r="H62" s="106"/>
      <c r="I62" s="106"/>
      <c r="J62" s="110"/>
    </row>
    <row r="63" spans="1:10" ht="26.25" customHeight="1" x14ac:dyDescent="0.25">
      <c r="A63" s="8" t="s">
        <v>20</v>
      </c>
      <c r="B63" s="8"/>
      <c r="C63" s="8"/>
      <c r="D63" s="9"/>
      <c r="E63" s="8"/>
      <c r="F63" s="8"/>
      <c r="G63" s="8" t="s">
        <v>21</v>
      </c>
      <c r="H63" s="8"/>
      <c r="I63" s="8"/>
      <c r="J63" s="8"/>
    </row>
  </sheetData>
  <sheetProtection algorithmName="SHA-512" hashValue="Bd0AESpOlYccQt//eGaz6qIdRpi3Xk/3P2m6dTMc5dEL2A/D4C2G1INhct8DBir//D6IZukRn7bZG5H26OSQ+w==" saltValue="HIfZRM3TvrG5lQjNP0WSIg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53:J53"/>
    <mergeCell ref="A6:J6"/>
    <mergeCell ref="A9:J9"/>
    <mergeCell ref="A12:J12"/>
    <mergeCell ref="A16:J16"/>
    <mergeCell ref="A19:J19"/>
    <mergeCell ref="A22:J22"/>
    <mergeCell ref="A27:J27"/>
    <mergeCell ref="A30:J30"/>
    <mergeCell ref="A33:J33"/>
    <mergeCell ref="A39:J39"/>
    <mergeCell ref="A46:J46"/>
  </mergeCells>
  <printOptions horizontalCentered="1" verticalCentered="1"/>
  <pageMargins left="0.25" right="0.25" top="0.75" bottom="0.75" header="0.3" footer="0.3"/>
  <pageSetup paperSize="9" scale="96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BA15-3112-4669-AEE3-4E9769445642}">
  <sheetPr codeName="Лист8">
    <pageSetUpPr fitToPage="1"/>
  </sheetPr>
  <dimension ref="A1:N64"/>
  <sheetViews>
    <sheetView zoomScaleNormal="100" workbookViewId="0">
      <pane ySplit="4" topLeftCell="A41" activePane="bottomLeft" state="frozen"/>
      <selection activeCell="A2" sqref="A2:J2"/>
      <selection pane="bottomLeft" activeCell="J60" sqref="J60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76"/>
      <c r="B1" s="76"/>
      <c r="C1" s="76"/>
      <c r="D1" s="76"/>
      <c r="E1" s="76"/>
      <c r="F1" s="76"/>
      <c r="G1" s="76"/>
      <c r="H1" s="76"/>
      <c r="I1" s="76"/>
      <c r="J1" s="77" t="s">
        <v>94</v>
      </c>
    </row>
    <row r="2" spans="1:14" ht="33.75" customHeight="1" x14ac:dyDescent="0.4">
      <c r="A2" s="255" t="s">
        <v>357</v>
      </c>
      <c r="B2" s="255"/>
      <c r="C2" s="255"/>
      <c r="D2" s="255"/>
      <c r="E2" s="255"/>
      <c r="F2" s="255"/>
      <c r="G2" s="255"/>
      <c r="H2" s="255"/>
      <c r="I2" s="255"/>
      <c r="J2" s="255"/>
    </row>
    <row r="3" spans="1:14" x14ac:dyDescent="0.25">
      <c r="A3" s="256" t="s">
        <v>0</v>
      </c>
      <c r="B3" s="257" t="s">
        <v>97</v>
      </c>
      <c r="C3" s="256" t="s">
        <v>1</v>
      </c>
      <c r="D3" s="259" t="s">
        <v>23</v>
      </c>
      <c r="E3" s="256" t="s">
        <v>96</v>
      </c>
      <c r="F3" s="256" t="s">
        <v>3</v>
      </c>
      <c r="G3" s="256"/>
      <c r="H3" s="260" t="s">
        <v>2</v>
      </c>
      <c r="I3" s="261"/>
      <c r="J3" s="259" t="s">
        <v>93</v>
      </c>
    </row>
    <row r="4" spans="1:14" ht="32.25" customHeight="1" x14ac:dyDescent="0.25">
      <c r="A4" s="256"/>
      <c r="B4" s="258"/>
      <c r="C4" s="256"/>
      <c r="D4" s="256"/>
      <c r="E4" s="256"/>
      <c r="F4" s="144" t="s">
        <v>0</v>
      </c>
      <c r="G4" s="144" t="s">
        <v>4</v>
      </c>
      <c r="H4" s="144" t="s">
        <v>0</v>
      </c>
      <c r="I4" s="144" t="s">
        <v>4</v>
      </c>
      <c r="J4" s="256"/>
    </row>
    <row r="5" spans="1:14" ht="14.25" customHeight="1" x14ac:dyDescent="0.25">
      <c r="A5" s="143">
        <v>1</v>
      </c>
      <c r="B5" s="143">
        <v>2</v>
      </c>
      <c r="C5" s="143">
        <v>3</v>
      </c>
      <c r="D5" s="143">
        <v>4</v>
      </c>
      <c r="E5" s="143">
        <v>5</v>
      </c>
      <c r="F5" s="143">
        <v>6</v>
      </c>
      <c r="G5" s="143">
        <v>7</v>
      </c>
      <c r="H5" s="143">
        <v>8</v>
      </c>
      <c r="I5" s="143">
        <v>9</v>
      </c>
      <c r="J5" s="143">
        <v>10</v>
      </c>
      <c r="M5" s="18"/>
    </row>
    <row r="6" spans="1:14" x14ac:dyDescent="0.25">
      <c r="A6" s="252" t="s">
        <v>5</v>
      </c>
      <c r="B6" s="252"/>
      <c r="C6" s="252"/>
      <c r="D6" s="252"/>
      <c r="E6" s="252"/>
      <c r="F6" s="252"/>
      <c r="G6" s="252"/>
      <c r="H6" s="252"/>
      <c r="I6" s="252"/>
      <c r="J6" s="252"/>
    </row>
    <row r="7" spans="1:14" x14ac:dyDescent="0.25">
      <c r="A7" s="81">
        <v>1</v>
      </c>
      <c r="B7" s="82" t="s">
        <v>70</v>
      </c>
      <c r="C7" s="83">
        <v>57</v>
      </c>
      <c r="D7" s="84">
        <v>43845</v>
      </c>
      <c r="E7" s="145">
        <v>2016</v>
      </c>
      <c r="F7" s="143"/>
      <c r="G7" s="143"/>
      <c r="H7" s="143"/>
      <c r="I7" s="143"/>
      <c r="J7" s="143"/>
    </row>
    <row r="8" spans="1:14" s="1" customFormat="1" x14ac:dyDescent="0.25">
      <c r="A8" s="91" t="s">
        <v>17</v>
      </c>
      <c r="B8" s="92"/>
      <c r="C8" s="92" t="str">
        <f>"за "&amp;LOWER($A$6)</f>
        <v>за январь</v>
      </c>
      <c r="D8" s="93">
        <f>COUNTA(янв_пр)</f>
        <v>1</v>
      </c>
      <c r="E8" s="94">
        <f>SUM(янв_кол)</f>
        <v>2016</v>
      </c>
      <c r="F8" s="95">
        <f>COUNTA(акт_вх_янв)+COUNTA(акт_отб_янв)</f>
        <v>0</v>
      </c>
      <c r="G8" s="96"/>
      <c r="H8" s="96"/>
      <c r="I8" s="96"/>
      <c r="J8" s="97">
        <f>SUM(кол_отб_янв)</f>
        <v>0</v>
      </c>
    </row>
    <row r="9" spans="1:14" x14ac:dyDescent="0.25">
      <c r="A9" s="262" t="s">
        <v>6</v>
      </c>
      <c r="B9" s="262"/>
      <c r="C9" s="262"/>
      <c r="D9" s="262"/>
      <c r="E9" s="262"/>
      <c r="F9" s="262"/>
      <c r="G9" s="262"/>
      <c r="H9" s="262"/>
      <c r="I9" s="262"/>
      <c r="J9" s="262"/>
      <c r="L9" s="1"/>
      <c r="M9" s="1"/>
      <c r="N9" s="1"/>
    </row>
    <row r="10" spans="1:14" x14ac:dyDescent="0.25">
      <c r="A10" s="81">
        <v>2</v>
      </c>
      <c r="B10" s="98" t="s">
        <v>70</v>
      </c>
      <c r="C10" s="83" t="s">
        <v>137</v>
      </c>
      <c r="D10" s="84">
        <v>43873</v>
      </c>
      <c r="E10" s="145">
        <v>2034</v>
      </c>
      <c r="F10" s="87"/>
      <c r="G10" s="87"/>
      <c r="H10" s="87"/>
      <c r="I10" s="87"/>
      <c r="J10" s="87"/>
      <c r="L10" s="1"/>
      <c r="M10" s="1"/>
      <c r="N10" s="1"/>
    </row>
    <row r="11" spans="1:14" outlineLevel="1" x14ac:dyDescent="0.25">
      <c r="A11" s="81">
        <v>3</v>
      </c>
      <c r="B11" s="117" t="s">
        <v>70</v>
      </c>
      <c r="C11" s="118" t="s">
        <v>148</v>
      </c>
      <c r="D11" s="119">
        <v>43882</v>
      </c>
      <c r="E11" s="165">
        <v>2016</v>
      </c>
      <c r="F11" s="87"/>
      <c r="G11" s="87"/>
      <c r="H11" s="87"/>
      <c r="I11" s="87"/>
      <c r="J11" s="87"/>
      <c r="L11" s="1"/>
      <c r="M11" s="1"/>
      <c r="N11" s="1"/>
    </row>
    <row r="12" spans="1:14" x14ac:dyDescent="0.25">
      <c r="A12" s="91" t="s">
        <v>17</v>
      </c>
      <c r="B12" s="92"/>
      <c r="C12" s="92" t="str">
        <f>"за "&amp;LOWER($A$9)</f>
        <v>за февраль</v>
      </c>
      <c r="D12" s="93">
        <f>COUNTA(фев_пр)</f>
        <v>2</v>
      </c>
      <c r="E12" s="94">
        <f>SUM(фев_кол)</f>
        <v>4050</v>
      </c>
      <c r="F12" s="95">
        <f>COUNTA(акт_вх_фев)+COUNTA(акт_отб_фев)</f>
        <v>0</v>
      </c>
      <c r="G12" s="96"/>
      <c r="H12" s="96"/>
      <c r="I12" s="96"/>
      <c r="J12" s="97">
        <f>SUM(кол_отб_фев)</f>
        <v>0</v>
      </c>
      <c r="L12" s="1"/>
      <c r="M12" s="1"/>
      <c r="N12" s="1"/>
    </row>
    <row r="13" spans="1:14" x14ac:dyDescent="0.25">
      <c r="A13" s="252" t="s">
        <v>7</v>
      </c>
      <c r="B13" s="252"/>
      <c r="C13" s="252"/>
      <c r="D13" s="252"/>
      <c r="E13" s="252"/>
      <c r="F13" s="252"/>
      <c r="G13" s="252"/>
      <c r="H13" s="252"/>
      <c r="I13" s="252"/>
      <c r="J13" s="252"/>
      <c r="L13" s="1"/>
      <c r="M13" s="1"/>
      <c r="N13" s="1"/>
    </row>
    <row r="14" spans="1:14" x14ac:dyDescent="0.25">
      <c r="A14" s="81">
        <v>4</v>
      </c>
      <c r="B14" s="99" t="s">
        <v>70</v>
      </c>
      <c r="C14" s="100" t="s">
        <v>172</v>
      </c>
      <c r="D14" s="101">
        <v>43908</v>
      </c>
      <c r="E14" s="146">
        <v>2520</v>
      </c>
      <c r="F14" s="87"/>
      <c r="G14" s="87"/>
      <c r="H14" s="87"/>
      <c r="I14" s="87"/>
      <c r="J14" s="87"/>
      <c r="L14" s="1"/>
      <c r="M14" s="1"/>
      <c r="N14" s="1"/>
    </row>
    <row r="15" spans="1:14" x14ac:dyDescent="0.25">
      <c r="A15" s="91" t="s">
        <v>17</v>
      </c>
      <c r="B15" s="92"/>
      <c r="C15" s="92" t="str">
        <f>"за "&amp;LOWER($A$13)</f>
        <v>за март</v>
      </c>
      <c r="D15" s="93">
        <f>COUNTA(мрт_пр)</f>
        <v>1</v>
      </c>
      <c r="E15" s="94">
        <f>SUM(мрт_кол)</f>
        <v>2520</v>
      </c>
      <c r="F15" s="95">
        <f>COUNTA(акт_вх_мрт)+COUNTA(акт_отб_мрт)</f>
        <v>0</v>
      </c>
      <c r="G15" s="104"/>
      <c r="H15" s="104"/>
      <c r="I15" s="104"/>
      <c r="J15" s="97">
        <f>SUM(кол_отб_мрт)</f>
        <v>0</v>
      </c>
      <c r="L15" s="1"/>
      <c r="M15" s="1"/>
      <c r="N15" s="1"/>
    </row>
    <row r="16" spans="1:14" ht="31.5" customHeight="1" x14ac:dyDescent="0.25">
      <c r="A16" s="105" t="s">
        <v>17</v>
      </c>
      <c r="B16" s="106"/>
      <c r="C16" s="106" t="s">
        <v>18</v>
      </c>
      <c r="D16" s="107">
        <f>SUM(D8,D12,D15)</f>
        <v>4</v>
      </c>
      <c r="E16" s="108">
        <f>SUM(E8,E12,E15)</f>
        <v>8586</v>
      </c>
      <c r="F16" s="109">
        <f>SUM(F8,F12,F15)</f>
        <v>0</v>
      </c>
      <c r="G16" s="106"/>
      <c r="H16" s="106" t="str">
        <f>"Кп= "&amp;ROUNDDOWN((F16/D16)*100,1)&amp;"%"</f>
        <v>Кп= 0%</v>
      </c>
      <c r="I16" s="106" t="str">
        <f>"Км= "&amp;ROUNDDOWN((J16/E16)*100,2)&amp;"%"</f>
        <v>Км= 0%</v>
      </c>
      <c r="J16" s="110">
        <f>SUM(J8,J12,J15)</f>
        <v>0</v>
      </c>
      <c r="L16" s="1"/>
      <c r="M16" s="1"/>
      <c r="N16" s="1"/>
    </row>
    <row r="17" spans="1:14" x14ac:dyDescent="0.25">
      <c r="A17" s="262" t="s">
        <v>8</v>
      </c>
      <c r="B17" s="262"/>
      <c r="C17" s="262"/>
      <c r="D17" s="262"/>
      <c r="E17" s="262"/>
      <c r="F17" s="262"/>
      <c r="G17" s="262"/>
      <c r="H17" s="262"/>
      <c r="I17" s="262"/>
      <c r="J17" s="262"/>
      <c r="L17" s="1"/>
      <c r="M17" s="1"/>
      <c r="N17" s="1"/>
    </row>
    <row r="18" spans="1:14" s="76" customFormat="1" x14ac:dyDescent="0.25">
      <c r="A18" s="81">
        <v>5</v>
      </c>
      <c r="B18" s="117" t="s">
        <v>70</v>
      </c>
      <c r="C18" s="118" t="s">
        <v>174</v>
      </c>
      <c r="D18" s="119">
        <v>43936</v>
      </c>
      <c r="E18" s="147">
        <v>2563</v>
      </c>
      <c r="F18" s="142"/>
      <c r="G18" s="142"/>
      <c r="H18" s="142"/>
      <c r="I18" s="142"/>
      <c r="J18" s="142"/>
      <c r="L18" s="133"/>
      <c r="M18" s="133"/>
      <c r="N18" s="133"/>
    </row>
    <row r="19" spans="1:14" s="76" customFormat="1" x14ac:dyDescent="0.25">
      <c r="A19" s="91" t="s">
        <v>17</v>
      </c>
      <c r="B19" s="92"/>
      <c r="C19" s="92" t="str">
        <f>"за "&amp;LOWER($A$17)</f>
        <v>за апрель</v>
      </c>
      <c r="D19" s="93">
        <f>COUNTA(апр_пр)</f>
        <v>1</v>
      </c>
      <c r="E19" s="94">
        <f>SUM(апр_кол)</f>
        <v>2563</v>
      </c>
      <c r="F19" s="95">
        <f>COUNTA(акт_вх_апр)+COUNTA(акт_отб_апр)</f>
        <v>0</v>
      </c>
      <c r="G19" s="104"/>
      <c r="H19" s="104"/>
      <c r="I19" s="104"/>
      <c r="J19" s="97">
        <f>SUM(кол_отб_апр)</f>
        <v>0</v>
      </c>
      <c r="L19" s="133"/>
      <c r="M19" s="133"/>
      <c r="N19" s="133"/>
    </row>
    <row r="20" spans="1:14" s="76" customFormat="1" x14ac:dyDescent="0.25">
      <c r="A20" s="252" t="s">
        <v>9</v>
      </c>
      <c r="B20" s="252"/>
      <c r="C20" s="252"/>
      <c r="D20" s="252"/>
      <c r="E20" s="252"/>
      <c r="F20" s="252"/>
      <c r="G20" s="252"/>
      <c r="H20" s="252"/>
      <c r="I20" s="252"/>
      <c r="J20" s="252"/>
      <c r="L20" s="133"/>
      <c r="M20" s="133"/>
      <c r="N20" s="133"/>
    </row>
    <row r="21" spans="1:14" s="76" customFormat="1" x14ac:dyDescent="0.25">
      <c r="A21" s="81">
        <v>6</v>
      </c>
      <c r="B21" s="117" t="s">
        <v>70</v>
      </c>
      <c r="C21" s="118" t="s">
        <v>187</v>
      </c>
      <c r="D21" s="119">
        <v>43964</v>
      </c>
      <c r="E21" s="147">
        <v>4536</v>
      </c>
      <c r="F21" s="143"/>
      <c r="G21" s="143"/>
      <c r="H21" s="143"/>
      <c r="I21" s="143"/>
      <c r="J21" s="143"/>
      <c r="L21" s="133"/>
      <c r="M21" s="133"/>
      <c r="N21" s="133"/>
    </row>
    <row r="22" spans="1:14" s="76" customFormat="1" x14ac:dyDescent="0.25">
      <c r="A22" s="91" t="s">
        <v>17</v>
      </c>
      <c r="B22" s="92"/>
      <c r="C22" s="92" t="str">
        <f>"за "&amp;LOWER($A$20)</f>
        <v>за май</v>
      </c>
      <c r="D22" s="93">
        <f>COUNTA(май_пр)</f>
        <v>1</v>
      </c>
      <c r="E22" s="94">
        <f>SUM(май_кол)</f>
        <v>4536</v>
      </c>
      <c r="F22" s="95">
        <f>COUNTA(акт_вх_май)+COUNTA(акт_отб_май)</f>
        <v>0</v>
      </c>
      <c r="G22" s="104"/>
      <c r="H22" s="104"/>
      <c r="I22" s="104"/>
      <c r="J22" s="97">
        <f>SUM(кол_отб_май)</f>
        <v>0</v>
      </c>
    </row>
    <row r="23" spans="1:14" s="76" customFormat="1" x14ac:dyDescent="0.25">
      <c r="A23" s="252" t="s">
        <v>10</v>
      </c>
      <c r="B23" s="252"/>
      <c r="C23" s="252"/>
      <c r="D23" s="252"/>
      <c r="E23" s="252"/>
      <c r="F23" s="252"/>
      <c r="G23" s="252"/>
      <c r="H23" s="252"/>
      <c r="I23" s="252"/>
      <c r="J23" s="252"/>
    </row>
    <row r="24" spans="1:14" s="76" customFormat="1" x14ac:dyDescent="0.25">
      <c r="A24" s="81">
        <v>7</v>
      </c>
      <c r="B24" s="99" t="s">
        <v>70</v>
      </c>
      <c r="C24" s="100" t="s">
        <v>219</v>
      </c>
      <c r="D24" s="101">
        <v>44005</v>
      </c>
      <c r="E24" s="173">
        <v>1512</v>
      </c>
      <c r="F24" s="135"/>
      <c r="G24" s="135"/>
      <c r="H24" s="135"/>
      <c r="I24" s="135"/>
      <c r="J24" s="135"/>
    </row>
    <row r="25" spans="1:14" s="76" customFormat="1" x14ac:dyDescent="0.25">
      <c r="A25" s="91" t="s">
        <v>17</v>
      </c>
      <c r="B25" s="92"/>
      <c r="C25" s="92" t="str">
        <f>"за "&amp;LOWER($A$23)</f>
        <v>за июнь</v>
      </c>
      <c r="D25" s="93">
        <f>COUNTA(июн_пр)</f>
        <v>1</v>
      </c>
      <c r="E25" s="94">
        <f>SUM(июн_кол)</f>
        <v>1512</v>
      </c>
      <c r="F25" s="95">
        <f>COUNTA(акт_вх_июн)+COUNTA(акт_отб_июн)</f>
        <v>0</v>
      </c>
      <c r="G25" s="104"/>
      <c r="H25" s="104"/>
      <c r="I25" s="104"/>
      <c r="J25" s="97">
        <f>SUM(кол_отб_июн)</f>
        <v>0</v>
      </c>
    </row>
    <row r="26" spans="1:14" ht="31.5" customHeight="1" x14ac:dyDescent="0.25">
      <c r="A26" s="105" t="s">
        <v>17</v>
      </c>
      <c r="B26" s="106"/>
      <c r="C26" s="106" t="s">
        <v>109</v>
      </c>
      <c r="D26" s="107">
        <f>SUM(D19,D22,D25)</f>
        <v>3</v>
      </c>
      <c r="E26" s="108">
        <f>SUM(E19,E22,E25)</f>
        <v>8611</v>
      </c>
      <c r="F26" s="109">
        <f>SUM(F19,F22,F25)</f>
        <v>0</v>
      </c>
      <c r="G26" s="106"/>
      <c r="H26" s="106" t="str">
        <f>"Кп= "&amp;ROUNDDOWN((F26/D26)*100,1)&amp;"%"</f>
        <v>Кп= 0%</v>
      </c>
      <c r="I26" s="106" t="str">
        <f>"Км= "&amp;ROUNDDOWN((J26/E26)*100,2)&amp;"%"</f>
        <v>Км= 0%</v>
      </c>
      <c r="J26" s="110">
        <f>SUM(J19,J22,J25)</f>
        <v>0</v>
      </c>
    </row>
    <row r="27" spans="1:14" ht="31.5" customHeight="1" x14ac:dyDescent="0.25">
      <c r="A27" s="105" t="s">
        <v>17</v>
      </c>
      <c r="B27" s="106"/>
      <c r="C27" s="106" t="s">
        <v>110</v>
      </c>
      <c r="D27" s="107">
        <f>SUM(D16,D26)</f>
        <v>7</v>
      </c>
      <c r="E27" s="108">
        <f>SUM(E26,E16)</f>
        <v>17197</v>
      </c>
      <c r="F27" s="109">
        <f>SUM(F26,F16)</f>
        <v>0</v>
      </c>
      <c r="G27" s="106"/>
      <c r="H27" s="106" t="str">
        <f>"Кп= "&amp;ROUNDDOWN((F27/D27)*100,1)&amp;"%"</f>
        <v>Кп= 0%</v>
      </c>
      <c r="I27" s="106" t="str">
        <f>"Км= "&amp;ROUNDDOWN((J27/E27)*100,2)&amp;"%"</f>
        <v>Км= 0%</v>
      </c>
      <c r="J27" s="110">
        <f>SUM(J26,J16)</f>
        <v>0</v>
      </c>
    </row>
    <row r="28" spans="1:14" x14ac:dyDescent="0.25">
      <c r="A28" s="267" t="s">
        <v>11</v>
      </c>
      <c r="B28" s="267"/>
      <c r="C28" s="267"/>
      <c r="D28" s="267"/>
      <c r="E28" s="267"/>
      <c r="F28" s="267"/>
      <c r="G28" s="267"/>
      <c r="H28" s="267"/>
      <c r="I28" s="267"/>
      <c r="J28" s="267"/>
    </row>
    <row r="29" spans="1:14" s="76" customFormat="1" x14ac:dyDescent="0.25">
      <c r="A29" s="81">
        <v>8</v>
      </c>
      <c r="B29" s="117" t="s">
        <v>70</v>
      </c>
      <c r="C29" s="118" t="s">
        <v>239</v>
      </c>
      <c r="D29" s="119">
        <v>44020</v>
      </c>
      <c r="E29" s="147">
        <v>2520</v>
      </c>
      <c r="F29" s="135"/>
      <c r="G29" s="135"/>
      <c r="H29" s="135"/>
      <c r="I29" s="135"/>
      <c r="J29" s="135"/>
    </row>
    <row r="30" spans="1:14" s="76" customFormat="1" x14ac:dyDescent="0.25">
      <c r="A30" s="91" t="s">
        <v>17</v>
      </c>
      <c r="B30" s="92"/>
      <c r="C30" s="92" t="str">
        <f>"за "&amp;LOWER($A$28)</f>
        <v>за июль</v>
      </c>
      <c r="D30" s="93">
        <f>COUNTA(июл_пр)</f>
        <v>1</v>
      </c>
      <c r="E30" s="94">
        <f>SUM(июл_кол)</f>
        <v>2520</v>
      </c>
      <c r="F30" s="95">
        <f>COUNTA(акт_вх_июл)+COUNTA(акт_отб_июл)</f>
        <v>0</v>
      </c>
      <c r="G30" s="104"/>
      <c r="H30" s="104"/>
      <c r="I30" s="104"/>
      <c r="J30" s="97">
        <f>SUM(кол_отб_июл)</f>
        <v>0</v>
      </c>
    </row>
    <row r="31" spans="1:14" x14ac:dyDescent="0.25">
      <c r="A31" s="267" t="s">
        <v>13</v>
      </c>
      <c r="B31" s="267"/>
      <c r="C31" s="267"/>
      <c r="D31" s="267"/>
      <c r="E31" s="267"/>
      <c r="F31" s="267"/>
      <c r="G31" s="267"/>
      <c r="H31" s="267"/>
      <c r="I31" s="267"/>
      <c r="J31" s="267"/>
    </row>
    <row r="32" spans="1:14" s="76" customFormat="1" x14ac:dyDescent="0.25">
      <c r="A32" s="81">
        <v>9</v>
      </c>
      <c r="B32" s="117" t="s">
        <v>70</v>
      </c>
      <c r="C32" s="118" t="s">
        <v>262</v>
      </c>
      <c r="D32" s="119">
        <v>44056</v>
      </c>
      <c r="E32" s="147">
        <v>1512</v>
      </c>
      <c r="F32" s="135"/>
      <c r="G32" s="135"/>
      <c r="H32" s="135"/>
      <c r="I32" s="135"/>
      <c r="J32" s="135"/>
    </row>
    <row r="33" spans="1:10" s="76" customFormat="1" x14ac:dyDescent="0.25">
      <c r="A33" s="91" t="s">
        <v>17</v>
      </c>
      <c r="B33" s="92"/>
      <c r="C33" s="92" t="str">
        <f>"за "&amp;LOWER($A$31)</f>
        <v>за август</v>
      </c>
      <c r="D33" s="93">
        <f>COUNTA(авг_пр)</f>
        <v>1</v>
      </c>
      <c r="E33" s="94">
        <f>SUM(авг_кол)</f>
        <v>1512</v>
      </c>
      <c r="F33" s="95">
        <f>COUNTA(акт_вх_авг)+COUNTA(акт_отб_авг)</f>
        <v>0</v>
      </c>
      <c r="G33" s="104"/>
      <c r="H33" s="104"/>
      <c r="I33" s="104"/>
      <c r="J33" s="97">
        <f>SUM(кол_отб_авг)</f>
        <v>0</v>
      </c>
    </row>
    <row r="34" spans="1:10" x14ac:dyDescent="0.25">
      <c r="A34" s="267" t="s">
        <v>12</v>
      </c>
      <c r="B34" s="267"/>
      <c r="C34" s="267"/>
      <c r="D34" s="267"/>
      <c r="E34" s="267"/>
      <c r="F34" s="267"/>
      <c r="G34" s="267"/>
      <c r="H34" s="267"/>
      <c r="I34" s="267"/>
      <c r="J34" s="267"/>
    </row>
    <row r="35" spans="1:10" s="76" customFormat="1" x14ac:dyDescent="0.25">
      <c r="A35" s="81">
        <v>10</v>
      </c>
      <c r="B35" s="99" t="s">
        <v>70</v>
      </c>
      <c r="C35" s="100" t="s">
        <v>278</v>
      </c>
      <c r="D35" s="101">
        <v>44077</v>
      </c>
      <c r="E35" s="146">
        <v>5508</v>
      </c>
      <c r="F35" s="135"/>
      <c r="G35" s="135"/>
      <c r="H35" s="135"/>
      <c r="I35" s="135"/>
      <c r="J35" s="135"/>
    </row>
    <row r="36" spans="1:10" s="76" customFormat="1" x14ac:dyDescent="0.25">
      <c r="A36" s="91" t="s">
        <v>17</v>
      </c>
      <c r="B36" s="92"/>
      <c r="C36" s="92" t="str">
        <f>"за "&amp;LOWER($A$34)</f>
        <v>за сентябрь</v>
      </c>
      <c r="D36" s="93">
        <f>COUNTA(снт_пр)</f>
        <v>1</v>
      </c>
      <c r="E36" s="94">
        <f>SUM(снт_кол)</f>
        <v>5508</v>
      </c>
      <c r="F36" s="95">
        <f>COUNTA(акт_вх_снт)+COUNTA(акт_отб_снт)</f>
        <v>0</v>
      </c>
      <c r="G36" s="104"/>
      <c r="H36" s="104"/>
      <c r="I36" s="104"/>
      <c r="J36" s="97">
        <f>SUM(кол_отб_снт)</f>
        <v>0</v>
      </c>
    </row>
    <row r="37" spans="1:10" s="76" customFormat="1" ht="30" customHeight="1" x14ac:dyDescent="0.25">
      <c r="A37" s="105" t="s">
        <v>17</v>
      </c>
      <c r="B37" s="106"/>
      <c r="C37" s="106" t="s">
        <v>111</v>
      </c>
      <c r="D37" s="107">
        <f>SUM(D30,D33,D36)</f>
        <v>3</v>
      </c>
      <c r="E37" s="108">
        <f>SUM(E30,E33,E36)</f>
        <v>9540</v>
      </c>
      <c r="F37" s="109">
        <f>SUM(F30,F33,F36)</f>
        <v>0</v>
      </c>
      <c r="G37" s="106"/>
      <c r="H37" s="106" t="str">
        <f>"Кп= "&amp;ROUNDDOWN((F37/D37)*100,1)&amp;"%"</f>
        <v>Кп= 0%</v>
      </c>
      <c r="I37" s="106" t="str">
        <f>"Км= "&amp;ROUNDDOWN((J37/E37)*100,2)&amp;"%"</f>
        <v>Км= 0%</v>
      </c>
      <c r="J37" s="110">
        <f>SUM(J30,J33,J36)</f>
        <v>0</v>
      </c>
    </row>
    <row r="38" spans="1:10" s="76" customFormat="1" ht="30" customHeight="1" x14ac:dyDescent="0.25">
      <c r="A38" s="105" t="s">
        <v>17</v>
      </c>
      <c r="B38" s="106"/>
      <c r="C38" s="106" t="s">
        <v>113</v>
      </c>
      <c r="D38" s="107">
        <f>SUM(D27,D37)</f>
        <v>10</v>
      </c>
      <c r="E38" s="108">
        <f>SUM(E37,E27)</f>
        <v>26737</v>
      </c>
      <c r="F38" s="109">
        <f>SUM(F37,F27)</f>
        <v>0</v>
      </c>
      <c r="G38" s="106"/>
      <c r="H38" s="106" t="str">
        <f>"Кп= "&amp;ROUNDDOWN((F38/D38)*100,1)&amp;"%"</f>
        <v>Кп= 0%</v>
      </c>
      <c r="I38" s="106" t="str">
        <f>"Км= "&amp;ROUNDDOWN((J38/E38)*100,2)&amp;"%"</f>
        <v>Км= 0%</v>
      </c>
      <c r="J38" s="110">
        <f>SUM(J37,J27)</f>
        <v>0</v>
      </c>
    </row>
    <row r="39" spans="1:10" s="76" customFormat="1" ht="24.75" hidden="1" customHeight="1" outlineLevel="1" x14ac:dyDescent="0.25">
      <c r="A39" s="91" t="s">
        <v>20</v>
      </c>
      <c r="B39" s="92"/>
      <c r="C39" s="92"/>
      <c r="D39" s="111"/>
      <c r="E39" s="92"/>
      <c r="F39" s="92"/>
      <c r="G39" s="92" t="s">
        <v>21</v>
      </c>
      <c r="H39" s="92"/>
      <c r="I39" s="92"/>
      <c r="J39" s="112"/>
    </row>
    <row r="40" spans="1:10" ht="15" customHeight="1" collapsed="1" x14ac:dyDescent="0.25">
      <c r="A40" s="252" t="s">
        <v>14</v>
      </c>
      <c r="B40" s="252"/>
      <c r="C40" s="252"/>
      <c r="D40" s="252"/>
      <c r="E40" s="252"/>
      <c r="F40" s="252"/>
      <c r="G40" s="252"/>
      <c r="H40" s="252"/>
      <c r="I40" s="252"/>
      <c r="J40" s="252"/>
    </row>
    <row r="41" spans="1:10" x14ac:dyDescent="0.25">
      <c r="A41" s="81">
        <v>11</v>
      </c>
      <c r="B41" s="117" t="s">
        <v>70</v>
      </c>
      <c r="C41" s="118" t="s">
        <v>306</v>
      </c>
      <c r="D41" s="119">
        <v>44111</v>
      </c>
      <c r="E41" s="147">
        <v>2016</v>
      </c>
      <c r="F41" s="135"/>
      <c r="G41" s="135"/>
      <c r="H41" s="135"/>
      <c r="I41" s="135"/>
      <c r="J41" s="135"/>
    </row>
    <row r="42" spans="1:10" hidden="1" outlineLevel="1" x14ac:dyDescent="0.25">
      <c r="A42" s="135"/>
      <c r="B42" s="135"/>
      <c r="C42" s="135"/>
      <c r="D42" s="138"/>
      <c r="E42" s="135"/>
      <c r="F42" s="135"/>
      <c r="G42" s="135"/>
      <c r="H42" s="135"/>
      <c r="I42" s="135"/>
      <c r="J42" s="135"/>
    </row>
    <row r="43" spans="1:10" hidden="1" outlineLevel="1" x14ac:dyDescent="0.25">
      <c r="A43" s="135"/>
      <c r="B43" s="135"/>
      <c r="C43" s="135"/>
      <c r="D43" s="138"/>
      <c r="E43" s="135"/>
      <c r="F43" s="135"/>
      <c r="G43" s="135"/>
      <c r="H43" s="135"/>
      <c r="I43" s="135"/>
      <c r="J43" s="135"/>
    </row>
    <row r="44" spans="1:10" hidden="1" outlineLevel="1" x14ac:dyDescent="0.25">
      <c r="A44" s="135"/>
      <c r="B44" s="135"/>
      <c r="C44" s="135"/>
      <c r="D44" s="138"/>
      <c r="E44" s="135"/>
      <c r="F44" s="135"/>
      <c r="G44" s="135"/>
      <c r="H44" s="135"/>
      <c r="I44" s="135"/>
      <c r="J44" s="135"/>
    </row>
    <row r="45" spans="1:10" hidden="1" outlineLevel="1" x14ac:dyDescent="0.25">
      <c r="A45" s="135"/>
      <c r="B45" s="135"/>
      <c r="C45" s="135"/>
      <c r="D45" s="138"/>
      <c r="E45" s="135"/>
      <c r="F45" s="135"/>
      <c r="G45" s="135"/>
      <c r="H45" s="135"/>
      <c r="I45" s="135"/>
      <c r="J45" s="135"/>
    </row>
    <row r="46" spans="1:10" collapsed="1" x14ac:dyDescent="0.25">
      <c r="A46" s="91" t="s">
        <v>17</v>
      </c>
      <c r="B46" s="92"/>
      <c r="C46" s="92" t="str">
        <f>"за "&amp;LOWER($A$40)</f>
        <v>за октябрь</v>
      </c>
      <c r="D46" s="93">
        <f>COUNTA(окт_пр)</f>
        <v>1</v>
      </c>
      <c r="E46" s="94">
        <f>SUM(окт_кол)</f>
        <v>2016</v>
      </c>
      <c r="F46" s="95">
        <f>COUNTA(акт_вх_окт)+COUNTA(акт_отб_окт)</f>
        <v>0</v>
      </c>
      <c r="G46" s="104"/>
      <c r="H46" s="104"/>
      <c r="I46" s="104"/>
      <c r="J46" s="97">
        <f>SUM(кол_отб_окт)</f>
        <v>0</v>
      </c>
    </row>
    <row r="47" spans="1:10" x14ac:dyDescent="0.25">
      <c r="A47" s="252" t="s">
        <v>15</v>
      </c>
      <c r="B47" s="252"/>
      <c r="C47" s="252"/>
      <c r="D47" s="252"/>
      <c r="E47" s="252"/>
      <c r="F47" s="252"/>
      <c r="G47" s="252"/>
      <c r="H47" s="252"/>
      <c r="I47" s="252"/>
      <c r="J47" s="252"/>
    </row>
    <row r="48" spans="1:10" s="76" customFormat="1" x14ac:dyDescent="0.25">
      <c r="A48" s="81">
        <v>12</v>
      </c>
      <c r="B48" s="121" t="s">
        <v>367</v>
      </c>
      <c r="C48" s="123" t="s">
        <v>368</v>
      </c>
      <c r="D48" s="84" t="s">
        <v>369</v>
      </c>
      <c r="E48" s="124" t="s">
        <v>370</v>
      </c>
      <c r="F48" s="135"/>
      <c r="G48" s="135"/>
      <c r="H48" s="135"/>
      <c r="I48" s="135"/>
      <c r="J48" s="135"/>
    </row>
    <row r="49" spans="1:10" hidden="1" outlineLevel="1" x14ac:dyDescent="0.25">
      <c r="A49" s="135"/>
      <c r="B49" s="135"/>
      <c r="C49" s="135"/>
      <c r="D49" s="138"/>
      <c r="E49" s="135"/>
      <c r="F49" s="135"/>
      <c r="G49" s="135"/>
      <c r="H49" s="135"/>
      <c r="I49" s="135"/>
      <c r="J49" s="135"/>
    </row>
    <row r="50" spans="1:10" hidden="1" outlineLevel="1" x14ac:dyDescent="0.25">
      <c r="A50" s="135"/>
      <c r="B50" s="135"/>
      <c r="C50" s="135"/>
      <c r="D50" s="138"/>
      <c r="E50" s="135"/>
      <c r="F50" s="135"/>
      <c r="G50" s="135"/>
      <c r="H50" s="135"/>
      <c r="I50" s="135"/>
      <c r="J50" s="135"/>
    </row>
    <row r="51" spans="1:10" hidden="1" outlineLevel="1" x14ac:dyDescent="0.25">
      <c r="A51" s="135"/>
      <c r="B51" s="135"/>
      <c r="C51" s="135"/>
      <c r="D51" s="138"/>
      <c r="E51" s="135"/>
      <c r="F51" s="135"/>
      <c r="G51" s="135"/>
      <c r="H51" s="135"/>
      <c r="I51" s="135"/>
      <c r="J51" s="135"/>
    </row>
    <row r="52" spans="1:10" hidden="1" outlineLevel="1" x14ac:dyDescent="0.25">
      <c r="A52" s="135"/>
      <c r="B52" s="135"/>
      <c r="C52" s="135"/>
      <c r="D52" s="138"/>
      <c r="E52" s="135"/>
      <c r="F52" s="135"/>
      <c r="G52" s="135"/>
      <c r="H52" s="135"/>
      <c r="I52" s="135"/>
      <c r="J52" s="135"/>
    </row>
    <row r="53" spans="1:10" collapsed="1" x14ac:dyDescent="0.25">
      <c r="A53" s="91" t="s">
        <v>17</v>
      </c>
      <c r="B53" s="92"/>
      <c r="C53" s="92" t="str">
        <f>"за "&amp;LOWER($A$47)</f>
        <v>за ноябрь</v>
      </c>
      <c r="D53" s="93">
        <f>COUNTA(нбр_пр)</f>
        <v>1</v>
      </c>
      <c r="E53" s="94">
        <f>SUM(нбр_кол)</f>
        <v>0</v>
      </c>
      <c r="F53" s="95">
        <f>COUNTA(акт_вх_нбр)+COUNTA(акт_отб_нбр)</f>
        <v>0</v>
      </c>
      <c r="G53" s="104"/>
      <c r="H53" s="104"/>
      <c r="I53" s="104"/>
      <c r="J53" s="97">
        <f>SUM(кол_отб_нбр)</f>
        <v>0</v>
      </c>
    </row>
    <row r="54" spans="1:10" x14ac:dyDescent="0.25">
      <c r="A54" s="252" t="s">
        <v>16</v>
      </c>
      <c r="B54" s="252"/>
      <c r="C54" s="252"/>
      <c r="D54" s="252"/>
      <c r="E54" s="252"/>
      <c r="F54" s="252"/>
      <c r="G54" s="252"/>
      <c r="H54" s="252"/>
      <c r="I54" s="252"/>
      <c r="J54" s="252"/>
    </row>
    <row r="55" spans="1:10" x14ac:dyDescent="0.25">
      <c r="A55" s="81">
        <v>13</v>
      </c>
      <c r="B55" s="98" t="s">
        <v>70</v>
      </c>
      <c r="C55" s="83" t="s">
        <v>343</v>
      </c>
      <c r="D55" s="84">
        <v>44181</v>
      </c>
      <c r="E55" s="130">
        <v>2016</v>
      </c>
      <c r="F55" s="135"/>
      <c r="G55" s="135"/>
      <c r="H55" s="135"/>
      <c r="I55" s="135"/>
      <c r="J55" s="135"/>
    </row>
    <row r="56" spans="1:10" hidden="1" outlineLevel="1" x14ac:dyDescent="0.25">
      <c r="A56" s="135"/>
      <c r="B56" s="135"/>
      <c r="C56" s="135"/>
      <c r="D56" s="135"/>
      <c r="E56" s="135"/>
      <c r="F56" s="135"/>
      <c r="G56" s="135"/>
      <c r="H56" s="135"/>
      <c r="I56" s="135"/>
      <c r="J56" s="135"/>
    </row>
    <row r="57" spans="1:10" hidden="1" outlineLevel="1" x14ac:dyDescent="0.25">
      <c r="A57" s="135"/>
      <c r="B57" s="135"/>
      <c r="C57" s="135"/>
      <c r="D57" s="135"/>
      <c r="E57" s="135"/>
      <c r="F57" s="135"/>
      <c r="G57" s="135"/>
      <c r="H57" s="135"/>
      <c r="I57" s="135"/>
      <c r="J57" s="135"/>
    </row>
    <row r="58" spans="1:10" hidden="1" outlineLevel="1" x14ac:dyDescent="0.25">
      <c r="A58" s="135"/>
      <c r="B58" s="135"/>
      <c r="C58" s="135"/>
      <c r="D58" s="135"/>
      <c r="E58" s="135"/>
      <c r="F58" s="135"/>
      <c r="G58" s="135"/>
      <c r="H58" s="135"/>
      <c r="I58" s="135"/>
      <c r="J58" s="135"/>
    </row>
    <row r="59" spans="1:10" hidden="1" outlineLevel="1" x14ac:dyDescent="0.25">
      <c r="A59" s="135"/>
      <c r="B59" s="135"/>
      <c r="C59" s="135"/>
      <c r="D59" s="135"/>
      <c r="E59" s="135"/>
      <c r="F59" s="135"/>
      <c r="G59" s="135"/>
      <c r="H59" s="135"/>
      <c r="I59" s="135"/>
      <c r="J59" s="135"/>
    </row>
    <row r="60" spans="1:10" collapsed="1" x14ac:dyDescent="0.25">
      <c r="A60" s="91" t="s">
        <v>17</v>
      </c>
      <c r="B60" s="92"/>
      <c r="C60" s="92" t="str">
        <f>"за "&amp;LOWER($A$54)</f>
        <v>за декабрь</v>
      </c>
      <c r="D60" s="93">
        <f>COUNTA(дкб_пр)</f>
        <v>1</v>
      </c>
      <c r="E60" s="94">
        <f>SUM(дкб_кол)</f>
        <v>2016</v>
      </c>
      <c r="F60" s="95">
        <f>COUNTA(акт_вх_дкб)+COUNTA(акт_отб_дкб)</f>
        <v>0</v>
      </c>
      <c r="G60" s="104"/>
      <c r="H60" s="104"/>
      <c r="I60" s="104"/>
      <c r="J60" s="97">
        <f>SUM(кол_отб_дкб)</f>
        <v>0</v>
      </c>
    </row>
    <row r="61" spans="1:10" ht="32.25" customHeight="1" x14ac:dyDescent="0.25">
      <c r="A61" s="105" t="s">
        <v>17</v>
      </c>
      <c r="B61" s="106"/>
      <c r="C61" s="106" t="s">
        <v>112</v>
      </c>
      <c r="D61" s="107">
        <f>SUM(D46,D53,D60)</f>
        <v>3</v>
      </c>
      <c r="E61" s="108">
        <f>SUM(E46,E53,E60)</f>
        <v>4032</v>
      </c>
      <c r="F61" s="109">
        <f>SUM(F46,F53,F60)</f>
        <v>0</v>
      </c>
      <c r="G61" s="106"/>
      <c r="H61" s="106" t="str">
        <f>"Кп= "&amp;ROUNDDOWN((F61/D61)*100,1)&amp;"%"</f>
        <v>Кп= 0%</v>
      </c>
      <c r="I61" s="106" t="str">
        <f>"Км= "&amp;ROUNDDOWN((J61/E61)*100,2)&amp;"%"</f>
        <v>Км= 0%</v>
      </c>
      <c r="J61" s="110">
        <f>SUM(J46,J53,J60)</f>
        <v>0</v>
      </c>
    </row>
    <row r="62" spans="1:10" ht="27" customHeight="1" x14ac:dyDescent="0.25">
      <c r="A62" s="105" t="s">
        <v>17</v>
      </c>
      <c r="B62" s="106"/>
      <c r="C62" s="106" t="s">
        <v>114</v>
      </c>
      <c r="D62" s="107">
        <f>SUM(D61,D38)</f>
        <v>13</v>
      </c>
      <c r="E62" s="108">
        <f>SUM(E61,E38)</f>
        <v>30769</v>
      </c>
      <c r="F62" s="109">
        <f>SUM(F61,F38)</f>
        <v>0</v>
      </c>
      <c r="G62" s="106"/>
      <c r="H62" s="106" t="str">
        <f>"Кп= "&amp;ROUNDDOWN((F62/D62)*100,1)&amp;"%"</f>
        <v>Кп= 0%</v>
      </c>
      <c r="I62" s="106" t="str">
        <f>"Км= "&amp;ROUNDDOWN((J62/E62)*100,2)&amp;"%"</f>
        <v>Км= 0%</v>
      </c>
      <c r="J62" s="110">
        <f>SUM(J61,J38)</f>
        <v>0</v>
      </c>
    </row>
    <row r="63" spans="1:10" ht="27" customHeight="1" x14ac:dyDescent="0.25">
      <c r="A63" s="217" t="s">
        <v>371</v>
      </c>
      <c r="B63" s="217"/>
      <c r="C63" s="217"/>
      <c r="D63" s="218"/>
      <c r="E63" s="219"/>
      <c r="F63" s="220"/>
      <c r="G63" s="217"/>
      <c r="H63" s="217"/>
      <c r="I63" s="217"/>
      <c r="J63" s="219"/>
    </row>
    <row r="64" spans="1:10" ht="26.25" customHeight="1" x14ac:dyDescent="0.25">
      <c r="A64" s="8" t="s">
        <v>20</v>
      </c>
      <c r="B64" s="8"/>
      <c r="C64" s="8"/>
      <c r="D64" s="9"/>
      <c r="E64" s="8"/>
      <c r="F64" s="8"/>
      <c r="G64" s="8" t="s">
        <v>21</v>
      </c>
      <c r="H64" s="8"/>
      <c r="I64" s="8"/>
      <c r="J64" s="8"/>
    </row>
  </sheetData>
  <sheetProtection algorithmName="SHA-512" hashValue="LHR/r3lmtcgVvCf7RPXNCBop25lzVJ6WczLSF0ed9eoX5ARdwNJec6ycG3pbRvRbiIHPcx7lpY/2SGX/OhSdiQ==" saltValue="V8PpiRdBsabZEBlfvbZJgw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54:J54"/>
    <mergeCell ref="A6:J6"/>
    <mergeCell ref="A9:J9"/>
    <mergeCell ref="A13:J13"/>
    <mergeCell ref="A17:J17"/>
    <mergeCell ref="A20:J20"/>
    <mergeCell ref="A23:J23"/>
    <mergeCell ref="A28:J28"/>
    <mergeCell ref="A31:J31"/>
    <mergeCell ref="A34:J34"/>
    <mergeCell ref="A40:J40"/>
    <mergeCell ref="A47:J47"/>
  </mergeCells>
  <printOptions horizontalCentered="1" verticalCentered="1"/>
  <pageMargins left="0.7" right="0.7" top="0.75" bottom="0.75" header="0.3" footer="0.3"/>
  <pageSetup paperSize="9" scale="88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5241-DBF5-46AF-8877-B0C292C6A445}">
  <sheetPr codeName="Лист14">
    <pageSetUpPr fitToPage="1"/>
  </sheetPr>
  <dimension ref="A1:N57"/>
  <sheetViews>
    <sheetView zoomScale="85" zoomScaleNormal="85" workbookViewId="0">
      <pane ySplit="4" topLeftCell="A41" activePane="bottomLeft" state="frozen"/>
      <selection activeCell="A2" sqref="A2:J2"/>
      <selection pane="bottomLeft" activeCell="F61" sqref="F61"/>
    </sheetView>
  </sheetViews>
  <sheetFormatPr defaultRowHeight="15" outlineLevelRow="1" x14ac:dyDescent="0.25"/>
  <cols>
    <col min="1" max="1" width="5" customWidth="1"/>
    <col min="2" max="2" width="24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76" t="s">
        <v>301</v>
      </c>
      <c r="B1" s="76"/>
      <c r="C1" s="76"/>
      <c r="D1" s="76"/>
      <c r="E1" s="76"/>
      <c r="F1" s="76"/>
      <c r="G1" s="76"/>
      <c r="H1" s="76"/>
      <c r="I1" s="76"/>
      <c r="J1" s="77" t="s">
        <v>94</v>
      </c>
    </row>
    <row r="2" spans="1:14" ht="33.75" customHeight="1" x14ac:dyDescent="0.4">
      <c r="A2" s="255" t="s">
        <v>356</v>
      </c>
      <c r="B2" s="255"/>
      <c r="C2" s="255"/>
      <c r="D2" s="255"/>
      <c r="E2" s="255"/>
      <c r="F2" s="255"/>
      <c r="G2" s="255"/>
      <c r="H2" s="255"/>
      <c r="I2" s="255"/>
      <c r="J2" s="255"/>
    </row>
    <row r="3" spans="1:14" x14ac:dyDescent="0.25">
      <c r="A3" s="256" t="s">
        <v>0</v>
      </c>
      <c r="B3" s="257" t="s">
        <v>97</v>
      </c>
      <c r="C3" s="256" t="s">
        <v>1</v>
      </c>
      <c r="D3" s="259" t="s">
        <v>23</v>
      </c>
      <c r="E3" s="256" t="s">
        <v>96</v>
      </c>
      <c r="F3" s="256" t="s">
        <v>3</v>
      </c>
      <c r="G3" s="256"/>
      <c r="H3" s="260" t="s">
        <v>2</v>
      </c>
      <c r="I3" s="261"/>
      <c r="J3" s="259" t="s">
        <v>93</v>
      </c>
    </row>
    <row r="4" spans="1:14" ht="32.25" customHeight="1" x14ac:dyDescent="0.25">
      <c r="A4" s="256"/>
      <c r="B4" s="258"/>
      <c r="C4" s="256"/>
      <c r="D4" s="256"/>
      <c r="E4" s="256"/>
      <c r="F4" s="203" t="s">
        <v>0</v>
      </c>
      <c r="G4" s="203" t="s">
        <v>4</v>
      </c>
      <c r="H4" s="203" t="s">
        <v>0</v>
      </c>
      <c r="I4" s="203" t="s">
        <v>4</v>
      </c>
      <c r="J4" s="256"/>
    </row>
    <row r="5" spans="1:14" ht="14.25" customHeight="1" x14ac:dyDescent="0.25">
      <c r="A5" s="204">
        <v>1</v>
      </c>
      <c r="B5" s="204">
        <v>2</v>
      </c>
      <c r="C5" s="204">
        <v>3</v>
      </c>
      <c r="D5" s="204">
        <v>4</v>
      </c>
      <c r="E5" s="204">
        <v>5</v>
      </c>
      <c r="F5" s="204">
        <v>6</v>
      </c>
      <c r="G5" s="204">
        <v>7</v>
      </c>
      <c r="H5" s="204">
        <v>8</v>
      </c>
      <c r="I5" s="204">
        <v>9</v>
      </c>
      <c r="J5" s="204">
        <v>10</v>
      </c>
      <c r="M5" s="18"/>
    </row>
    <row r="6" spans="1:14" x14ac:dyDescent="0.25">
      <c r="A6" s="252" t="s">
        <v>5</v>
      </c>
      <c r="B6" s="252"/>
      <c r="C6" s="252"/>
      <c r="D6" s="252"/>
      <c r="E6" s="252"/>
      <c r="F6" s="252"/>
      <c r="G6" s="252"/>
      <c r="H6" s="252"/>
      <c r="I6" s="252"/>
      <c r="J6" s="252"/>
    </row>
    <row r="7" spans="1:14" x14ac:dyDescent="0.25">
      <c r="A7" s="113"/>
      <c r="B7" s="113"/>
      <c r="C7" s="114"/>
      <c r="D7" s="115"/>
      <c r="E7" s="116"/>
      <c r="F7" s="204"/>
      <c r="G7" s="204"/>
      <c r="H7" s="204"/>
      <c r="I7" s="204"/>
      <c r="J7" s="204"/>
    </row>
    <row r="8" spans="1:14" s="1" customFormat="1" x14ac:dyDescent="0.25">
      <c r="A8" s="91" t="s">
        <v>17</v>
      </c>
      <c r="B8" s="92"/>
      <c r="C8" s="92" t="str">
        <f>"за "&amp;LOWER($A$6)</f>
        <v>за январь</v>
      </c>
      <c r="D8" s="93">
        <f>COUNTA(янв_пр)</f>
        <v>0</v>
      </c>
      <c r="E8" s="94">
        <f>SUM(янв_кол)</f>
        <v>0</v>
      </c>
      <c r="F8" s="95">
        <f>COUNTA(акт_вх_янв)+COUNTA(акт_отб_янв)</f>
        <v>0</v>
      </c>
      <c r="G8" s="96"/>
      <c r="H8" s="96"/>
      <c r="I8" s="96"/>
      <c r="J8" s="97">
        <f>SUM(кол_отб_янв)</f>
        <v>0</v>
      </c>
    </row>
    <row r="9" spans="1:14" x14ac:dyDescent="0.25">
      <c r="A9" s="262" t="s">
        <v>6</v>
      </c>
      <c r="B9" s="262"/>
      <c r="C9" s="262"/>
      <c r="D9" s="262"/>
      <c r="E9" s="262"/>
      <c r="F9" s="262"/>
      <c r="G9" s="262"/>
      <c r="H9" s="262"/>
      <c r="I9" s="262"/>
      <c r="J9" s="262"/>
      <c r="L9" s="1"/>
      <c r="M9" s="1"/>
      <c r="N9" s="1"/>
    </row>
    <row r="10" spans="1:14" ht="45" x14ac:dyDescent="0.25">
      <c r="A10" s="81">
        <v>1</v>
      </c>
      <c r="B10" s="98" t="s">
        <v>31</v>
      </c>
      <c r="C10" s="83" t="s">
        <v>142</v>
      </c>
      <c r="D10" s="84">
        <v>43879</v>
      </c>
      <c r="E10" s="145">
        <v>2037.8</v>
      </c>
      <c r="F10" s="87"/>
      <c r="G10" s="87"/>
      <c r="H10" s="87"/>
      <c r="I10" s="87"/>
      <c r="J10" s="87"/>
      <c r="L10" s="1"/>
      <c r="M10" s="1"/>
      <c r="N10" s="1"/>
    </row>
    <row r="11" spans="1:14" x14ac:dyDescent="0.25">
      <c r="A11" s="91" t="s">
        <v>17</v>
      </c>
      <c r="B11" s="92"/>
      <c r="C11" s="92" t="str">
        <f>"за "&amp;LOWER($A$9)</f>
        <v>за февраль</v>
      </c>
      <c r="D11" s="93">
        <f>COUNTA(фев_пр)</f>
        <v>1</v>
      </c>
      <c r="E11" s="94">
        <f>SUM(фев_кол)</f>
        <v>2037.8</v>
      </c>
      <c r="F11" s="95">
        <f>COUNTA(акт_вх_фев)+COUNTA(акт_отб_фев)</f>
        <v>0</v>
      </c>
      <c r="G11" s="96"/>
      <c r="H11" s="96"/>
      <c r="I11" s="96"/>
      <c r="J11" s="97">
        <f>SUM(кол_отб_фев)</f>
        <v>0</v>
      </c>
      <c r="L11" s="1"/>
      <c r="M11" s="1"/>
      <c r="N11" s="1"/>
    </row>
    <row r="12" spans="1:14" x14ac:dyDescent="0.25">
      <c r="A12" s="252" t="s">
        <v>7</v>
      </c>
      <c r="B12" s="252"/>
      <c r="C12" s="252"/>
      <c r="D12" s="252"/>
      <c r="E12" s="252"/>
      <c r="F12" s="252"/>
      <c r="G12" s="252"/>
      <c r="H12" s="252"/>
      <c r="I12" s="252"/>
      <c r="J12" s="252"/>
      <c r="L12" s="1"/>
      <c r="M12" s="1"/>
      <c r="N12" s="1"/>
    </row>
    <row r="13" spans="1:14" ht="45" x14ac:dyDescent="0.25">
      <c r="A13" s="81">
        <v>2</v>
      </c>
      <c r="B13" s="99" t="s">
        <v>31</v>
      </c>
      <c r="C13" s="100" t="s">
        <v>166</v>
      </c>
      <c r="D13" s="101">
        <v>43908</v>
      </c>
      <c r="E13" s="146">
        <v>1665.6</v>
      </c>
      <c r="F13" s="87"/>
      <c r="G13" s="87"/>
      <c r="H13" s="87"/>
      <c r="I13" s="87"/>
      <c r="J13" s="87"/>
      <c r="L13" s="1"/>
      <c r="M13" s="1"/>
      <c r="N13" s="1"/>
    </row>
    <row r="14" spans="1:14" x14ac:dyDescent="0.25">
      <c r="A14" s="91" t="s">
        <v>17</v>
      </c>
      <c r="B14" s="92"/>
      <c r="C14" s="92" t="str">
        <f>"за "&amp;LOWER($A$12)</f>
        <v>за март</v>
      </c>
      <c r="D14" s="93">
        <f>COUNTA(мрт_пр)</f>
        <v>1</v>
      </c>
      <c r="E14" s="94">
        <f>SUM(мрт_кол)</f>
        <v>1665.6</v>
      </c>
      <c r="F14" s="95">
        <f>COUNTA(акт_вх_мрт)+COUNTA(акт_отб_мрт)</f>
        <v>0</v>
      </c>
      <c r="G14" s="104"/>
      <c r="H14" s="104"/>
      <c r="I14" s="104"/>
      <c r="J14" s="97">
        <f>SUM(кол_отб_мрт)</f>
        <v>0</v>
      </c>
      <c r="L14" s="1"/>
      <c r="M14" s="1"/>
      <c r="N14" s="1"/>
    </row>
    <row r="15" spans="1:14" ht="31.5" customHeight="1" x14ac:dyDescent="0.25">
      <c r="A15" s="105" t="s">
        <v>17</v>
      </c>
      <c r="B15" s="106"/>
      <c r="C15" s="106" t="s">
        <v>18</v>
      </c>
      <c r="D15" s="107">
        <f>SUM(D8,D11,D14)</f>
        <v>2</v>
      </c>
      <c r="E15" s="108">
        <f>SUM(E8,E11,E14)</f>
        <v>3703.3999999999996</v>
      </c>
      <c r="F15" s="109">
        <f>SUM(F8,F11,F14)</f>
        <v>0</v>
      </c>
      <c r="G15" s="106"/>
      <c r="H15" s="106" t="str">
        <f>"Кп= "&amp;ROUNDDOWN((F15/D15)*100,1)&amp;"%"</f>
        <v>Кп= 0%</v>
      </c>
      <c r="I15" s="106" t="str">
        <f>"Км= "&amp;ROUNDDOWN((J15/E15)*100,2)&amp;"%"</f>
        <v>Км= 0%</v>
      </c>
      <c r="J15" s="110">
        <f>SUM(J8,J11,J14)</f>
        <v>0</v>
      </c>
      <c r="L15" s="1"/>
      <c r="M15" s="1"/>
      <c r="N15" s="1"/>
    </row>
    <row r="16" spans="1:14" x14ac:dyDescent="0.25">
      <c r="A16" s="262" t="s">
        <v>8</v>
      </c>
      <c r="B16" s="262"/>
      <c r="C16" s="262"/>
      <c r="D16" s="262"/>
      <c r="E16" s="262"/>
      <c r="F16" s="262"/>
      <c r="G16" s="262"/>
      <c r="H16" s="262"/>
      <c r="I16" s="262"/>
      <c r="J16" s="262"/>
      <c r="L16" s="1"/>
      <c r="M16" s="1"/>
      <c r="N16" s="1"/>
    </row>
    <row r="17" spans="1:14" s="76" customFormat="1" x14ac:dyDescent="0.25">
      <c r="A17" s="205"/>
      <c r="B17" s="205"/>
      <c r="C17" s="205"/>
      <c r="D17" s="205"/>
      <c r="E17" s="205"/>
      <c r="F17" s="205"/>
      <c r="G17" s="205"/>
      <c r="H17" s="205"/>
      <c r="I17" s="205"/>
      <c r="J17" s="205"/>
      <c r="L17" s="133"/>
      <c r="M17" s="133"/>
      <c r="N17" s="133"/>
    </row>
    <row r="18" spans="1:14" s="76" customFormat="1" x14ac:dyDescent="0.25">
      <c r="A18" s="91" t="s">
        <v>17</v>
      </c>
      <c r="B18" s="92"/>
      <c r="C18" s="92" t="str">
        <f>"за "&amp;LOWER($A$16)</f>
        <v>за апрель</v>
      </c>
      <c r="D18" s="93">
        <f>COUNTA(апр_пр)</f>
        <v>0</v>
      </c>
      <c r="E18" s="94">
        <f>SUM(апр_кол)</f>
        <v>0</v>
      </c>
      <c r="F18" s="95">
        <f>COUNTA(акт_вх_апр)+COUNTA(акт_отб_апр)</f>
        <v>0</v>
      </c>
      <c r="G18" s="104"/>
      <c r="H18" s="104"/>
      <c r="I18" s="104"/>
      <c r="J18" s="97">
        <f>SUM(кол_отб_апр)</f>
        <v>0</v>
      </c>
      <c r="L18" s="133"/>
      <c r="M18" s="133"/>
      <c r="N18" s="133"/>
    </row>
    <row r="19" spans="1:14" x14ac:dyDescent="0.25">
      <c r="A19" s="252" t="s">
        <v>9</v>
      </c>
      <c r="B19" s="252"/>
      <c r="C19" s="252"/>
      <c r="D19" s="252"/>
      <c r="E19" s="252"/>
      <c r="F19" s="252"/>
      <c r="G19" s="252"/>
      <c r="H19" s="252"/>
      <c r="I19" s="252"/>
      <c r="J19" s="252"/>
      <c r="L19" s="1"/>
      <c r="M19" s="1"/>
      <c r="N19" s="1"/>
    </row>
    <row r="20" spans="1:14" s="76" customFormat="1" ht="45" x14ac:dyDescent="0.25">
      <c r="A20" s="81">
        <v>3</v>
      </c>
      <c r="B20" s="117" t="s">
        <v>31</v>
      </c>
      <c r="C20" s="118" t="s">
        <v>182</v>
      </c>
      <c r="D20" s="119">
        <v>43958</v>
      </c>
      <c r="E20" s="147">
        <v>2920</v>
      </c>
      <c r="F20" s="204"/>
      <c r="G20" s="204"/>
      <c r="H20" s="204"/>
      <c r="I20" s="204"/>
      <c r="J20" s="204"/>
      <c r="L20" s="133"/>
      <c r="M20" s="133"/>
      <c r="N20" s="133"/>
    </row>
    <row r="21" spans="1:14" s="76" customFormat="1" ht="45" outlineLevel="1" x14ac:dyDescent="0.25">
      <c r="A21" s="137">
        <v>4</v>
      </c>
      <c r="B21" s="117" t="s">
        <v>32</v>
      </c>
      <c r="C21" s="118" t="s">
        <v>183</v>
      </c>
      <c r="D21" s="119">
        <v>43958</v>
      </c>
      <c r="E21" s="147">
        <v>534</v>
      </c>
      <c r="F21" s="134"/>
      <c r="G21" s="134"/>
      <c r="H21" s="134"/>
      <c r="I21" s="134"/>
      <c r="J21" s="134"/>
      <c r="L21" s="133"/>
      <c r="M21" s="133"/>
      <c r="N21" s="133"/>
    </row>
    <row r="22" spans="1:14" s="76" customFormat="1" x14ac:dyDescent="0.25">
      <c r="A22" s="91" t="s">
        <v>17</v>
      </c>
      <c r="B22" s="92"/>
      <c r="C22" s="92" t="str">
        <f>"за "&amp;LOWER($A$19)</f>
        <v>за май</v>
      </c>
      <c r="D22" s="93">
        <f>COUNTA(май_пр)</f>
        <v>2</v>
      </c>
      <c r="E22" s="94">
        <f>SUM(май_кол)</f>
        <v>3454</v>
      </c>
      <c r="F22" s="95">
        <f>COUNTA(акт_вх_май)+COUNTA(акт_отб_май)</f>
        <v>0</v>
      </c>
      <c r="G22" s="104"/>
      <c r="H22" s="104"/>
      <c r="I22" s="104"/>
      <c r="J22" s="97">
        <f>SUM(кол_отб_май)</f>
        <v>0</v>
      </c>
    </row>
    <row r="23" spans="1:14" x14ac:dyDescent="0.25">
      <c r="A23" s="252" t="s">
        <v>10</v>
      </c>
      <c r="B23" s="252"/>
      <c r="C23" s="252"/>
      <c r="D23" s="252"/>
      <c r="E23" s="252"/>
      <c r="F23" s="252"/>
      <c r="G23" s="252"/>
      <c r="H23" s="252"/>
      <c r="I23" s="252"/>
      <c r="J23" s="252"/>
    </row>
    <row r="24" spans="1:14" s="76" customFormat="1" ht="45" x14ac:dyDescent="0.25">
      <c r="A24" s="81">
        <v>5</v>
      </c>
      <c r="B24" s="99" t="s">
        <v>31</v>
      </c>
      <c r="C24" s="103" t="s">
        <v>221</v>
      </c>
      <c r="D24" s="136">
        <v>44006</v>
      </c>
      <c r="E24" s="148">
        <v>2799</v>
      </c>
      <c r="F24" s="135"/>
      <c r="G24" s="135"/>
      <c r="H24" s="135"/>
      <c r="I24" s="135"/>
      <c r="J24" s="135"/>
    </row>
    <row r="25" spans="1:14" s="76" customFormat="1" x14ac:dyDescent="0.25">
      <c r="A25" s="91" t="s">
        <v>17</v>
      </c>
      <c r="B25" s="92"/>
      <c r="C25" s="92" t="str">
        <f>"за "&amp;LOWER($A$23)</f>
        <v>за июнь</v>
      </c>
      <c r="D25" s="93">
        <f>COUNTA(июн_пр)</f>
        <v>1</v>
      </c>
      <c r="E25" s="94">
        <f>SUM(июн_кол)</f>
        <v>2799</v>
      </c>
      <c r="F25" s="95">
        <f>COUNTA(акт_вх_июн)+COUNTA(акт_отб_июн)</f>
        <v>0</v>
      </c>
      <c r="G25" s="104"/>
      <c r="H25" s="104"/>
      <c r="I25" s="104"/>
      <c r="J25" s="97">
        <f>SUM(кол_отб_июн)</f>
        <v>0</v>
      </c>
    </row>
    <row r="26" spans="1:14" ht="31.5" customHeight="1" x14ac:dyDescent="0.25">
      <c r="A26" s="105" t="s">
        <v>17</v>
      </c>
      <c r="B26" s="106"/>
      <c r="C26" s="106" t="s">
        <v>109</v>
      </c>
      <c r="D26" s="107">
        <f>SUM(D18,D22,D25)</f>
        <v>3</v>
      </c>
      <c r="E26" s="108">
        <f>SUM(E18,E22,E25)</f>
        <v>6253</v>
      </c>
      <c r="F26" s="109">
        <f>SUM(F18,F22,F25)</f>
        <v>0</v>
      </c>
      <c r="G26" s="106"/>
      <c r="H26" s="106" t="str">
        <f>"Кп= "&amp;ROUNDDOWN((F26/D26)*100,1)&amp;"%"</f>
        <v>Кп= 0%</v>
      </c>
      <c r="I26" s="106" t="str">
        <f>"Км= "&amp;ROUNDDOWN((J26/E26)*100,2)&amp;"%"</f>
        <v>Км= 0%</v>
      </c>
      <c r="J26" s="110">
        <f>SUM(J18,J22,J25)</f>
        <v>0</v>
      </c>
    </row>
    <row r="27" spans="1:14" ht="31.5" customHeight="1" x14ac:dyDescent="0.25">
      <c r="A27" s="105" t="s">
        <v>17</v>
      </c>
      <c r="B27" s="106"/>
      <c r="C27" s="106" t="s">
        <v>110</v>
      </c>
      <c r="D27" s="107">
        <f>SUM(D15,D26)</f>
        <v>5</v>
      </c>
      <c r="E27" s="108">
        <f>SUM(E26,E15)</f>
        <v>9956.4</v>
      </c>
      <c r="F27" s="109">
        <f>SUM(F26,F15)</f>
        <v>0</v>
      </c>
      <c r="G27" s="106"/>
      <c r="H27" s="106" t="str">
        <f>"Кп= "&amp;ROUNDDOWN((F27/D27)*100,1)&amp;"%"</f>
        <v>Кп= 0%</v>
      </c>
      <c r="I27" s="106" t="str">
        <f>"Км= "&amp;ROUNDDOWN((J27/E27)*100,2)&amp;"%"</f>
        <v>Км= 0%</v>
      </c>
      <c r="J27" s="110">
        <f>SUM(J26,J15)</f>
        <v>0</v>
      </c>
    </row>
    <row r="28" spans="1:14" x14ac:dyDescent="0.25">
      <c r="A28" s="252" t="s">
        <v>11</v>
      </c>
      <c r="B28" s="252"/>
      <c r="C28" s="252"/>
      <c r="D28" s="252"/>
      <c r="E28" s="252"/>
      <c r="F28" s="252"/>
      <c r="G28" s="252"/>
      <c r="H28" s="252"/>
      <c r="I28" s="252"/>
      <c r="J28" s="252"/>
    </row>
    <row r="29" spans="1:14" s="74" customFormat="1" ht="45" x14ac:dyDescent="0.25">
      <c r="A29" s="81">
        <v>6</v>
      </c>
      <c r="B29" s="117" t="s">
        <v>31</v>
      </c>
      <c r="C29" s="118" t="s">
        <v>245</v>
      </c>
      <c r="D29" s="119">
        <v>44029</v>
      </c>
      <c r="E29" s="125">
        <v>1645</v>
      </c>
      <c r="F29" s="208"/>
      <c r="G29" s="208"/>
      <c r="H29" s="208"/>
      <c r="I29" s="208"/>
      <c r="J29" s="208"/>
    </row>
    <row r="30" spans="1:14" s="74" customFormat="1" x14ac:dyDescent="0.25">
      <c r="A30" s="91" t="s">
        <v>17</v>
      </c>
      <c r="B30" s="92"/>
      <c r="C30" s="92" t="str">
        <f>"за "&amp;LOWER($A$28)</f>
        <v>за июль</v>
      </c>
      <c r="D30" s="93">
        <f>COUNTA(июл_пр)</f>
        <v>1</v>
      </c>
      <c r="E30" s="94">
        <f>SUM(июл_кол)</f>
        <v>1645</v>
      </c>
      <c r="F30" s="95">
        <f>COUNTA(акт_вх_июл)+COUNTA(акт_отб_июл)</f>
        <v>0</v>
      </c>
      <c r="G30" s="104"/>
      <c r="H30" s="104"/>
      <c r="I30" s="104"/>
      <c r="J30" s="97">
        <f>SUM(кол_отб_июл)</f>
        <v>0</v>
      </c>
    </row>
    <row r="31" spans="1:14" x14ac:dyDescent="0.25">
      <c r="A31" s="252" t="s">
        <v>13</v>
      </c>
      <c r="B31" s="252"/>
      <c r="C31" s="252"/>
      <c r="D31" s="252"/>
      <c r="E31" s="252"/>
      <c r="F31" s="252"/>
      <c r="G31" s="252"/>
      <c r="H31" s="252"/>
      <c r="I31" s="252"/>
      <c r="J31" s="252"/>
    </row>
    <row r="32" spans="1:14" s="74" customFormat="1" ht="45" x14ac:dyDescent="0.25">
      <c r="A32" s="81">
        <v>7</v>
      </c>
      <c r="B32" s="117" t="s">
        <v>31</v>
      </c>
      <c r="C32" s="118" t="s">
        <v>270</v>
      </c>
      <c r="D32" s="119">
        <v>44071</v>
      </c>
      <c r="E32" s="125">
        <v>2586</v>
      </c>
      <c r="F32" s="135"/>
      <c r="G32" s="135"/>
      <c r="H32" s="135"/>
      <c r="I32" s="135"/>
      <c r="J32" s="135"/>
    </row>
    <row r="33" spans="1:10" s="74" customFormat="1" x14ac:dyDescent="0.25">
      <c r="A33" s="91" t="s">
        <v>17</v>
      </c>
      <c r="B33" s="92"/>
      <c r="C33" s="92" t="str">
        <f>"за "&amp;LOWER($A$31)</f>
        <v>за август</v>
      </c>
      <c r="D33" s="93">
        <f>COUNTA(авг_пр)</f>
        <v>1</v>
      </c>
      <c r="E33" s="94">
        <f>SUM(авг_кол)</f>
        <v>2586</v>
      </c>
      <c r="F33" s="95">
        <f>COUNTA(акт_вх_авг)+COUNTA(акт_отб_авг)</f>
        <v>0</v>
      </c>
      <c r="G33" s="104"/>
      <c r="H33" s="104"/>
      <c r="I33" s="104"/>
      <c r="J33" s="97">
        <f>SUM(кол_отб_авг)</f>
        <v>0</v>
      </c>
    </row>
    <row r="34" spans="1:10" x14ac:dyDescent="0.25">
      <c r="A34" s="252" t="s">
        <v>12</v>
      </c>
      <c r="B34" s="252"/>
      <c r="C34" s="252"/>
      <c r="D34" s="252"/>
      <c r="E34" s="252"/>
      <c r="F34" s="252"/>
      <c r="G34" s="252"/>
      <c r="H34" s="252"/>
      <c r="I34" s="252"/>
      <c r="J34" s="252"/>
    </row>
    <row r="35" spans="1:10" s="74" customFormat="1" ht="45" x14ac:dyDescent="0.25">
      <c r="A35" s="81">
        <v>8</v>
      </c>
      <c r="B35" s="99" t="s">
        <v>31</v>
      </c>
      <c r="C35" s="100" t="s">
        <v>298</v>
      </c>
      <c r="D35" s="101">
        <v>44097</v>
      </c>
      <c r="E35" s="102">
        <v>3013</v>
      </c>
      <c r="F35" s="135"/>
      <c r="G35" s="135"/>
      <c r="H35" s="135"/>
      <c r="I35" s="135"/>
      <c r="J35" s="135"/>
    </row>
    <row r="36" spans="1:10" s="74" customFormat="1" x14ac:dyDescent="0.25">
      <c r="A36" s="91" t="s">
        <v>17</v>
      </c>
      <c r="B36" s="92"/>
      <c r="C36" s="92" t="str">
        <f>"за "&amp;LOWER($A$34)</f>
        <v>за сентябрь</v>
      </c>
      <c r="D36" s="93">
        <f>COUNTA(снт_пр)</f>
        <v>1</v>
      </c>
      <c r="E36" s="94">
        <f>SUM(снт_кол)</f>
        <v>3013</v>
      </c>
      <c r="F36" s="95">
        <f>COUNTA(акт_вх_снт)+COUNTA(акт_отб_снт)</f>
        <v>0</v>
      </c>
      <c r="G36" s="104"/>
      <c r="H36" s="104"/>
      <c r="I36" s="104"/>
      <c r="J36" s="97">
        <f>SUM(кол_отб_снт)</f>
        <v>0</v>
      </c>
    </row>
    <row r="37" spans="1:10" s="74" customFormat="1" ht="30" customHeight="1" x14ac:dyDescent="0.25">
      <c r="A37" s="105" t="s">
        <v>17</v>
      </c>
      <c r="B37" s="106"/>
      <c r="C37" s="106" t="s">
        <v>111</v>
      </c>
      <c r="D37" s="107">
        <f>SUM(D30,D33,D36)</f>
        <v>3</v>
      </c>
      <c r="E37" s="108">
        <f>SUM(E30,E33,E36)</f>
        <v>7244</v>
      </c>
      <c r="F37" s="109">
        <f>SUM(F30,F33,F36)</f>
        <v>0</v>
      </c>
      <c r="G37" s="106"/>
      <c r="H37" s="106" t="str">
        <f>"Кп= "&amp;ROUNDDOWN((F37/D37)*100,1)&amp;"%"</f>
        <v>Кп= 0%</v>
      </c>
      <c r="I37" s="106" t="str">
        <f>"Км= "&amp;ROUNDDOWN((J37/E37)*100,2)&amp;"%"</f>
        <v>Км= 0%</v>
      </c>
      <c r="J37" s="110">
        <f>SUM(J30,J33,J36)</f>
        <v>0</v>
      </c>
    </row>
    <row r="38" spans="1:10" s="74" customFormat="1" ht="30" customHeight="1" x14ac:dyDescent="0.25">
      <c r="A38" s="105" t="s">
        <v>17</v>
      </c>
      <c r="B38" s="106"/>
      <c r="C38" s="106" t="s">
        <v>113</v>
      </c>
      <c r="D38" s="107">
        <f>SUM(D27,D37)</f>
        <v>8</v>
      </c>
      <c r="E38" s="108">
        <f>SUM(E37,E27)</f>
        <v>17200.400000000001</v>
      </c>
      <c r="F38" s="109">
        <f>SUM(F37,F27)</f>
        <v>0</v>
      </c>
      <c r="G38" s="106"/>
      <c r="H38" s="106" t="str">
        <f>"Кп= "&amp;ROUNDDOWN((F38/D38)*100,1)&amp;"%"</f>
        <v>Кп= 0%</v>
      </c>
      <c r="I38" s="106" t="str">
        <f>"Км= "&amp;ROUNDDOWN((J38/E38)*100,2)&amp;"%"</f>
        <v>Км= 0%</v>
      </c>
      <c r="J38" s="110">
        <f>SUM(J37,J27)</f>
        <v>0</v>
      </c>
    </row>
    <row r="39" spans="1:10" ht="24.75" hidden="1" customHeight="1" outlineLevel="1" x14ac:dyDescent="0.25">
      <c r="A39" s="139" t="s">
        <v>20</v>
      </c>
      <c r="B39" s="139"/>
      <c r="C39" s="139"/>
      <c r="D39" s="140"/>
      <c r="E39" s="139"/>
      <c r="F39" s="139"/>
      <c r="G39" s="139" t="s">
        <v>21</v>
      </c>
      <c r="H39" s="139"/>
      <c r="I39" s="139"/>
      <c r="J39" s="139"/>
    </row>
    <row r="40" spans="1:10" ht="15" customHeight="1" collapsed="1" x14ac:dyDescent="0.25">
      <c r="A40" s="252" t="s">
        <v>14</v>
      </c>
      <c r="B40" s="252"/>
      <c r="C40" s="252"/>
      <c r="D40" s="252"/>
      <c r="E40" s="252"/>
      <c r="F40" s="252"/>
      <c r="G40" s="252"/>
      <c r="H40" s="252"/>
      <c r="I40" s="252"/>
      <c r="J40" s="252"/>
    </row>
    <row r="41" spans="1:10" s="76" customFormat="1" x14ac:dyDescent="0.25">
      <c r="A41" s="135"/>
      <c r="B41" s="135"/>
      <c r="C41" s="135"/>
      <c r="D41" s="138"/>
      <c r="E41" s="135"/>
      <c r="F41" s="135"/>
      <c r="G41" s="135"/>
      <c r="H41" s="135"/>
      <c r="I41" s="135"/>
      <c r="J41" s="135"/>
    </row>
    <row r="42" spans="1:10" s="76" customFormat="1" hidden="1" outlineLevel="1" x14ac:dyDescent="0.25">
      <c r="A42" s="135"/>
      <c r="B42" s="135"/>
      <c r="C42" s="135"/>
      <c r="D42" s="138"/>
      <c r="E42" s="135"/>
      <c r="F42" s="135"/>
      <c r="G42" s="135"/>
      <c r="H42" s="135"/>
      <c r="I42" s="135"/>
      <c r="J42" s="135"/>
    </row>
    <row r="43" spans="1:10" s="76" customFormat="1" hidden="1" outlineLevel="1" x14ac:dyDescent="0.25">
      <c r="A43" s="135"/>
      <c r="B43" s="135"/>
      <c r="C43" s="135"/>
      <c r="D43" s="138"/>
      <c r="E43" s="135"/>
      <c r="F43" s="135"/>
      <c r="G43" s="135"/>
      <c r="H43" s="135"/>
      <c r="I43" s="135"/>
      <c r="J43" s="135"/>
    </row>
    <row r="44" spans="1:10" s="76" customFormat="1" hidden="1" outlineLevel="1" x14ac:dyDescent="0.25">
      <c r="A44" s="135"/>
      <c r="B44" s="135"/>
      <c r="C44" s="135"/>
      <c r="D44" s="138"/>
      <c r="E44" s="135"/>
      <c r="F44" s="135"/>
      <c r="G44" s="135"/>
      <c r="H44" s="135"/>
      <c r="I44" s="135"/>
      <c r="J44" s="135"/>
    </row>
    <row r="45" spans="1:10" s="76" customFormat="1" hidden="1" outlineLevel="1" x14ac:dyDescent="0.25">
      <c r="A45" s="135"/>
      <c r="B45" s="135"/>
      <c r="C45" s="135"/>
      <c r="D45" s="138"/>
      <c r="E45" s="135"/>
      <c r="F45" s="135"/>
      <c r="G45" s="135"/>
      <c r="H45" s="135"/>
      <c r="I45" s="135"/>
      <c r="J45" s="135"/>
    </row>
    <row r="46" spans="1:10" s="76" customFormat="1" collapsed="1" x14ac:dyDescent="0.25">
      <c r="A46" s="91" t="s">
        <v>17</v>
      </c>
      <c r="B46" s="92"/>
      <c r="C46" s="92" t="str">
        <f>"за "&amp;LOWER($A$40)</f>
        <v>за октябрь</v>
      </c>
      <c r="D46" s="93">
        <f>COUNTA(окт_пр)</f>
        <v>0</v>
      </c>
      <c r="E46" s="94">
        <f>SUM(окт_кол)</f>
        <v>0</v>
      </c>
      <c r="F46" s="95">
        <f>COUNTA(акт_вх_окт)+COUNTA(акт_отб_окт)</f>
        <v>0</v>
      </c>
      <c r="G46" s="104"/>
      <c r="H46" s="104"/>
      <c r="I46" s="104"/>
      <c r="J46" s="97">
        <f>SUM(кол_отб_окт)</f>
        <v>0</v>
      </c>
    </row>
    <row r="47" spans="1:10" x14ac:dyDescent="0.25">
      <c r="A47" s="252" t="s">
        <v>15</v>
      </c>
      <c r="B47" s="252"/>
      <c r="C47" s="252"/>
      <c r="D47" s="252"/>
      <c r="E47" s="252"/>
      <c r="F47" s="252"/>
      <c r="G47" s="252"/>
      <c r="H47" s="252"/>
      <c r="I47" s="252"/>
      <c r="J47" s="252"/>
    </row>
    <row r="48" spans="1:10" s="76" customFormat="1" ht="45" x14ac:dyDescent="0.25">
      <c r="A48" s="81">
        <v>9</v>
      </c>
      <c r="B48" s="117" t="s">
        <v>31</v>
      </c>
      <c r="C48" s="118" t="s">
        <v>322</v>
      </c>
      <c r="D48" s="119">
        <v>44155</v>
      </c>
      <c r="E48" s="125">
        <v>1175</v>
      </c>
      <c r="F48" s="135"/>
      <c r="G48" s="135"/>
      <c r="H48" s="135"/>
      <c r="I48" s="135"/>
      <c r="J48" s="135"/>
    </row>
    <row r="49" spans="1:10" s="76" customFormat="1" ht="45" outlineLevel="1" x14ac:dyDescent="0.25">
      <c r="A49" s="81">
        <v>10</v>
      </c>
      <c r="B49" s="98" t="s">
        <v>32</v>
      </c>
      <c r="C49" s="83" t="s">
        <v>323</v>
      </c>
      <c r="D49" s="84">
        <v>44155</v>
      </c>
      <c r="E49" s="124">
        <v>512</v>
      </c>
      <c r="F49" s="135"/>
      <c r="G49" s="135"/>
      <c r="H49" s="135"/>
      <c r="I49" s="135"/>
      <c r="J49" s="135"/>
    </row>
    <row r="50" spans="1:10" s="76" customFormat="1" x14ac:dyDescent="0.25">
      <c r="A50" s="91" t="s">
        <v>17</v>
      </c>
      <c r="B50" s="92"/>
      <c r="C50" s="92" t="str">
        <f>"за "&amp;LOWER($A$47)</f>
        <v>за ноябрь</v>
      </c>
      <c r="D50" s="93">
        <f>COUNTA(нбр_пр)</f>
        <v>2</v>
      </c>
      <c r="E50" s="94">
        <f>SUM(нбр_кол)</f>
        <v>1687</v>
      </c>
      <c r="F50" s="95">
        <f>COUNTA(акт_вх_нбр)+COUNTA(акт_отб_нбр)</f>
        <v>0</v>
      </c>
      <c r="G50" s="104"/>
      <c r="H50" s="104"/>
      <c r="I50" s="104"/>
      <c r="J50" s="97">
        <f>SUM(кол_отб_нбр)</f>
        <v>0</v>
      </c>
    </row>
    <row r="51" spans="1:10" x14ac:dyDescent="0.25">
      <c r="A51" s="252" t="s">
        <v>16</v>
      </c>
      <c r="B51" s="252"/>
      <c r="C51" s="252"/>
      <c r="D51" s="252"/>
      <c r="E51" s="252"/>
      <c r="F51" s="252"/>
      <c r="G51" s="252"/>
      <c r="H51" s="252"/>
      <c r="I51" s="252"/>
      <c r="J51" s="252"/>
    </row>
    <row r="52" spans="1:10" s="76" customFormat="1" ht="45" x14ac:dyDescent="0.25">
      <c r="A52" s="81">
        <v>11</v>
      </c>
      <c r="B52" s="98" t="s">
        <v>31</v>
      </c>
      <c r="C52" s="83" t="s">
        <v>322</v>
      </c>
      <c r="D52" s="84">
        <v>44175</v>
      </c>
      <c r="E52" s="124">
        <v>2382</v>
      </c>
      <c r="F52" s="135"/>
      <c r="G52" s="135"/>
      <c r="H52" s="135"/>
      <c r="I52" s="135"/>
      <c r="J52" s="135"/>
    </row>
    <row r="53" spans="1:10" s="76" customFormat="1" ht="45" outlineLevel="1" x14ac:dyDescent="0.25">
      <c r="A53" s="81">
        <v>12</v>
      </c>
      <c r="B53" s="98" t="s">
        <v>31</v>
      </c>
      <c r="C53" s="83" t="s">
        <v>345</v>
      </c>
      <c r="D53" s="84">
        <v>44183</v>
      </c>
      <c r="E53" s="124">
        <v>1014</v>
      </c>
      <c r="F53" s="135"/>
      <c r="G53" s="135"/>
      <c r="H53" s="135"/>
      <c r="I53" s="135"/>
      <c r="J53" s="135"/>
    </row>
    <row r="54" spans="1:10" x14ac:dyDescent="0.25">
      <c r="A54" s="91" t="s">
        <v>17</v>
      </c>
      <c r="B54" s="92"/>
      <c r="C54" s="92" t="str">
        <f>"за "&amp;LOWER($A$51)</f>
        <v>за декабрь</v>
      </c>
      <c r="D54" s="93">
        <f>COUNTA(дкб_пр)</f>
        <v>2</v>
      </c>
      <c r="E54" s="94">
        <f>SUM(дкб_кол)</f>
        <v>3396</v>
      </c>
      <c r="F54" s="95">
        <f>COUNTA(акт_вх_дкб)+COUNTA(акт_отб_дкб)</f>
        <v>0</v>
      </c>
      <c r="G54" s="104"/>
      <c r="H54" s="104"/>
      <c r="I54" s="104"/>
      <c r="J54" s="97">
        <f>SUM(кол_отб_дкб)</f>
        <v>0</v>
      </c>
    </row>
    <row r="55" spans="1:10" ht="32.25" customHeight="1" x14ac:dyDescent="0.25">
      <c r="A55" s="105" t="s">
        <v>17</v>
      </c>
      <c r="B55" s="106"/>
      <c r="C55" s="106" t="s">
        <v>112</v>
      </c>
      <c r="D55" s="107">
        <f>SUM(D46,D50,D54)</f>
        <v>4</v>
      </c>
      <c r="E55" s="108">
        <f>SUM(E46,E50,E54)</f>
        <v>5083</v>
      </c>
      <c r="F55" s="109">
        <f>SUM(F46,F50,F54)</f>
        <v>0</v>
      </c>
      <c r="G55" s="106"/>
      <c r="H55" s="106" t="str">
        <f>"Кп= "&amp;ROUNDDOWN((F55/D55)*100,1)&amp;"%"</f>
        <v>Кп= 0%</v>
      </c>
      <c r="I55" s="106" t="str">
        <f>"Км= "&amp;ROUNDDOWN((J55/E55)*100,2)&amp;"%"</f>
        <v>Км= 0%</v>
      </c>
      <c r="J55" s="110">
        <f>SUM(J46,J50,J54)</f>
        <v>0</v>
      </c>
    </row>
    <row r="56" spans="1:10" ht="27" customHeight="1" x14ac:dyDescent="0.25">
      <c r="A56" s="105" t="s">
        <v>17</v>
      </c>
      <c r="B56" s="106"/>
      <c r="C56" s="106" t="s">
        <v>114</v>
      </c>
      <c r="D56" s="107">
        <f>SUM(D55,D38)</f>
        <v>12</v>
      </c>
      <c r="E56" s="108">
        <f>SUM(E55,E38)</f>
        <v>22283.4</v>
      </c>
      <c r="F56" s="109">
        <f>SUM(F55,F38)</f>
        <v>0</v>
      </c>
      <c r="G56" s="106"/>
      <c r="H56" s="106" t="str">
        <f>"Кп= "&amp;ROUNDDOWN((F56/D56)*100,1)&amp;"%"</f>
        <v>Кп= 0%</v>
      </c>
      <c r="I56" s="106" t="str">
        <f>"Км= "&amp;ROUNDDOWN((J56/E56)*100,2)&amp;"%"</f>
        <v>Км= 0%</v>
      </c>
      <c r="J56" s="110">
        <f>SUM(J55,J38)</f>
        <v>0</v>
      </c>
    </row>
    <row r="57" spans="1:10" ht="26.25" customHeight="1" x14ac:dyDescent="0.25">
      <c r="A57" s="139" t="s">
        <v>20</v>
      </c>
      <c r="B57" s="139"/>
      <c r="C57" s="139"/>
      <c r="D57" s="140"/>
      <c r="E57" s="139"/>
      <c r="F57" s="139"/>
      <c r="G57" s="139" t="s">
        <v>21</v>
      </c>
      <c r="H57" s="139"/>
      <c r="I57" s="139"/>
      <c r="J57" s="139"/>
    </row>
  </sheetData>
  <sheetProtection algorithmName="SHA-512" hashValue="D6BdOcMBC8ze3/QC+JXXhgPhAl4GDdg4UeipAUNR0EDXHIDcw/xFTmKmco4fveW33cnevsTxIO/HiUAampr8TQ==" saltValue="HvWN2acRynzd2Xp4+L39Ng==" spinCount="100000" sheet="1" formatCells="0" formatColumns="0" formatRows="0" insertColumns="0" insertRows="0" insertHyperlinks="0" deleteColumns="0" deleteRows="0" sort="0" autoFilter="0" pivotTables="0"/>
  <mergeCells count="21">
    <mergeCell ref="A51:J51"/>
    <mergeCell ref="A6:J6"/>
    <mergeCell ref="A9:J9"/>
    <mergeCell ref="A12:J12"/>
    <mergeCell ref="A16:J16"/>
    <mergeCell ref="A19:J19"/>
    <mergeCell ref="A23:J23"/>
    <mergeCell ref="A28:J28"/>
    <mergeCell ref="A31:J31"/>
    <mergeCell ref="A34:J34"/>
    <mergeCell ref="A40:J40"/>
    <mergeCell ref="A47:J47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25" right="0.25" top="0.75" bottom="0.75" header="0.3" footer="0.3"/>
  <pageSetup paperSize="9" scale="74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N103"/>
  <sheetViews>
    <sheetView zoomScaleNormal="100" workbookViewId="0">
      <pane ySplit="4" topLeftCell="A93" activePane="bottomLeft" state="frozen"/>
      <selection activeCell="A2" sqref="A2:J2"/>
      <selection pane="bottomLeft" activeCell="E14" sqref="E14:E18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32"/>
      <c r="B1" s="32"/>
      <c r="C1" s="32"/>
      <c r="D1" s="32"/>
      <c r="E1" s="32"/>
      <c r="F1" s="32"/>
      <c r="G1" s="32"/>
      <c r="H1" s="32"/>
      <c r="I1" s="32"/>
      <c r="J1" s="44" t="s">
        <v>94</v>
      </c>
    </row>
    <row r="2" spans="1:14" ht="33.75" customHeight="1" x14ac:dyDescent="0.4">
      <c r="A2" s="268" t="s">
        <v>95</v>
      </c>
      <c r="B2" s="268"/>
      <c r="C2" s="268"/>
      <c r="D2" s="268"/>
      <c r="E2" s="268"/>
      <c r="F2" s="268"/>
      <c r="G2" s="268"/>
      <c r="H2" s="268"/>
      <c r="I2" s="268"/>
      <c r="J2" s="268"/>
    </row>
    <row r="3" spans="1:14" x14ac:dyDescent="0.25">
      <c r="A3" s="270" t="s">
        <v>0</v>
      </c>
      <c r="B3" s="273" t="s">
        <v>97</v>
      </c>
      <c r="C3" s="270" t="s">
        <v>1</v>
      </c>
      <c r="D3" s="269" t="s">
        <v>23</v>
      </c>
      <c r="E3" s="270" t="s">
        <v>96</v>
      </c>
      <c r="F3" s="270" t="s">
        <v>3</v>
      </c>
      <c r="G3" s="270"/>
      <c r="H3" s="271" t="s">
        <v>2</v>
      </c>
      <c r="I3" s="272"/>
      <c r="J3" s="269" t="s">
        <v>93</v>
      </c>
    </row>
    <row r="4" spans="1:14" ht="32.25" customHeight="1" x14ac:dyDescent="0.25">
      <c r="A4" s="270"/>
      <c r="B4" s="274"/>
      <c r="C4" s="270"/>
      <c r="D4" s="270"/>
      <c r="E4" s="270"/>
      <c r="F4" s="10" t="s">
        <v>0</v>
      </c>
      <c r="G4" s="10" t="s">
        <v>4</v>
      </c>
      <c r="H4" s="10" t="s">
        <v>0</v>
      </c>
      <c r="I4" s="10" t="s">
        <v>4</v>
      </c>
      <c r="J4" s="270"/>
    </row>
    <row r="5" spans="1:14" ht="14.25" customHeight="1" x14ac:dyDescent="0.25">
      <c r="A5" s="15">
        <v>1</v>
      </c>
      <c r="B5" s="15">
        <v>2</v>
      </c>
      <c r="C5" s="15">
        <v>3</v>
      </c>
      <c r="D5" s="15">
        <v>4</v>
      </c>
      <c r="E5" s="15">
        <v>5</v>
      </c>
      <c r="F5" s="15">
        <v>6</v>
      </c>
      <c r="G5" s="15">
        <v>7</v>
      </c>
      <c r="H5" s="15">
        <v>8</v>
      </c>
      <c r="I5" s="15">
        <v>9</v>
      </c>
      <c r="J5" s="15">
        <v>10</v>
      </c>
      <c r="M5" s="18"/>
    </row>
    <row r="6" spans="1:14" x14ac:dyDescent="0.25">
      <c r="A6" s="267" t="s">
        <v>5</v>
      </c>
      <c r="B6" s="267"/>
      <c r="C6" s="267"/>
      <c r="D6" s="267"/>
      <c r="E6" s="267"/>
      <c r="F6" s="267"/>
      <c r="G6" s="267"/>
      <c r="H6" s="267"/>
      <c r="I6" s="267"/>
      <c r="J6" s="267"/>
    </row>
    <row r="7" spans="1:14" x14ac:dyDescent="0.25">
      <c r="A7" s="12"/>
      <c r="B7" s="12"/>
      <c r="C7" s="16"/>
      <c r="D7" s="13"/>
      <c r="E7" s="14"/>
      <c r="F7" s="5"/>
      <c r="G7" s="5"/>
      <c r="H7" s="5"/>
      <c r="I7" s="5"/>
      <c r="J7" s="5"/>
    </row>
    <row r="8" spans="1:14" hidden="1" outlineLevel="1" x14ac:dyDescent="0.25">
      <c r="A8" s="2"/>
      <c r="B8" s="2"/>
      <c r="C8" s="17"/>
      <c r="D8" s="3"/>
      <c r="E8" s="4"/>
      <c r="F8" s="5"/>
      <c r="G8" s="5"/>
      <c r="H8" s="5"/>
      <c r="I8" s="5"/>
      <c r="J8" s="5"/>
    </row>
    <row r="9" spans="1:14" hidden="1" outlineLevel="1" x14ac:dyDescent="0.25">
      <c r="A9" s="2"/>
      <c r="B9" s="2"/>
      <c r="C9" s="17"/>
      <c r="D9" s="3"/>
      <c r="E9" s="4"/>
      <c r="F9" s="5"/>
      <c r="G9" s="5"/>
      <c r="H9" s="5"/>
      <c r="I9" s="5"/>
      <c r="J9" s="5"/>
    </row>
    <row r="10" spans="1:14" hidden="1" outlineLevel="1" x14ac:dyDescent="0.25">
      <c r="A10" s="2"/>
      <c r="B10" s="2"/>
      <c r="C10" s="17"/>
      <c r="D10" s="3"/>
      <c r="E10" s="4"/>
      <c r="F10" s="5"/>
      <c r="G10" s="5"/>
      <c r="H10" s="5"/>
      <c r="I10" s="5"/>
      <c r="J10" s="5"/>
    </row>
    <row r="11" spans="1:14" hidden="1" outlineLevel="1" x14ac:dyDescent="0.25">
      <c r="A11" s="2"/>
      <c r="B11" s="2"/>
      <c r="C11" s="17"/>
      <c r="D11" s="3"/>
      <c r="E11" s="4"/>
      <c r="F11" s="5"/>
      <c r="G11" s="5"/>
      <c r="H11" s="5"/>
      <c r="I11" s="5"/>
      <c r="J11" s="5"/>
    </row>
    <row r="12" spans="1:14" s="1" customFormat="1" collapsed="1" x14ac:dyDescent="0.25">
      <c r="A12" s="6" t="s">
        <v>17</v>
      </c>
      <c r="B12" s="7"/>
      <c r="C12" s="7" t="str">
        <f>"за "&amp;LOWER($A$6)</f>
        <v>за январь</v>
      </c>
      <c r="D12" s="28">
        <f>COUNTA(янв_пр)</f>
        <v>0</v>
      </c>
      <c r="E12" s="23">
        <f>SUM(янв_кол)</f>
        <v>0</v>
      </c>
      <c r="F12" s="24">
        <f>COUNTA(акт_вх_янв)+COUNTA(акт_отб_янв)</f>
        <v>0</v>
      </c>
      <c r="G12" s="11"/>
      <c r="H12" s="11"/>
      <c r="I12" s="11"/>
      <c r="J12" s="25">
        <f>SUM(кол_отб_янв)</f>
        <v>0</v>
      </c>
    </row>
    <row r="13" spans="1:14" x14ac:dyDescent="0.25">
      <c r="A13" s="275" t="s">
        <v>6</v>
      </c>
      <c r="B13" s="275"/>
      <c r="C13" s="275"/>
      <c r="D13" s="275"/>
      <c r="E13" s="275"/>
      <c r="F13" s="275"/>
      <c r="G13" s="275"/>
      <c r="H13" s="275"/>
      <c r="I13" s="275"/>
      <c r="J13" s="275"/>
      <c r="L13" s="1"/>
      <c r="M13" s="1"/>
      <c r="N13" s="1"/>
    </row>
    <row r="14" spans="1:14" x14ac:dyDescent="0.25">
      <c r="A14" s="12"/>
      <c r="B14" s="12"/>
      <c r="C14" s="26"/>
      <c r="D14" s="13"/>
      <c r="E14" s="14"/>
      <c r="F14" s="2"/>
      <c r="G14" s="2"/>
      <c r="H14" s="2"/>
      <c r="I14" s="2"/>
      <c r="J14" s="2"/>
      <c r="L14" s="1"/>
      <c r="M14" s="1"/>
      <c r="N14" s="1"/>
    </row>
    <row r="15" spans="1:14" hidden="1" outlineLevel="1" x14ac:dyDescent="0.25">
      <c r="A15" s="2"/>
      <c r="B15" s="2"/>
      <c r="C15" s="27"/>
      <c r="D15" s="3"/>
      <c r="E15" s="4"/>
      <c r="F15" s="2"/>
      <c r="G15" s="2"/>
      <c r="H15" s="2"/>
      <c r="I15" s="2"/>
      <c r="J15" s="2"/>
      <c r="L15" s="1"/>
      <c r="M15" s="1"/>
      <c r="N15" s="1"/>
    </row>
    <row r="16" spans="1:14" hidden="1" outlineLevel="1" x14ac:dyDescent="0.25">
      <c r="A16" s="2"/>
      <c r="B16" s="2"/>
      <c r="C16" s="27"/>
      <c r="D16" s="3"/>
      <c r="E16" s="4"/>
      <c r="F16" s="2"/>
      <c r="G16" s="2"/>
      <c r="H16" s="2"/>
      <c r="I16" s="2"/>
      <c r="J16" s="2"/>
      <c r="L16" s="1"/>
      <c r="M16" s="1"/>
      <c r="N16" s="1"/>
    </row>
    <row r="17" spans="1:14" hidden="1" outlineLevel="1" x14ac:dyDescent="0.25">
      <c r="A17" s="2"/>
      <c r="B17" s="2"/>
      <c r="C17" s="27"/>
      <c r="D17" s="3"/>
      <c r="E17" s="4"/>
      <c r="F17" s="2"/>
      <c r="G17" s="2"/>
      <c r="H17" s="2"/>
      <c r="I17" s="2"/>
      <c r="J17" s="2"/>
      <c r="L17" s="1"/>
      <c r="M17" s="56"/>
      <c r="N17" s="1"/>
    </row>
    <row r="18" spans="1:14" hidden="1" outlineLevel="1" x14ac:dyDescent="0.25">
      <c r="A18" s="2"/>
      <c r="B18" s="2"/>
      <c r="C18" s="27"/>
      <c r="D18" s="3"/>
      <c r="E18" s="4"/>
      <c r="F18" s="2"/>
      <c r="G18" s="2"/>
      <c r="H18" s="2"/>
      <c r="I18" s="2"/>
      <c r="J18" s="2"/>
      <c r="L18" s="1"/>
      <c r="M18" s="1"/>
      <c r="N18" s="1"/>
    </row>
    <row r="19" spans="1:14" collapsed="1" x14ac:dyDescent="0.25">
      <c r="A19" s="6" t="s">
        <v>17</v>
      </c>
      <c r="B19" s="7"/>
      <c r="C19" s="7" t="str">
        <f>"за "&amp;LOWER($A$13)</f>
        <v>за февраль</v>
      </c>
      <c r="D19" s="28">
        <f>COUNTA(фев_пр)</f>
        <v>0</v>
      </c>
      <c r="E19" s="23">
        <f>SUM(фев_кол)</f>
        <v>0</v>
      </c>
      <c r="F19" s="24">
        <f>COUNTA(акт_вх_фев)+COUNTA(акт_отб_фев)</f>
        <v>0</v>
      </c>
      <c r="G19" s="11"/>
      <c r="H19" s="11"/>
      <c r="I19" s="11"/>
      <c r="J19" s="25">
        <f>SUM(кол_отб_фев)</f>
        <v>0</v>
      </c>
      <c r="L19" s="1"/>
      <c r="M19" s="1"/>
      <c r="N19" s="1"/>
    </row>
    <row r="20" spans="1:14" x14ac:dyDescent="0.25">
      <c r="A20" s="267" t="s">
        <v>7</v>
      </c>
      <c r="B20" s="267"/>
      <c r="C20" s="267"/>
      <c r="D20" s="267"/>
      <c r="E20" s="267"/>
      <c r="F20" s="267"/>
      <c r="G20" s="267"/>
      <c r="H20" s="267"/>
      <c r="I20" s="267"/>
      <c r="J20" s="267"/>
      <c r="L20" s="1"/>
      <c r="M20" s="1"/>
      <c r="N20" s="1"/>
    </row>
    <row r="21" spans="1:14" x14ac:dyDescent="0.25">
      <c r="A21" s="12"/>
      <c r="B21" s="12"/>
      <c r="C21" s="16"/>
      <c r="D21" s="13"/>
      <c r="E21" s="12"/>
      <c r="F21" s="2"/>
      <c r="G21" s="2"/>
      <c r="H21" s="2"/>
      <c r="I21" s="2"/>
      <c r="J21" s="2"/>
      <c r="L21" s="1"/>
      <c r="M21" s="1"/>
      <c r="N21" s="1"/>
    </row>
    <row r="22" spans="1:14" hidden="1" outlineLevel="1" x14ac:dyDescent="0.25">
      <c r="A22" s="2"/>
      <c r="B22" s="2"/>
      <c r="C22" s="17"/>
      <c r="D22" s="3"/>
      <c r="E22" s="2"/>
      <c r="F22" s="2"/>
      <c r="G22" s="2"/>
      <c r="H22" s="2"/>
      <c r="I22" s="2"/>
      <c r="J22" s="2"/>
      <c r="L22" s="1"/>
      <c r="M22" s="1"/>
      <c r="N22" s="1"/>
    </row>
    <row r="23" spans="1:14" hidden="1" outlineLevel="1" x14ac:dyDescent="0.25">
      <c r="A23" s="2"/>
      <c r="B23" s="2"/>
      <c r="C23" s="17"/>
      <c r="D23" s="3"/>
      <c r="E23" s="2"/>
      <c r="F23" s="2"/>
      <c r="G23" s="2"/>
      <c r="H23" s="2"/>
      <c r="I23" s="2"/>
      <c r="J23" s="2"/>
      <c r="L23" s="1"/>
      <c r="M23" s="1"/>
      <c r="N23" s="1"/>
    </row>
    <row r="24" spans="1:14" hidden="1" outlineLevel="1" x14ac:dyDescent="0.25">
      <c r="A24" s="2"/>
      <c r="B24" s="2"/>
      <c r="C24" s="17"/>
      <c r="D24" s="3"/>
      <c r="E24" s="2"/>
      <c r="F24" s="2"/>
      <c r="G24" s="2"/>
      <c r="H24" s="2"/>
      <c r="I24" s="2"/>
      <c r="J24" s="2"/>
      <c r="L24" s="1"/>
      <c r="M24" s="1"/>
      <c r="N24" s="1"/>
    </row>
    <row r="25" spans="1:14" hidden="1" outlineLevel="1" x14ac:dyDescent="0.25">
      <c r="A25" s="2"/>
      <c r="B25" s="2"/>
      <c r="C25" s="17"/>
      <c r="D25" s="3"/>
      <c r="E25" s="2"/>
      <c r="F25" s="2"/>
      <c r="G25" s="2"/>
      <c r="H25" s="2"/>
      <c r="I25" s="2"/>
      <c r="J25" s="2"/>
      <c r="L25" s="1"/>
      <c r="M25" s="1"/>
      <c r="N25" s="1"/>
    </row>
    <row r="26" spans="1:14" collapsed="1" x14ac:dyDescent="0.25">
      <c r="A26" s="6" t="s">
        <v>17</v>
      </c>
      <c r="B26" s="7"/>
      <c r="C26" s="7" t="str">
        <f>"за "&amp;LOWER($A$20)</f>
        <v>за март</v>
      </c>
      <c r="D26" s="28">
        <f>COUNTA(мрт_пр)</f>
        <v>0</v>
      </c>
      <c r="E26" s="23">
        <f>SUM(мрт_кол)</f>
        <v>0</v>
      </c>
      <c r="F26" s="24">
        <f>COUNTA(акт_вх_мрт)+COUNTA(акт_отб_мрт)</f>
        <v>0</v>
      </c>
      <c r="G26" s="43"/>
      <c r="H26" s="43"/>
      <c r="I26" s="43"/>
      <c r="J26" s="25">
        <f>SUM(кол_отб_мрт)</f>
        <v>0</v>
      </c>
      <c r="L26" s="1"/>
      <c r="M26" s="1"/>
      <c r="N26" s="1"/>
    </row>
    <row r="27" spans="1:14" ht="31.5" customHeight="1" x14ac:dyDescent="0.25">
      <c r="A27" s="37" t="s">
        <v>17</v>
      </c>
      <c r="B27" s="38"/>
      <c r="C27" s="38" t="s">
        <v>18</v>
      </c>
      <c r="D27" s="39">
        <f>SUM(D12,D19,D26)</f>
        <v>0</v>
      </c>
      <c r="E27" s="40">
        <f>SUM(E12,E19,E26)</f>
        <v>0</v>
      </c>
      <c r="F27" s="41">
        <f>SUM(F12,F19,F26)</f>
        <v>0</v>
      </c>
      <c r="G27" s="38"/>
      <c r="H27" s="38" t="e">
        <f>"Кп= "&amp;ROUNDDOWN((F27/D27)*100,1)&amp;"%"</f>
        <v>#DIV/0!</v>
      </c>
      <c r="I27" s="38" t="e">
        <f>"Км= "&amp;ROUNDDOWN((J27/E27)*100,2)&amp;"%"</f>
        <v>#DIV/0!</v>
      </c>
      <c r="J27" s="42">
        <f>SUM(J12,J19,J26)</f>
        <v>0</v>
      </c>
      <c r="L27" s="1"/>
      <c r="M27" s="1"/>
      <c r="N27" s="1"/>
    </row>
    <row r="28" spans="1:14" ht="30" hidden="1" customHeight="1" outlineLevel="1" x14ac:dyDescent="0.25">
      <c r="A28" s="8" t="s">
        <v>19</v>
      </c>
      <c r="B28" s="8"/>
      <c r="C28" s="8"/>
      <c r="D28" s="9"/>
      <c r="E28" s="8"/>
      <c r="F28" s="8"/>
      <c r="G28" s="8" t="s">
        <v>22</v>
      </c>
      <c r="H28" s="8"/>
      <c r="I28" s="8"/>
      <c r="J28" s="8"/>
      <c r="L28" s="1"/>
      <c r="M28" s="1"/>
      <c r="N28" s="1"/>
    </row>
    <row r="29" spans="1:14" ht="31.5" hidden="1" customHeight="1" outlineLevel="1" x14ac:dyDescent="0.25">
      <c r="A29" s="8" t="s">
        <v>20</v>
      </c>
      <c r="B29" s="8"/>
      <c r="C29" s="8"/>
      <c r="D29" s="9"/>
      <c r="E29" s="8"/>
      <c r="F29" s="8"/>
      <c r="G29" s="8" t="s">
        <v>21</v>
      </c>
      <c r="H29" s="8"/>
      <c r="I29" s="8"/>
      <c r="J29" s="8"/>
      <c r="L29" s="1"/>
      <c r="M29" s="1"/>
      <c r="N29" s="1"/>
    </row>
    <row r="30" spans="1:14" collapsed="1" x14ac:dyDescent="0.25">
      <c r="A30" s="275" t="s">
        <v>8</v>
      </c>
      <c r="B30" s="275"/>
      <c r="C30" s="275"/>
      <c r="D30" s="275"/>
      <c r="E30" s="275"/>
      <c r="F30" s="275"/>
      <c r="G30" s="275"/>
      <c r="H30" s="275"/>
      <c r="I30" s="275"/>
      <c r="J30" s="275"/>
      <c r="L30" s="1"/>
      <c r="M30" s="1"/>
      <c r="N30" s="1"/>
    </row>
    <row r="31" spans="1:14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L31" s="1"/>
      <c r="M31" s="1"/>
      <c r="N31" s="1"/>
    </row>
    <row r="32" spans="1:14" hidden="1" outlineLevel="1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L32" s="1"/>
      <c r="M32" s="1"/>
      <c r="N32" s="1"/>
    </row>
    <row r="33" spans="1:14" hidden="1" outlineLevel="1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L33" s="1"/>
      <c r="M33" s="1"/>
      <c r="N33" s="1"/>
    </row>
    <row r="34" spans="1:14" hidden="1" outlineLevel="1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L34" s="1"/>
      <c r="M34" s="1"/>
      <c r="N34" s="1"/>
    </row>
    <row r="35" spans="1:14" hidden="1" outlineLevel="1" x14ac:dyDescent="0.25">
      <c r="A35" s="30"/>
      <c r="B35" s="30"/>
      <c r="C35" s="30"/>
      <c r="D35" s="31"/>
      <c r="E35" s="30"/>
      <c r="F35" s="30"/>
      <c r="G35" s="30"/>
      <c r="H35" s="30"/>
      <c r="I35" s="30"/>
      <c r="J35" s="30"/>
      <c r="L35" s="1"/>
      <c r="M35" s="1"/>
      <c r="N35" s="1"/>
    </row>
    <row r="36" spans="1:14" collapsed="1" x14ac:dyDescent="0.25">
      <c r="A36" s="6" t="s">
        <v>17</v>
      </c>
      <c r="B36" s="7"/>
      <c r="C36" s="7" t="str">
        <f>"за "&amp;LOWER($A$30)</f>
        <v>за апрель</v>
      </c>
      <c r="D36" s="28">
        <f>COUNTA(апр_пр)</f>
        <v>0</v>
      </c>
      <c r="E36" s="23">
        <f>SUM(апр_кол)</f>
        <v>0</v>
      </c>
      <c r="F36" s="24">
        <f>COUNTA(акт_вх_апр)+COUNTA(акт_отб_апр)</f>
        <v>0</v>
      </c>
      <c r="G36" s="43"/>
      <c r="H36" s="43"/>
      <c r="I36" s="43"/>
      <c r="J36" s="25">
        <f>SUM(кол_отб_апр)</f>
        <v>0</v>
      </c>
      <c r="L36" s="1"/>
      <c r="M36" s="1"/>
      <c r="N36" s="1"/>
    </row>
    <row r="37" spans="1:14" x14ac:dyDescent="0.25">
      <c r="A37" s="267" t="s">
        <v>9</v>
      </c>
      <c r="B37" s="267"/>
      <c r="C37" s="267"/>
      <c r="D37" s="267"/>
      <c r="E37" s="267"/>
      <c r="F37" s="267"/>
      <c r="G37" s="267"/>
      <c r="H37" s="267"/>
      <c r="I37" s="267"/>
      <c r="J37" s="267"/>
      <c r="L37" s="1"/>
      <c r="M37" s="1"/>
      <c r="N37" s="1"/>
    </row>
    <row r="38" spans="1:14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L38" s="1"/>
      <c r="M38" s="1"/>
      <c r="N38" s="1"/>
    </row>
    <row r="39" spans="1:14" hidden="1" outlineLevel="1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L39" s="1"/>
      <c r="M39" s="1"/>
      <c r="N39" s="1"/>
    </row>
    <row r="40" spans="1:14" hidden="1" outlineLevel="1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L40" s="1"/>
      <c r="M40" s="1"/>
      <c r="N40" s="1"/>
    </row>
    <row r="41" spans="1:14" hidden="1" outlineLevel="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L41" s="1"/>
      <c r="M41" s="1"/>
      <c r="N41" s="1"/>
    </row>
    <row r="42" spans="1:14" hidden="1" outlineLevel="1" x14ac:dyDescent="0.25">
      <c r="A42" s="33"/>
      <c r="B42" s="33"/>
      <c r="C42" s="33"/>
      <c r="D42" s="34"/>
      <c r="E42" s="33"/>
      <c r="F42" s="33"/>
      <c r="G42" s="33"/>
      <c r="H42" s="33"/>
      <c r="I42" s="33"/>
      <c r="J42" s="33"/>
    </row>
    <row r="43" spans="1:14" collapsed="1" x14ac:dyDescent="0.25">
      <c r="A43" s="6" t="s">
        <v>17</v>
      </c>
      <c r="B43" s="7"/>
      <c r="C43" s="7" t="str">
        <f>"за "&amp;LOWER($A$37)</f>
        <v>за май</v>
      </c>
      <c r="D43" s="28">
        <f>COUNTA(май_пр)</f>
        <v>0</v>
      </c>
      <c r="E43" s="23">
        <f>SUM(май_кол)</f>
        <v>0</v>
      </c>
      <c r="F43" s="24">
        <f>COUNTA(акт_вх_май)+COUNTA(акт_отб_май)</f>
        <v>0</v>
      </c>
      <c r="G43" s="43"/>
      <c r="H43" s="43"/>
      <c r="I43" s="43"/>
      <c r="J43" s="25">
        <f>SUM(кол_отб_май)</f>
        <v>0</v>
      </c>
    </row>
    <row r="44" spans="1:14" x14ac:dyDescent="0.25">
      <c r="A44" s="267" t="s">
        <v>10</v>
      </c>
      <c r="B44" s="267"/>
      <c r="C44" s="267"/>
      <c r="D44" s="267"/>
      <c r="E44" s="267"/>
      <c r="F44" s="267"/>
      <c r="G44" s="267"/>
      <c r="H44" s="267"/>
      <c r="I44" s="267"/>
      <c r="J44" s="267"/>
    </row>
    <row r="45" spans="1:14" x14ac:dyDescent="0.25">
      <c r="A45" s="30"/>
      <c r="B45" s="30"/>
      <c r="C45" s="30"/>
      <c r="D45" s="31"/>
      <c r="E45" s="30"/>
      <c r="F45" s="30"/>
      <c r="G45" s="30"/>
      <c r="H45" s="30"/>
      <c r="I45" s="30"/>
      <c r="J45" s="30"/>
    </row>
    <row r="46" spans="1:14" hidden="1" outlineLevel="1" x14ac:dyDescent="0.25">
      <c r="A46" s="30"/>
      <c r="B46" s="30"/>
      <c r="C46" s="30"/>
      <c r="D46" s="31"/>
      <c r="E46" s="30"/>
      <c r="F46" s="30"/>
      <c r="G46" s="30"/>
      <c r="H46" s="30"/>
      <c r="I46" s="30"/>
      <c r="J46" s="30"/>
    </row>
    <row r="47" spans="1:14" hidden="1" outlineLevel="1" x14ac:dyDescent="0.25">
      <c r="A47" s="30"/>
      <c r="B47" s="30"/>
      <c r="C47" s="30"/>
      <c r="D47" s="31"/>
      <c r="E47" s="30"/>
      <c r="F47" s="30"/>
      <c r="G47" s="30"/>
      <c r="H47" s="30"/>
      <c r="I47" s="30"/>
      <c r="J47" s="30"/>
    </row>
    <row r="48" spans="1:14" hidden="1" outlineLevel="1" x14ac:dyDescent="0.25">
      <c r="A48" s="30"/>
      <c r="B48" s="30"/>
      <c r="C48" s="30"/>
      <c r="D48" s="31"/>
      <c r="E48" s="30"/>
      <c r="F48" s="30"/>
      <c r="G48" s="30"/>
      <c r="H48" s="30"/>
      <c r="I48" s="30"/>
      <c r="J48" s="30"/>
    </row>
    <row r="49" spans="1:10" hidden="1" outlineLevel="1" x14ac:dyDescent="0.25">
      <c r="A49" s="30"/>
      <c r="B49" s="30"/>
      <c r="C49" s="30"/>
      <c r="D49" s="31"/>
      <c r="E49" s="30"/>
      <c r="F49" s="30"/>
      <c r="G49" s="30"/>
      <c r="H49" s="30"/>
      <c r="I49" s="30"/>
      <c r="J49" s="30"/>
    </row>
    <row r="50" spans="1:10" collapsed="1" x14ac:dyDescent="0.25">
      <c r="A50" s="6" t="s">
        <v>17</v>
      </c>
      <c r="B50" s="7"/>
      <c r="C50" s="7" t="str">
        <f>"за "&amp;LOWER($A$44)</f>
        <v>за июнь</v>
      </c>
      <c r="D50" s="28">
        <f>COUNTA(июн_пр)</f>
        <v>0</v>
      </c>
      <c r="E50" s="23">
        <f>SUM(июн_кол)</f>
        <v>0</v>
      </c>
      <c r="F50" s="24">
        <f>COUNTA(акт_вх_июн)+COUNTA(акт_отб_июн)</f>
        <v>0</v>
      </c>
      <c r="G50" s="43"/>
      <c r="H50" s="43"/>
      <c r="I50" s="43"/>
      <c r="J50" s="25">
        <f>SUM(кол_отб_июн)</f>
        <v>0</v>
      </c>
    </row>
    <row r="51" spans="1:10" ht="31.5" customHeight="1" x14ac:dyDescent="0.25">
      <c r="A51" s="37" t="s">
        <v>17</v>
      </c>
      <c r="B51" s="38"/>
      <c r="C51" s="38" t="s">
        <v>109</v>
      </c>
      <c r="D51" s="39">
        <f>SUM(D36,D43,D50)</f>
        <v>0</v>
      </c>
      <c r="E51" s="40">
        <f>SUM(E36,E43,E50)</f>
        <v>0</v>
      </c>
      <c r="F51" s="41">
        <f>SUM(F36,F43,F50)</f>
        <v>0</v>
      </c>
      <c r="G51" s="38"/>
      <c r="H51" s="38" t="e">
        <f>"Кп= "&amp;ROUNDDOWN((F51/D51)*100,1)&amp;"%"</f>
        <v>#DIV/0!</v>
      </c>
      <c r="I51" s="38" t="e">
        <f>"Км= "&amp;ROUNDDOWN((J51/E51)*100,2)&amp;"%"</f>
        <v>#DIV/0!</v>
      </c>
      <c r="J51" s="42">
        <f>SUM(J36,J43,J50)</f>
        <v>0</v>
      </c>
    </row>
    <row r="52" spans="1:10" ht="31.5" customHeight="1" x14ac:dyDescent="0.25">
      <c r="A52" s="37" t="s">
        <v>17</v>
      </c>
      <c r="B52" s="38"/>
      <c r="C52" s="38" t="s">
        <v>110</v>
      </c>
      <c r="D52" s="39">
        <f>SUM(D27,D51)</f>
        <v>0</v>
      </c>
      <c r="E52" s="40">
        <f>SUM(E51,E27)</f>
        <v>0</v>
      </c>
      <c r="F52" s="41">
        <f>SUM(F51,F27)</f>
        <v>0</v>
      </c>
      <c r="G52" s="38"/>
      <c r="H52" s="38" t="e">
        <f>"Кп= "&amp;ROUNDDOWN((F52/D52)*100,1)&amp;"%"</f>
        <v>#DIV/0!</v>
      </c>
      <c r="I52" s="38" t="e">
        <f>"Км= "&amp;ROUNDDOWN((J52/E52)*100,2)&amp;"%"</f>
        <v>#DIV/0!</v>
      </c>
      <c r="J52" s="42">
        <f>SUM(J51,J27)</f>
        <v>0</v>
      </c>
    </row>
    <row r="53" spans="1:10" ht="24" hidden="1" customHeight="1" outlineLevel="1" x14ac:dyDescent="0.25">
      <c r="A53" s="8" t="s">
        <v>19</v>
      </c>
      <c r="B53" s="8"/>
      <c r="C53" s="8"/>
      <c r="D53" s="9"/>
      <c r="E53" s="8"/>
      <c r="F53" s="8"/>
      <c r="G53" s="8" t="s">
        <v>22</v>
      </c>
      <c r="H53" s="8"/>
      <c r="I53" s="8"/>
      <c r="J53" s="8"/>
    </row>
    <row r="54" spans="1:10" ht="26.25" hidden="1" customHeight="1" outlineLevel="1" x14ac:dyDescent="0.25">
      <c r="A54" s="8" t="s">
        <v>20</v>
      </c>
      <c r="B54" s="8"/>
      <c r="C54" s="8"/>
      <c r="D54" s="9"/>
      <c r="E54" s="8"/>
      <c r="F54" s="8"/>
      <c r="G54" s="8" t="s">
        <v>21</v>
      </c>
      <c r="H54" s="8"/>
      <c r="I54" s="8"/>
      <c r="J54" s="8"/>
    </row>
    <row r="55" spans="1:10" collapsed="1" x14ac:dyDescent="0.25">
      <c r="A55" s="267" t="s">
        <v>11</v>
      </c>
      <c r="B55" s="267"/>
      <c r="C55" s="267"/>
      <c r="D55" s="267"/>
      <c r="E55" s="267"/>
      <c r="F55" s="267"/>
      <c r="G55" s="267"/>
      <c r="H55" s="267"/>
      <c r="I55" s="267"/>
      <c r="J55" s="267"/>
    </row>
    <row r="56" spans="1:10" x14ac:dyDescent="0.25">
      <c r="A56" s="30"/>
      <c r="B56" s="30"/>
      <c r="C56" s="30"/>
      <c r="D56" s="31"/>
      <c r="E56" s="30"/>
      <c r="F56" s="30"/>
      <c r="G56" s="30"/>
      <c r="H56" s="30"/>
      <c r="I56" s="30"/>
      <c r="J56" s="30"/>
    </row>
    <row r="57" spans="1:10" hidden="1" outlineLevel="1" x14ac:dyDescent="0.25">
      <c r="A57" s="30"/>
      <c r="B57" s="30"/>
      <c r="C57" s="30"/>
      <c r="D57" s="31"/>
      <c r="E57" s="30"/>
      <c r="F57" s="30"/>
      <c r="G57" s="30"/>
      <c r="H57" s="30"/>
      <c r="I57" s="30"/>
      <c r="J57" s="30"/>
    </row>
    <row r="58" spans="1:10" hidden="1" outlineLevel="1" x14ac:dyDescent="0.25">
      <c r="A58" s="30"/>
      <c r="B58" s="30"/>
      <c r="C58" s="30"/>
      <c r="D58" s="31"/>
      <c r="E58" s="30"/>
      <c r="F58" s="30"/>
      <c r="G58" s="30"/>
      <c r="H58" s="30"/>
      <c r="I58" s="30"/>
      <c r="J58" s="30"/>
    </row>
    <row r="59" spans="1:10" hidden="1" outlineLevel="1" x14ac:dyDescent="0.25">
      <c r="A59" s="30"/>
      <c r="B59" s="30"/>
      <c r="C59" s="30"/>
      <c r="D59" s="31"/>
      <c r="E59" s="30"/>
      <c r="F59" s="30"/>
      <c r="G59" s="30"/>
      <c r="H59" s="30"/>
      <c r="I59" s="30"/>
      <c r="J59" s="30"/>
    </row>
    <row r="60" spans="1:10" hidden="1" outlineLevel="1" x14ac:dyDescent="0.25">
      <c r="A60" s="30"/>
      <c r="B60" s="30"/>
      <c r="C60" s="30"/>
      <c r="D60" s="31"/>
      <c r="E60" s="30"/>
      <c r="F60" s="30"/>
      <c r="G60" s="30"/>
      <c r="H60" s="30"/>
      <c r="I60" s="30"/>
      <c r="J60" s="30"/>
    </row>
    <row r="61" spans="1:10" collapsed="1" x14ac:dyDescent="0.25">
      <c r="A61" s="6" t="s">
        <v>17</v>
      </c>
      <c r="B61" s="7"/>
      <c r="C61" s="7" t="str">
        <f>"за "&amp;LOWER($A$55)</f>
        <v>за июль</v>
      </c>
      <c r="D61" s="28">
        <f>COUNTA(июл_пр)</f>
        <v>0</v>
      </c>
      <c r="E61" s="23">
        <f>SUM(июл_кол)</f>
        <v>0</v>
      </c>
      <c r="F61" s="24">
        <f>COUNTA(акт_вх_июл)+COUNTA(акт_отб_июл)</f>
        <v>0</v>
      </c>
      <c r="G61" s="43"/>
      <c r="H61" s="43"/>
      <c r="I61" s="43"/>
      <c r="J61" s="25">
        <f>SUM(кол_отб_июл)</f>
        <v>0</v>
      </c>
    </row>
    <row r="62" spans="1:10" x14ac:dyDescent="0.25">
      <c r="A62" s="267" t="s">
        <v>13</v>
      </c>
      <c r="B62" s="267"/>
      <c r="C62" s="267"/>
      <c r="D62" s="267"/>
      <c r="E62" s="267"/>
      <c r="F62" s="267"/>
      <c r="G62" s="267"/>
      <c r="H62" s="267"/>
      <c r="I62" s="267"/>
      <c r="J62" s="267"/>
    </row>
    <row r="63" spans="1:10" x14ac:dyDescent="0.25">
      <c r="A63" s="30"/>
      <c r="B63" s="30"/>
      <c r="C63" s="30"/>
      <c r="D63" s="31"/>
      <c r="E63" s="30"/>
      <c r="F63" s="30"/>
      <c r="G63" s="30"/>
      <c r="H63" s="30"/>
      <c r="I63" s="30"/>
      <c r="J63" s="30"/>
    </row>
    <row r="64" spans="1:10" hidden="1" outlineLevel="1" x14ac:dyDescent="0.25">
      <c r="A64" s="30"/>
      <c r="B64" s="30"/>
      <c r="C64" s="30"/>
      <c r="D64" s="31"/>
      <c r="E64" s="30"/>
      <c r="F64" s="30"/>
      <c r="G64" s="30"/>
      <c r="H64" s="30"/>
      <c r="I64" s="30"/>
      <c r="J64" s="30"/>
    </row>
    <row r="65" spans="1:10" hidden="1" outlineLevel="1" x14ac:dyDescent="0.25">
      <c r="A65" s="30"/>
      <c r="B65" s="30"/>
      <c r="C65" s="30"/>
      <c r="D65" s="31"/>
      <c r="E65" s="30"/>
      <c r="F65" s="30"/>
      <c r="G65" s="30"/>
      <c r="H65" s="30"/>
      <c r="I65" s="30"/>
      <c r="J65" s="30"/>
    </row>
    <row r="66" spans="1:10" hidden="1" outlineLevel="1" x14ac:dyDescent="0.25">
      <c r="A66" s="30"/>
      <c r="B66" s="30"/>
      <c r="C66" s="30"/>
      <c r="D66" s="31"/>
      <c r="E66" s="30"/>
      <c r="F66" s="30"/>
      <c r="G66" s="30"/>
      <c r="H66" s="30"/>
      <c r="I66" s="30"/>
      <c r="J66" s="30"/>
    </row>
    <row r="67" spans="1:10" hidden="1" outlineLevel="1" x14ac:dyDescent="0.25">
      <c r="A67" s="30"/>
      <c r="B67" s="30"/>
      <c r="C67" s="30"/>
      <c r="D67" s="31"/>
      <c r="E67" s="30"/>
      <c r="F67" s="30"/>
      <c r="G67" s="30"/>
      <c r="H67" s="30"/>
      <c r="I67" s="30"/>
      <c r="J67" s="30"/>
    </row>
    <row r="68" spans="1:10" collapsed="1" x14ac:dyDescent="0.25">
      <c r="A68" s="6" t="s">
        <v>17</v>
      </c>
      <c r="B68" s="7"/>
      <c r="C68" s="7" t="str">
        <f>"за "&amp;LOWER($A$62)</f>
        <v>за август</v>
      </c>
      <c r="D68" s="28">
        <f>COUNTA(авг_пр)</f>
        <v>0</v>
      </c>
      <c r="E68" s="23">
        <f>SUM(авг_кол)</f>
        <v>0</v>
      </c>
      <c r="F68" s="24">
        <f>COUNTA(акт_вх_авг)+COUNTA(акт_отб_авг)</f>
        <v>0</v>
      </c>
      <c r="G68" s="43"/>
      <c r="H68" s="43"/>
      <c r="I68" s="43"/>
      <c r="J68" s="25">
        <f>SUM(кол_отб_авг)</f>
        <v>0</v>
      </c>
    </row>
    <row r="69" spans="1:10" x14ac:dyDescent="0.25">
      <c r="A69" s="267" t="s">
        <v>12</v>
      </c>
      <c r="B69" s="267"/>
      <c r="C69" s="267"/>
      <c r="D69" s="267"/>
      <c r="E69" s="267"/>
      <c r="F69" s="267"/>
      <c r="G69" s="267"/>
      <c r="H69" s="267"/>
      <c r="I69" s="267"/>
      <c r="J69" s="267"/>
    </row>
    <row r="70" spans="1:10" x14ac:dyDescent="0.25">
      <c r="A70" s="30"/>
      <c r="B70" s="30"/>
      <c r="C70" s="30"/>
      <c r="D70" s="31"/>
      <c r="E70" s="30"/>
      <c r="F70" s="30"/>
      <c r="G70" s="30"/>
      <c r="H70" s="30"/>
      <c r="I70" s="30"/>
      <c r="J70" s="30"/>
    </row>
    <row r="71" spans="1:10" hidden="1" outlineLevel="1" x14ac:dyDescent="0.25">
      <c r="A71" s="30"/>
      <c r="B71" s="30"/>
      <c r="C71" s="30"/>
      <c r="D71" s="31"/>
      <c r="E71" s="30"/>
      <c r="F71" s="30"/>
      <c r="G71" s="30"/>
      <c r="H71" s="30"/>
      <c r="I71" s="30"/>
      <c r="J71" s="30"/>
    </row>
    <row r="72" spans="1:10" hidden="1" outlineLevel="1" x14ac:dyDescent="0.25">
      <c r="A72" s="30"/>
      <c r="B72" s="30"/>
      <c r="C72" s="30"/>
      <c r="D72" s="31"/>
      <c r="E72" s="30"/>
      <c r="F72" s="30"/>
      <c r="G72" s="30"/>
      <c r="H72" s="30"/>
      <c r="I72" s="30"/>
      <c r="J72" s="30"/>
    </row>
    <row r="73" spans="1:10" hidden="1" outlineLevel="1" x14ac:dyDescent="0.25">
      <c r="A73" s="30"/>
      <c r="B73" s="30"/>
      <c r="C73" s="30"/>
      <c r="D73" s="31"/>
      <c r="E73" s="30"/>
      <c r="F73" s="30"/>
      <c r="G73" s="30"/>
      <c r="H73" s="30"/>
      <c r="I73" s="30"/>
      <c r="J73" s="30"/>
    </row>
    <row r="74" spans="1:10" hidden="1" outlineLevel="1" x14ac:dyDescent="0.25">
      <c r="A74" s="30"/>
      <c r="B74" s="30"/>
      <c r="C74" s="30"/>
      <c r="D74" s="31"/>
      <c r="E74" s="30"/>
      <c r="F74" s="30"/>
      <c r="G74" s="30"/>
      <c r="H74" s="30"/>
      <c r="I74" s="30"/>
      <c r="J74" s="30"/>
    </row>
    <row r="75" spans="1:10" collapsed="1" x14ac:dyDescent="0.25">
      <c r="A75" s="6" t="s">
        <v>17</v>
      </c>
      <c r="B75" s="7"/>
      <c r="C75" s="7" t="str">
        <f>"за "&amp;LOWER($A$69)</f>
        <v>за сентябрь</v>
      </c>
      <c r="D75" s="28">
        <f>COUNTA(снт_пр)</f>
        <v>0</v>
      </c>
      <c r="E75" s="23">
        <f>SUM(снт_кол)</f>
        <v>0</v>
      </c>
      <c r="F75" s="24">
        <f>COUNTA(акт_вх_снт)+COUNTA(акт_отб_снт)</f>
        <v>0</v>
      </c>
      <c r="G75" s="43"/>
      <c r="H75" s="43"/>
      <c r="I75" s="43"/>
      <c r="J75" s="25">
        <f>SUM(кол_отб_снт)</f>
        <v>0</v>
      </c>
    </row>
    <row r="76" spans="1:10" ht="30" customHeight="1" x14ac:dyDescent="0.25">
      <c r="A76" s="37" t="s">
        <v>17</v>
      </c>
      <c r="B76" s="38"/>
      <c r="C76" s="38" t="s">
        <v>111</v>
      </c>
      <c r="D76" s="39">
        <f>SUM(D61,D68,D75)</f>
        <v>0</v>
      </c>
      <c r="E76" s="40">
        <f>SUM(E61,E68,E75)</f>
        <v>0</v>
      </c>
      <c r="F76" s="41">
        <f>SUM(F61,F68,F75)</f>
        <v>0</v>
      </c>
      <c r="G76" s="38"/>
      <c r="H76" s="38" t="e">
        <f>"Кп= "&amp;ROUNDDOWN((F76/D76)*100,1)&amp;"%"</f>
        <v>#DIV/0!</v>
      </c>
      <c r="I76" s="38" t="e">
        <f>"Км= "&amp;ROUNDDOWN((J76/E76)*100,2)&amp;"%"</f>
        <v>#DIV/0!</v>
      </c>
      <c r="J76" s="42">
        <f>SUM(J61,J68,J75)</f>
        <v>0</v>
      </c>
    </row>
    <row r="77" spans="1:10" ht="30" customHeight="1" x14ac:dyDescent="0.25">
      <c r="A77" s="37" t="s">
        <v>17</v>
      </c>
      <c r="B77" s="38"/>
      <c r="C77" s="38" t="s">
        <v>113</v>
      </c>
      <c r="D77" s="39">
        <f>SUM(D52,D76)</f>
        <v>0</v>
      </c>
      <c r="E77" s="40">
        <f>SUM(E76,E52)</f>
        <v>0</v>
      </c>
      <c r="F77" s="41">
        <f>SUM(F76,F52)</f>
        <v>0</v>
      </c>
      <c r="G77" s="38"/>
      <c r="H77" s="38" t="e">
        <f>"Кп= "&amp;ROUNDDOWN((F77/D77)*100,1)&amp;"%"</f>
        <v>#DIV/0!</v>
      </c>
      <c r="I77" s="38" t="e">
        <f>"Км= "&amp;ROUNDDOWN((J77/E77)*100,2)&amp;"%"</f>
        <v>#DIV/0!</v>
      </c>
      <c r="J77" s="42">
        <f>SUM(J76,J52)</f>
        <v>0</v>
      </c>
    </row>
    <row r="78" spans="1:10" ht="29.25" hidden="1" customHeight="1" outlineLevel="1" x14ac:dyDescent="0.25">
      <c r="A78" s="8" t="s">
        <v>19</v>
      </c>
      <c r="B78" s="8"/>
      <c r="C78" s="8"/>
      <c r="D78" s="9"/>
      <c r="E78" s="8"/>
      <c r="F78" s="8"/>
      <c r="G78" s="8" t="s">
        <v>22</v>
      </c>
      <c r="H78" s="8"/>
      <c r="I78" s="8"/>
      <c r="J78" s="8"/>
    </row>
    <row r="79" spans="1:10" ht="24.75" hidden="1" customHeight="1" outlineLevel="1" x14ac:dyDescent="0.25">
      <c r="A79" s="8" t="s">
        <v>20</v>
      </c>
      <c r="B79" s="8"/>
      <c r="C79" s="8"/>
      <c r="D79" s="9"/>
      <c r="E79" s="8"/>
      <c r="F79" s="8"/>
      <c r="G79" s="8" t="s">
        <v>21</v>
      </c>
      <c r="H79" s="8"/>
      <c r="I79" s="8"/>
      <c r="J79" s="8"/>
    </row>
    <row r="80" spans="1:10" ht="15" customHeight="1" collapsed="1" x14ac:dyDescent="0.25">
      <c r="A80" s="267" t="s">
        <v>14</v>
      </c>
      <c r="B80" s="267"/>
      <c r="C80" s="267"/>
      <c r="D80" s="267"/>
      <c r="E80" s="267"/>
      <c r="F80" s="267"/>
      <c r="G80" s="267"/>
      <c r="H80" s="267"/>
      <c r="I80" s="267"/>
      <c r="J80" s="267"/>
    </row>
    <row r="81" spans="1:10" x14ac:dyDescent="0.25">
      <c r="A81" s="30"/>
      <c r="B81" s="30"/>
      <c r="C81" s="30"/>
      <c r="D81" s="31"/>
      <c r="E81" s="30"/>
      <c r="F81" s="30"/>
      <c r="G81" s="30"/>
      <c r="H81" s="30"/>
      <c r="I81" s="30"/>
      <c r="J81" s="30"/>
    </row>
    <row r="82" spans="1:10" hidden="1" outlineLevel="1" x14ac:dyDescent="0.25">
      <c r="A82" s="30"/>
      <c r="B82" s="30"/>
      <c r="C82" s="30"/>
      <c r="D82" s="31"/>
      <c r="E82" s="30"/>
      <c r="F82" s="30"/>
      <c r="G82" s="30"/>
      <c r="H82" s="30"/>
      <c r="I82" s="30"/>
      <c r="J82" s="30"/>
    </row>
    <row r="83" spans="1:10" hidden="1" outlineLevel="1" x14ac:dyDescent="0.25">
      <c r="A83" s="30"/>
      <c r="B83" s="30"/>
      <c r="C83" s="30"/>
      <c r="D83" s="31"/>
      <c r="E83" s="30"/>
      <c r="F83" s="30"/>
      <c r="G83" s="30"/>
      <c r="H83" s="30"/>
      <c r="I83" s="30"/>
      <c r="J83" s="30"/>
    </row>
    <row r="84" spans="1:10" hidden="1" outlineLevel="1" x14ac:dyDescent="0.25">
      <c r="A84" s="30"/>
      <c r="B84" s="30"/>
      <c r="C84" s="30"/>
      <c r="D84" s="31"/>
      <c r="E84" s="30"/>
      <c r="F84" s="30"/>
      <c r="G84" s="30"/>
      <c r="H84" s="30"/>
      <c r="I84" s="30"/>
      <c r="J84" s="30"/>
    </row>
    <row r="85" spans="1:10" hidden="1" outlineLevel="1" x14ac:dyDescent="0.25">
      <c r="A85" s="30"/>
      <c r="B85" s="30"/>
      <c r="C85" s="30"/>
      <c r="D85" s="31"/>
      <c r="E85" s="30"/>
      <c r="F85" s="30"/>
      <c r="G85" s="30"/>
      <c r="H85" s="30"/>
      <c r="I85" s="30"/>
      <c r="J85" s="30"/>
    </row>
    <row r="86" spans="1:10" collapsed="1" x14ac:dyDescent="0.25">
      <c r="A86" s="6" t="s">
        <v>17</v>
      </c>
      <c r="B86" s="7"/>
      <c r="C86" s="7" t="str">
        <f>"за "&amp;LOWER($A$80)</f>
        <v>за октябрь</v>
      </c>
      <c r="D86" s="28">
        <f>COUNTA(окт_пр)</f>
        <v>0</v>
      </c>
      <c r="E86" s="23">
        <f>SUM(окт_кол)</f>
        <v>0</v>
      </c>
      <c r="F86" s="24">
        <f>COUNTA(акт_вх_окт)+COUNTA(акт_отб_окт)</f>
        <v>0</v>
      </c>
      <c r="G86" s="43"/>
      <c r="H86" s="43"/>
      <c r="I86" s="43"/>
      <c r="J86" s="25">
        <f>SUM(кол_отб_окт)</f>
        <v>0</v>
      </c>
    </row>
    <row r="87" spans="1:10" x14ac:dyDescent="0.25">
      <c r="A87" s="267" t="s">
        <v>15</v>
      </c>
      <c r="B87" s="267"/>
      <c r="C87" s="267"/>
      <c r="D87" s="267"/>
      <c r="E87" s="267"/>
      <c r="F87" s="267"/>
      <c r="G87" s="267"/>
      <c r="H87" s="267"/>
      <c r="I87" s="267"/>
      <c r="J87" s="267"/>
    </row>
    <row r="88" spans="1:10" x14ac:dyDescent="0.25">
      <c r="A88" s="30"/>
      <c r="B88" s="30"/>
      <c r="C88" s="30"/>
      <c r="D88" s="31"/>
      <c r="E88" s="30"/>
      <c r="F88" s="30"/>
      <c r="G88" s="30"/>
      <c r="H88" s="30"/>
      <c r="I88" s="30"/>
      <c r="J88" s="30"/>
    </row>
    <row r="89" spans="1:10" hidden="1" outlineLevel="1" x14ac:dyDescent="0.25">
      <c r="A89" s="30"/>
      <c r="B89" s="30"/>
      <c r="C89" s="30"/>
      <c r="D89" s="31"/>
      <c r="E89" s="30"/>
      <c r="F89" s="30"/>
      <c r="G89" s="30"/>
      <c r="H89" s="30"/>
      <c r="I89" s="30"/>
      <c r="J89" s="30"/>
    </row>
    <row r="90" spans="1:10" hidden="1" outlineLevel="1" x14ac:dyDescent="0.25">
      <c r="A90" s="30"/>
      <c r="B90" s="30"/>
      <c r="C90" s="30"/>
      <c r="D90" s="31"/>
      <c r="E90" s="30"/>
      <c r="F90" s="30"/>
      <c r="G90" s="30"/>
      <c r="H90" s="30"/>
      <c r="I90" s="30"/>
      <c r="J90" s="30"/>
    </row>
    <row r="91" spans="1:10" hidden="1" outlineLevel="1" x14ac:dyDescent="0.25">
      <c r="A91" s="30"/>
      <c r="B91" s="30"/>
      <c r="C91" s="30"/>
      <c r="D91" s="31"/>
      <c r="E91" s="30"/>
      <c r="F91" s="30"/>
      <c r="G91" s="30"/>
      <c r="H91" s="30"/>
      <c r="I91" s="30"/>
      <c r="J91" s="30"/>
    </row>
    <row r="92" spans="1:10" hidden="1" outlineLevel="1" x14ac:dyDescent="0.25">
      <c r="A92" s="30"/>
      <c r="B92" s="30"/>
      <c r="C92" s="30"/>
      <c r="D92" s="31"/>
      <c r="E92" s="30"/>
      <c r="F92" s="30"/>
      <c r="G92" s="30"/>
      <c r="H92" s="30"/>
      <c r="I92" s="30"/>
      <c r="J92" s="30"/>
    </row>
    <row r="93" spans="1:10" collapsed="1" x14ac:dyDescent="0.25">
      <c r="A93" s="6" t="s">
        <v>17</v>
      </c>
      <c r="B93" s="7"/>
      <c r="C93" s="7" t="str">
        <f>"за "&amp;LOWER($A$87)</f>
        <v>за ноябрь</v>
      </c>
      <c r="D93" s="28">
        <f>COUNTA(нбр_пр)</f>
        <v>0</v>
      </c>
      <c r="E93" s="23">
        <f>SUM(нбр_кол)</f>
        <v>0</v>
      </c>
      <c r="F93" s="24">
        <f>COUNTA(акт_вх_нбр)+COUNTA(акт_отб_нбр)</f>
        <v>0</v>
      </c>
      <c r="G93" s="43"/>
      <c r="H93" s="43"/>
      <c r="I93" s="43"/>
      <c r="J93" s="25">
        <f>SUM(кол_отб_нбр)</f>
        <v>0</v>
      </c>
    </row>
    <row r="94" spans="1:10" x14ac:dyDescent="0.25">
      <c r="A94" s="267" t="s">
        <v>16</v>
      </c>
      <c r="B94" s="267"/>
      <c r="C94" s="267"/>
      <c r="D94" s="267"/>
      <c r="E94" s="267"/>
      <c r="F94" s="267"/>
      <c r="G94" s="267"/>
      <c r="H94" s="267"/>
      <c r="I94" s="267"/>
      <c r="J94" s="267"/>
    </row>
    <row r="95" spans="1:10" x14ac:dyDescent="0.25">
      <c r="A95" s="30"/>
      <c r="B95" s="30"/>
      <c r="C95" s="30"/>
      <c r="D95" s="30"/>
      <c r="E95" s="30"/>
      <c r="F95" s="30"/>
      <c r="G95" s="30"/>
      <c r="H95" s="30"/>
      <c r="I95" s="30"/>
      <c r="J95" s="30"/>
    </row>
    <row r="96" spans="1:10" hidden="1" outlineLevel="1" x14ac:dyDescent="0.25">
      <c r="A96" s="30"/>
      <c r="B96" s="30"/>
      <c r="C96" s="30"/>
      <c r="D96" s="30"/>
      <c r="E96" s="30"/>
      <c r="F96" s="30"/>
      <c r="G96" s="30"/>
      <c r="H96" s="30"/>
      <c r="I96" s="30"/>
      <c r="J96" s="30"/>
    </row>
    <row r="97" spans="1:10" hidden="1" outlineLevel="1" x14ac:dyDescent="0.25">
      <c r="A97" s="30"/>
      <c r="B97" s="30"/>
      <c r="C97" s="30"/>
      <c r="D97" s="30"/>
      <c r="E97" s="30"/>
      <c r="F97" s="30"/>
      <c r="G97" s="30"/>
      <c r="H97" s="30"/>
      <c r="I97" s="30"/>
      <c r="J97" s="30"/>
    </row>
    <row r="98" spans="1:10" hidden="1" outlineLevel="1" x14ac:dyDescent="0.25">
      <c r="A98" s="30"/>
      <c r="B98" s="30"/>
      <c r="C98" s="30"/>
      <c r="D98" s="30"/>
      <c r="E98" s="30"/>
      <c r="F98" s="30"/>
      <c r="G98" s="30"/>
      <c r="H98" s="30"/>
      <c r="I98" s="30"/>
      <c r="J98" s="30"/>
    </row>
    <row r="99" spans="1:10" hidden="1" outlineLevel="1" x14ac:dyDescent="0.25">
      <c r="A99" s="30"/>
      <c r="B99" s="30"/>
      <c r="C99" s="30"/>
      <c r="D99" s="30"/>
      <c r="E99" s="30"/>
      <c r="F99" s="30"/>
      <c r="G99" s="30"/>
      <c r="H99" s="30"/>
      <c r="I99" s="30"/>
      <c r="J99" s="30"/>
    </row>
    <row r="100" spans="1:10" collapsed="1" x14ac:dyDescent="0.25">
      <c r="A100" s="6" t="s">
        <v>17</v>
      </c>
      <c r="B100" s="7"/>
      <c r="C100" s="7" t="str">
        <f>"за "&amp;LOWER($A$94)</f>
        <v>за декабрь</v>
      </c>
      <c r="D100" s="28">
        <f>COUNTA(дкб_пр)</f>
        <v>0</v>
      </c>
      <c r="E100" s="23">
        <f>SUM(дкб_кол)</f>
        <v>0</v>
      </c>
      <c r="F100" s="24">
        <f>COUNTA(акт_вх_дкб)+COUNTA(акт_отб_дкб)</f>
        <v>0</v>
      </c>
      <c r="G100" s="43"/>
      <c r="H100" s="43"/>
      <c r="I100" s="43"/>
      <c r="J100" s="25">
        <f>SUM(кол_отб_дкб)</f>
        <v>0</v>
      </c>
    </row>
    <row r="101" spans="1:10" ht="32.25" customHeight="1" x14ac:dyDescent="0.25">
      <c r="A101" s="37" t="s">
        <v>17</v>
      </c>
      <c r="B101" s="38"/>
      <c r="C101" s="38" t="s">
        <v>112</v>
      </c>
      <c r="D101" s="39">
        <f>SUM(D86,D93,D100)</f>
        <v>0</v>
      </c>
      <c r="E101" s="40">
        <f>SUM(E86,E93,E100)</f>
        <v>0</v>
      </c>
      <c r="F101" s="41">
        <f>SUM(F86,F93,F100)</f>
        <v>0</v>
      </c>
      <c r="G101" s="38"/>
      <c r="H101" s="38" t="e">
        <f>"Кп= "&amp;ROUNDDOWN((F101/D101)*100,1)&amp;"%"</f>
        <v>#DIV/0!</v>
      </c>
      <c r="I101" s="38" t="e">
        <f>"Км= "&amp;ROUNDDOWN((J101/E101)*100,2)&amp;"%"</f>
        <v>#DIV/0!</v>
      </c>
      <c r="J101" s="42">
        <f>SUM(J86,J93,J100)</f>
        <v>0</v>
      </c>
    </row>
    <row r="102" spans="1:10" ht="27" customHeight="1" x14ac:dyDescent="0.25">
      <c r="A102" s="37" t="s">
        <v>17</v>
      </c>
      <c r="B102" s="38"/>
      <c r="C102" s="38" t="s">
        <v>114</v>
      </c>
      <c r="D102" s="39">
        <f>SUM(D101,D77)</f>
        <v>0</v>
      </c>
      <c r="E102" s="40">
        <f>SUM(E101,E77)</f>
        <v>0</v>
      </c>
      <c r="F102" s="41">
        <f>SUM(F101,F77)</f>
        <v>0</v>
      </c>
      <c r="G102" s="38"/>
      <c r="H102" s="38" t="e">
        <f>"Кп= "&amp;ROUNDDOWN((F102/D102)*100,1)&amp;"%"</f>
        <v>#DIV/0!</v>
      </c>
      <c r="I102" s="38" t="e">
        <f>"Км= "&amp;ROUNDDOWN((J102/E102)*100,2)&amp;"%"</f>
        <v>#DIV/0!</v>
      </c>
      <c r="J102" s="42">
        <f>SUM(J101,J77)</f>
        <v>0</v>
      </c>
    </row>
    <row r="103" spans="1:10" ht="26.25" customHeight="1" x14ac:dyDescent="0.25">
      <c r="A103" s="8" t="s">
        <v>20</v>
      </c>
      <c r="B103" s="8"/>
      <c r="C103" s="8"/>
      <c r="D103" s="9"/>
      <c r="E103" s="8"/>
      <c r="F103" s="8"/>
      <c r="G103" s="8" t="s">
        <v>21</v>
      </c>
      <c r="H103" s="8"/>
      <c r="I103" s="8"/>
      <c r="J103" s="8"/>
    </row>
  </sheetData>
  <sheetProtection algorithmName="SHA-512" hashValue="3MxSAXAfrcGmWIyUOK0UxpBBcPrCSbvCBFpy4fdLtlbUruRk2oWllcOYgzkSA2AQmyUpFs76XJuwVd6zTlhZkg==" saltValue="4cRKGfvt1uifnpglX93dSQ==" spinCount="100000" sheet="1" formatCells="0" formatColumns="0" formatRows="0" insertColumns="0" insertRows="0" insertHyperlinks="0" deleteColumns="0" deleteRows="0" sort="0" autoFilter="0" pivotTables="0"/>
  <mergeCells count="21">
    <mergeCell ref="A69:J69"/>
    <mergeCell ref="A87:J87"/>
    <mergeCell ref="A62:J62"/>
    <mergeCell ref="A94:J94"/>
    <mergeCell ref="A80:J80"/>
    <mergeCell ref="A30:J30"/>
    <mergeCell ref="A37:J37"/>
    <mergeCell ref="A44:J44"/>
    <mergeCell ref="A55:J55"/>
    <mergeCell ref="A6:J6"/>
    <mergeCell ref="A13:J13"/>
    <mergeCell ref="A20:J20"/>
    <mergeCell ref="A2:J2"/>
    <mergeCell ref="J3:J4"/>
    <mergeCell ref="F3:G3"/>
    <mergeCell ref="A3:A4"/>
    <mergeCell ref="C3:C4"/>
    <mergeCell ref="D3:D4"/>
    <mergeCell ref="E3:E4"/>
    <mergeCell ref="H3:I3"/>
    <mergeCell ref="B3:B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5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47F-DEC5-4FDF-87E2-2A329A5CE20B}">
  <sheetPr codeName="Лист12"/>
  <dimension ref="A1:N103"/>
  <sheetViews>
    <sheetView zoomScaleNormal="100" workbookViewId="0">
      <pane ySplit="4" topLeftCell="A68" activePane="bottomLeft" state="frozen"/>
      <selection activeCell="A2" sqref="A2:J2"/>
      <selection pane="bottomLeft" activeCell="G108" sqref="G108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32"/>
      <c r="B1" s="32"/>
      <c r="C1" s="32"/>
      <c r="D1" s="32"/>
      <c r="E1" s="32"/>
      <c r="F1" s="32"/>
      <c r="G1" s="32"/>
      <c r="H1" s="32"/>
      <c r="I1" s="32"/>
      <c r="J1" s="44" t="s">
        <v>94</v>
      </c>
    </row>
    <row r="2" spans="1:14" ht="33.75" customHeight="1" x14ac:dyDescent="0.4">
      <c r="A2" s="268" t="s">
        <v>95</v>
      </c>
      <c r="B2" s="268"/>
      <c r="C2" s="268"/>
      <c r="D2" s="268"/>
      <c r="E2" s="268"/>
      <c r="F2" s="268"/>
      <c r="G2" s="268"/>
      <c r="H2" s="268"/>
      <c r="I2" s="268"/>
      <c r="J2" s="268"/>
    </row>
    <row r="3" spans="1:14" x14ac:dyDescent="0.25">
      <c r="A3" s="270" t="s">
        <v>0</v>
      </c>
      <c r="B3" s="273" t="s">
        <v>97</v>
      </c>
      <c r="C3" s="270" t="s">
        <v>1</v>
      </c>
      <c r="D3" s="269" t="s">
        <v>23</v>
      </c>
      <c r="E3" s="270" t="s">
        <v>115</v>
      </c>
      <c r="F3" s="270" t="s">
        <v>3</v>
      </c>
      <c r="G3" s="270"/>
      <c r="H3" s="271" t="s">
        <v>2</v>
      </c>
      <c r="I3" s="272"/>
      <c r="J3" s="269" t="s">
        <v>116</v>
      </c>
    </row>
    <row r="4" spans="1:14" ht="32.25" customHeight="1" x14ac:dyDescent="0.25">
      <c r="A4" s="270"/>
      <c r="B4" s="274"/>
      <c r="C4" s="270"/>
      <c r="D4" s="270"/>
      <c r="E4" s="270"/>
      <c r="F4" s="57" t="s">
        <v>0</v>
      </c>
      <c r="G4" s="57" t="s">
        <v>4</v>
      </c>
      <c r="H4" s="57" t="s">
        <v>0</v>
      </c>
      <c r="I4" s="57" t="s">
        <v>4</v>
      </c>
      <c r="J4" s="270"/>
    </row>
    <row r="5" spans="1:14" ht="14.25" customHeight="1" x14ac:dyDescent="0.25">
      <c r="A5" s="15">
        <v>1</v>
      </c>
      <c r="B5" s="15">
        <v>2</v>
      </c>
      <c r="C5" s="15">
        <v>3</v>
      </c>
      <c r="D5" s="15">
        <v>4</v>
      </c>
      <c r="E5" s="15">
        <v>5</v>
      </c>
      <c r="F5" s="15">
        <v>6</v>
      </c>
      <c r="G5" s="15">
        <v>7</v>
      </c>
      <c r="H5" s="15">
        <v>8</v>
      </c>
      <c r="I5" s="15">
        <v>9</v>
      </c>
      <c r="J5" s="15">
        <v>10</v>
      </c>
      <c r="M5" s="18"/>
    </row>
    <row r="6" spans="1:14" x14ac:dyDescent="0.25">
      <c r="A6" s="267" t="s">
        <v>5</v>
      </c>
      <c r="B6" s="267"/>
      <c r="C6" s="267"/>
      <c r="D6" s="267"/>
      <c r="E6" s="267"/>
      <c r="F6" s="267"/>
      <c r="G6" s="267"/>
      <c r="H6" s="267"/>
      <c r="I6" s="267"/>
      <c r="J6" s="267"/>
    </row>
    <row r="7" spans="1:14" x14ac:dyDescent="0.25">
      <c r="A7" s="12"/>
      <c r="B7" s="12"/>
      <c r="C7" s="16"/>
      <c r="D7" s="13"/>
      <c r="E7" s="14"/>
      <c r="F7" s="5"/>
      <c r="G7" s="5"/>
      <c r="H7" s="5"/>
      <c r="I7" s="5"/>
      <c r="J7" s="5"/>
    </row>
    <row r="8" spans="1:14" hidden="1" outlineLevel="1" x14ac:dyDescent="0.25">
      <c r="A8" s="2"/>
      <c r="B8" s="2"/>
      <c r="C8" s="17"/>
      <c r="D8" s="3"/>
      <c r="E8" s="4"/>
      <c r="F8" s="5"/>
      <c r="G8" s="5"/>
      <c r="H8" s="5"/>
      <c r="I8" s="5"/>
      <c r="J8" s="5"/>
    </row>
    <row r="9" spans="1:14" hidden="1" outlineLevel="1" x14ac:dyDescent="0.25">
      <c r="A9" s="2"/>
      <c r="B9" s="2"/>
      <c r="C9" s="17"/>
      <c r="D9" s="3"/>
      <c r="E9" s="4"/>
      <c r="F9" s="5"/>
      <c r="G9" s="5"/>
      <c r="H9" s="5"/>
      <c r="I9" s="5"/>
      <c r="J9" s="5"/>
    </row>
    <row r="10" spans="1:14" hidden="1" outlineLevel="1" x14ac:dyDescent="0.25">
      <c r="A10" s="2"/>
      <c r="B10" s="2"/>
      <c r="C10" s="17"/>
      <c r="D10" s="3"/>
      <c r="E10" s="4"/>
      <c r="F10" s="5"/>
      <c r="G10" s="5"/>
      <c r="H10" s="5"/>
      <c r="I10" s="5"/>
      <c r="J10" s="5"/>
    </row>
    <row r="11" spans="1:14" hidden="1" outlineLevel="1" x14ac:dyDescent="0.25">
      <c r="A11" s="2"/>
      <c r="B11" s="2"/>
      <c r="C11" s="17"/>
      <c r="D11" s="3"/>
      <c r="E11" s="4"/>
      <c r="F11" s="5"/>
      <c r="G11" s="5"/>
      <c r="H11" s="5"/>
      <c r="I11" s="5"/>
      <c r="J11" s="5"/>
    </row>
    <row r="12" spans="1:14" s="1" customFormat="1" collapsed="1" x14ac:dyDescent="0.25">
      <c r="A12" s="6" t="s">
        <v>17</v>
      </c>
      <c r="B12" s="7"/>
      <c r="C12" s="7" t="str">
        <f>"за "&amp;LOWER($A$6)</f>
        <v>за январь</v>
      </c>
      <c r="D12" s="28">
        <f>COUNTA(янв_пр)</f>
        <v>0</v>
      </c>
      <c r="E12" s="58">
        <f>SUM(янв_кол)</f>
        <v>0</v>
      </c>
      <c r="F12" s="24">
        <f>COUNTA(акт_вх_янв)+COUNTA(акт_отб_янв)</f>
        <v>0</v>
      </c>
      <c r="G12" s="11"/>
      <c r="H12" s="11"/>
      <c r="I12" s="11"/>
      <c r="J12" s="59">
        <f>SUM(кол_отб_янв)</f>
        <v>0</v>
      </c>
    </row>
    <row r="13" spans="1:14" x14ac:dyDescent="0.25">
      <c r="A13" s="275" t="s">
        <v>6</v>
      </c>
      <c r="B13" s="275"/>
      <c r="C13" s="275"/>
      <c r="D13" s="275"/>
      <c r="E13" s="275"/>
      <c r="F13" s="275"/>
      <c r="G13" s="275"/>
      <c r="H13" s="275"/>
      <c r="I13" s="275"/>
      <c r="J13" s="275"/>
      <c r="L13" s="1"/>
      <c r="M13" s="1"/>
      <c r="N13" s="1"/>
    </row>
    <row r="14" spans="1:14" x14ac:dyDescent="0.25">
      <c r="A14" s="12"/>
      <c r="B14" s="12"/>
      <c r="C14" s="26"/>
      <c r="D14" s="13"/>
      <c r="E14" s="14"/>
      <c r="F14" s="2"/>
      <c r="G14" s="2"/>
      <c r="H14" s="2"/>
      <c r="I14" s="2"/>
      <c r="J14" s="2"/>
      <c r="L14" s="1"/>
      <c r="M14" s="1"/>
      <c r="N14" s="1"/>
    </row>
    <row r="15" spans="1:14" hidden="1" outlineLevel="1" x14ac:dyDescent="0.25">
      <c r="A15" s="2"/>
      <c r="B15" s="2"/>
      <c r="C15" s="27"/>
      <c r="D15" s="3"/>
      <c r="E15" s="4"/>
      <c r="F15" s="2"/>
      <c r="G15" s="2"/>
      <c r="H15" s="2"/>
      <c r="I15" s="2"/>
      <c r="J15" s="2"/>
      <c r="L15" s="1"/>
      <c r="M15" s="1"/>
      <c r="N15" s="1"/>
    </row>
    <row r="16" spans="1:14" hidden="1" outlineLevel="1" x14ac:dyDescent="0.25">
      <c r="A16" s="2"/>
      <c r="B16" s="2"/>
      <c r="C16" s="27"/>
      <c r="D16" s="3"/>
      <c r="E16" s="4"/>
      <c r="F16" s="2"/>
      <c r="G16" s="2"/>
      <c r="H16" s="2"/>
      <c r="I16" s="2"/>
      <c r="J16" s="2"/>
      <c r="L16" s="1"/>
      <c r="M16" s="1"/>
      <c r="N16" s="1"/>
    </row>
    <row r="17" spans="1:14" hidden="1" outlineLevel="1" x14ac:dyDescent="0.25">
      <c r="A17" s="2"/>
      <c r="B17" s="2"/>
      <c r="C17" s="27"/>
      <c r="D17" s="3"/>
      <c r="E17" s="4"/>
      <c r="F17" s="2"/>
      <c r="G17" s="2"/>
      <c r="H17" s="2"/>
      <c r="I17" s="2"/>
      <c r="J17" s="2"/>
      <c r="L17" s="1"/>
      <c r="M17" s="56"/>
      <c r="N17" s="1"/>
    </row>
    <row r="18" spans="1:14" hidden="1" outlineLevel="1" x14ac:dyDescent="0.25">
      <c r="A18" s="2"/>
      <c r="B18" s="2"/>
      <c r="C18" s="27"/>
      <c r="D18" s="3"/>
      <c r="E18" s="4"/>
      <c r="F18" s="2"/>
      <c r="G18" s="2"/>
      <c r="H18" s="2"/>
      <c r="I18" s="2"/>
      <c r="J18" s="2"/>
      <c r="L18" s="1"/>
      <c r="M18" s="1"/>
      <c r="N18" s="1"/>
    </row>
    <row r="19" spans="1:14" collapsed="1" x14ac:dyDescent="0.25">
      <c r="A19" s="6" t="s">
        <v>17</v>
      </c>
      <c r="B19" s="7"/>
      <c r="C19" s="7" t="str">
        <f>"за "&amp;LOWER($A$13)</f>
        <v>за февраль</v>
      </c>
      <c r="D19" s="28">
        <f>COUNTA(фев_пр)</f>
        <v>0</v>
      </c>
      <c r="E19" s="58">
        <f>SUM(фев_кол)</f>
        <v>0</v>
      </c>
      <c r="F19" s="24">
        <f>COUNTA(акт_вх_фев)+COUNTA(акт_отб_фев)</f>
        <v>0</v>
      </c>
      <c r="G19" s="11"/>
      <c r="H19" s="11"/>
      <c r="I19" s="11"/>
      <c r="J19" s="59">
        <f>SUM(кол_отб_фев)</f>
        <v>0</v>
      </c>
      <c r="L19" s="1"/>
      <c r="M19" s="1"/>
      <c r="N19" s="1"/>
    </row>
    <row r="20" spans="1:14" x14ac:dyDescent="0.25">
      <c r="A20" s="267" t="s">
        <v>7</v>
      </c>
      <c r="B20" s="267"/>
      <c r="C20" s="267"/>
      <c r="D20" s="267"/>
      <c r="E20" s="267"/>
      <c r="F20" s="267"/>
      <c r="G20" s="267"/>
      <c r="H20" s="267"/>
      <c r="I20" s="267"/>
      <c r="J20" s="267"/>
      <c r="L20" s="1"/>
      <c r="M20" s="1"/>
      <c r="N20" s="1"/>
    </row>
    <row r="21" spans="1:14" x14ac:dyDescent="0.25">
      <c r="A21" s="12"/>
      <c r="B21" s="12"/>
      <c r="C21" s="16"/>
      <c r="D21" s="13"/>
      <c r="E21" s="12"/>
      <c r="F21" s="2"/>
      <c r="G21" s="2"/>
      <c r="H21" s="2"/>
      <c r="I21" s="2"/>
      <c r="J21" s="2"/>
      <c r="L21" s="1"/>
      <c r="M21" s="1"/>
      <c r="N21" s="1"/>
    </row>
    <row r="22" spans="1:14" hidden="1" outlineLevel="1" x14ac:dyDescent="0.25">
      <c r="A22" s="2"/>
      <c r="B22" s="2"/>
      <c r="C22" s="17"/>
      <c r="D22" s="3"/>
      <c r="E22" s="2"/>
      <c r="F22" s="2"/>
      <c r="G22" s="2"/>
      <c r="H22" s="2"/>
      <c r="I22" s="2"/>
      <c r="J22" s="2"/>
      <c r="L22" s="1"/>
      <c r="M22" s="1"/>
      <c r="N22" s="1"/>
    </row>
    <row r="23" spans="1:14" hidden="1" outlineLevel="1" x14ac:dyDescent="0.25">
      <c r="A23" s="2"/>
      <c r="B23" s="2"/>
      <c r="C23" s="17"/>
      <c r="D23" s="3"/>
      <c r="E23" s="2"/>
      <c r="F23" s="2"/>
      <c r="G23" s="2"/>
      <c r="H23" s="2"/>
      <c r="I23" s="2"/>
      <c r="J23" s="2"/>
      <c r="L23" s="1"/>
      <c r="M23" s="1"/>
      <c r="N23" s="1"/>
    </row>
    <row r="24" spans="1:14" hidden="1" outlineLevel="1" x14ac:dyDescent="0.25">
      <c r="A24" s="2"/>
      <c r="B24" s="2"/>
      <c r="C24" s="17"/>
      <c r="D24" s="3"/>
      <c r="E24" s="2"/>
      <c r="F24" s="2"/>
      <c r="G24" s="2"/>
      <c r="H24" s="2"/>
      <c r="I24" s="2"/>
      <c r="J24" s="2"/>
      <c r="L24" s="1"/>
      <c r="M24" s="1"/>
      <c r="N24" s="1"/>
    </row>
    <row r="25" spans="1:14" hidden="1" outlineLevel="1" x14ac:dyDescent="0.25">
      <c r="A25" s="2"/>
      <c r="B25" s="2"/>
      <c r="C25" s="17"/>
      <c r="D25" s="3"/>
      <c r="E25" s="2"/>
      <c r="F25" s="2"/>
      <c r="G25" s="2"/>
      <c r="H25" s="2"/>
      <c r="I25" s="2"/>
      <c r="J25" s="2"/>
      <c r="L25" s="1"/>
      <c r="M25" s="1"/>
      <c r="N25" s="1"/>
    </row>
    <row r="26" spans="1:14" collapsed="1" x14ac:dyDescent="0.25">
      <c r="A26" s="6" t="s">
        <v>17</v>
      </c>
      <c r="B26" s="7"/>
      <c r="C26" s="7" t="str">
        <f>"за "&amp;LOWER($A$20)</f>
        <v>за март</v>
      </c>
      <c r="D26" s="28">
        <f>COUNTA(мрт_пр)</f>
        <v>0</v>
      </c>
      <c r="E26" s="58">
        <f>SUM(мрт_кол)</f>
        <v>0</v>
      </c>
      <c r="F26" s="24">
        <f>COUNTA(акт_вх_мрт)+COUNTA(акт_отб_мрт)</f>
        <v>0</v>
      </c>
      <c r="G26" s="43"/>
      <c r="H26" s="43"/>
      <c r="I26" s="43"/>
      <c r="J26" s="59">
        <f>SUM(кол_отб_мрт)</f>
        <v>0</v>
      </c>
      <c r="L26" s="1"/>
      <c r="M26" s="1"/>
      <c r="N26" s="1"/>
    </row>
    <row r="27" spans="1:14" ht="31.5" customHeight="1" x14ac:dyDescent="0.25">
      <c r="A27" s="37" t="s">
        <v>17</v>
      </c>
      <c r="B27" s="38"/>
      <c r="C27" s="38" t="s">
        <v>18</v>
      </c>
      <c r="D27" s="39">
        <f>SUM(D12,D19,D26)</f>
        <v>0</v>
      </c>
      <c r="E27" s="60">
        <f>SUM(E12,E19,E26)</f>
        <v>0</v>
      </c>
      <c r="F27" s="41">
        <f>SUM(F12,F19,F26)</f>
        <v>0</v>
      </c>
      <c r="G27" s="38"/>
      <c r="H27" s="38" t="e">
        <f>"Кп= "&amp;ROUNDDOWN((F27/D27)*100,1)&amp;"%"</f>
        <v>#DIV/0!</v>
      </c>
      <c r="I27" s="38" t="e">
        <f>"Км= "&amp;ROUNDDOWN((J27/E27)*100,2)&amp;"%"</f>
        <v>#DIV/0!</v>
      </c>
      <c r="J27" s="61">
        <f>SUM(J12,J19,J26)</f>
        <v>0</v>
      </c>
      <c r="L27" s="1"/>
      <c r="M27" s="1"/>
      <c r="N27" s="1"/>
    </row>
    <row r="28" spans="1:14" ht="30" hidden="1" customHeight="1" outlineLevel="1" x14ac:dyDescent="0.25">
      <c r="A28" s="8" t="s">
        <v>19</v>
      </c>
      <c r="B28" s="8"/>
      <c r="C28" s="8"/>
      <c r="D28" s="9"/>
      <c r="E28" s="8"/>
      <c r="F28" s="8"/>
      <c r="G28" s="8" t="s">
        <v>22</v>
      </c>
      <c r="H28" s="8"/>
      <c r="I28" s="8"/>
      <c r="J28" s="8"/>
      <c r="L28" s="1"/>
      <c r="M28" s="1"/>
      <c r="N28" s="1"/>
    </row>
    <row r="29" spans="1:14" ht="31.5" hidden="1" customHeight="1" outlineLevel="1" x14ac:dyDescent="0.25">
      <c r="A29" s="8" t="s">
        <v>20</v>
      </c>
      <c r="B29" s="8"/>
      <c r="C29" s="8"/>
      <c r="D29" s="9"/>
      <c r="E29" s="8"/>
      <c r="F29" s="8"/>
      <c r="G29" s="8" t="s">
        <v>21</v>
      </c>
      <c r="H29" s="8"/>
      <c r="I29" s="8"/>
      <c r="J29" s="8"/>
      <c r="L29" s="1"/>
      <c r="M29" s="1"/>
      <c r="N29" s="1"/>
    </row>
    <row r="30" spans="1:14" collapsed="1" x14ac:dyDescent="0.25">
      <c r="A30" s="275" t="s">
        <v>8</v>
      </c>
      <c r="B30" s="275"/>
      <c r="C30" s="275"/>
      <c r="D30" s="275"/>
      <c r="E30" s="275"/>
      <c r="F30" s="275"/>
      <c r="G30" s="275"/>
      <c r="H30" s="275"/>
      <c r="I30" s="275"/>
      <c r="J30" s="275"/>
      <c r="L30" s="1"/>
      <c r="M30" s="1"/>
      <c r="N30" s="1"/>
    </row>
    <row r="31" spans="1:14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L31" s="1"/>
      <c r="M31" s="1"/>
      <c r="N31" s="1"/>
    </row>
    <row r="32" spans="1:14" hidden="1" outlineLevel="1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L32" s="1"/>
      <c r="M32" s="1"/>
      <c r="N32" s="1"/>
    </row>
    <row r="33" spans="1:14" hidden="1" outlineLevel="1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L33" s="1"/>
      <c r="M33" s="1"/>
      <c r="N33" s="1"/>
    </row>
    <row r="34" spans="1:14" hidden="1" outlineLevel="1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L34" s="1"/>
      <c r="M34" s="1"/>
      <c r="N34" s="1"/>
    </row>
    <row r="35" spans="1:14" hidden="1" outlineLevel="1" x14ac:dyDescent="0.25">
      <c r="A35" s="30"/>
      <c r="B35" s="30"/>
      <c r="C35" s="30"/>
      <c r="D35" s="31"/>
      <c r="E35" s="30"/>
      <c r="F35" s="30"/>
      <c r="G35" s="30"/>
      <c r="H35" s="30"/>
      <c r="I35" s="30"/>
      <c r="J35" s="30"/>
      <c r="L35" s="1"/>
      <c r="M35" s="1"/>
      <c r="N35" s="1"/>
    </row>
    <row r="36" spans="1:14" collapsed="1" x14ac:dyDescent="0.25">
      <c r="A36" s="6" t="s">
        <v>17</v>
      </c>
      <c r="B36" s="7"/>
      <c r="C36" s="7" t="str">
        <f>"за "&amp;LOWER($A$30)</f>
        <v>за апрель</v>
      </c>
      <c r="D36" s="28">
        <f>COUNTA(апр_пр)</f>
        <v>0</v>
      </c>
      <c r="E36" s="58">
        <f>SUM(апр_кол)</f>
        <v>0</v>
      </c>
      <c r="F36" s="24">
        <f>COUNTA(акт_вх_апр)+COUNTA(акт_отб_апр)</f>
        <v>0</v>
      </c>
      <c r="G36" s="43"/>
      <c r="H36" s="43"/>
      <c r="I36" s="43"/>
      <c r="J36" s="59">
        <f>SUM(кол_отб_апр)</f>
        <v>0</v>
      </c>
      <c r="L36" s="1"/>
      <c r="M36" s="1"/>
      <c r="N36" s="1"/>
    </row>
    <row r="37" spans="1:14" x14ac:dyDescent="0.25">
      <c r="A37" s="267" t="s">
        <v>9</v>
      </c>
      <c r="B37" s="267"/>
      <c r="C37" s="267"/>
      <c r="D37" s="267"/>
      <c r="E37" s="267"/>
      <c r="F37" s="267"/>
      <c r="G37" s="267"/>
      <c r="H37" s="267"/>
      <c r="I37" s="267"/>
      <c r="J37" s="267"/>
      <c r="L37" s="1"/>
      <c r="M37" s="1"/>
      <c r="N37" s="1"/>
    </row>
    <row r="38" spans="1:14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L38" s="1"/>
      <c r="M38" s="1"/>
      <c r="N38" s="1"/>
    </row>
    <row r="39" spans="1:14" hidden="1" outlineLevel="1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L39" s="1"/>
      <c r="M39" s="1"/>
      <c r="N39" s="1"/>
    </row>
    <row r="40" spans="1:14" hidden="1" outlineLevel="1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L40" s="1"/>
      <c r="M40" s="1"/>
      <c r="N40" s="1"/>
    </row>
    <row r="41" spans="1:14" hidden="1" outlineLevel="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L41" s="1"/>
      <c r="M41" s="1"/>
      <c r="N41" s="1"/>
    </row>
    <row r="42" spans="1:14" hidden="1" outlineLevel="1" x14ac:dyDescent="0.25">
      <c r="A42" s="33"/>
      <c r="B42" s="33"/>
      <c r="C42" s="33"/>
      <c r="D42" s="34"/>
      <c r="E42" s="33"/>
      <c r="F42" s="33"/>
      <c r="G42" s="33"/>
      <c r="H42" s="33"/>
      <c r="I42" s="33"/>
      <c r="J42" s="33"/>
    </row>
    <row r="43" spans="1:14" collapsed="1" x14ac:dyDescent="0.25">
      <c r="A43" s="6" t="s">
        <v>17</v>
      </c>
      <c r="B43" s="7"/>
      <c r="C43" s="7" t="str">
        <f>"за "&amp;LOWER($A$37)</f>
        <v>за май</v>
      </c>
      <c r="D43" s="28">
        <f>COUNTA(май_пр)</f>
        <v>0</v>
      </c>
      <c r="E43" s="58">
        <f>SUM(май_кол)</f>
        <v>0</v>
      </c>
      <c r="F43" s="24">
        <f>COUNTA(акт_вх_май)+COUNTA(акт_отб_май)</f>
        <v>0</v>
      </c>
      <c r="G43" s="43"/>
      <c r="H43" s="43"/>
      <c r="I43" s="43"/>
      <c r="J43" s="59">
        <f>SUM(кол_отб_май)</f>
        <v>0</v>
      </c>
    </row>
    <row r="44" spans="1:14" x14ac:dyDescent="0.25">
      <c r="A44" s="267" t="s">
        <v>10</v>
      </c>
      <c r="B44" s="267"/>
      <c r="C44" s="267"/>
      <c r="D44" s="267"/>
      <c r="E44" s="267"/>
      <c r="F44" s="267"/>
      <c r="G44" s="267"/>
      <c r="H44" s="267"/>
      <c r="I44" s="267"/>
      <c r="J44" s="267"/>
    </row>
    <row r="45" spans="1:14" x14ac:dyDescent="0.25">
      <c r="A45" s="30"/>
      <c r="B45" s="30"/>
      <c r="C45" s="30"/>
      <c r="D45" s="31"/>
      <c r="E45" s="30"/>
      <c r="F45" s="30"/>
      <c r="G45" s="30"/>
      <c r="H45" s="30"/>
      <c r="I45" s="30"/>
      <c r="J45" s="30"/>
    </row>
    <row r="46" spans="1:14" hidden="1" outlineLevel="1" x14ac:dyDescent="0.25">
      <c r="A46" s="30"/>
      <c r="B46" s="30"/>
      <c r="C46" s="30"/>
      <c r="D46" s="31"/>
      <c r="E46" s="30"/>
      <c r="F46" s="30"/>
      <c r="G46" s="30"/>
      <c r="H46" s="30"/>
      <c r="I46" s="30"/>
      <c r="J46" s="30"/>
    </row>
    <row r="47" spans="1:14" hidden="1" outlineLevel="1" x14ac:dyDescent="0.25">
      <c r="A47" s="30"/>
      <c r="B47" s="30"/>
      <c r="C47" s="30"/>
      <c r="D47" s="31"/>
      <c r="E47" s="30"/>
      <c r="F47" s="30"/>
      <c r="G47" s="30"/>
      <c r="H47" s="30"/>
      <c r="I47" s="30"/>
      <c r="J47" s="30"/>
    </row>
    <row r="48" spans="1:14" hidden="1" outlineLevel="1" x14ac:dyDescent="0.25">
      <c r="A48" s="30"/>
      <c r="B48" s="30"/>
      <c r="C48" s="30"/>
      <c r="D48" s="31"/>
      <c r="E48" s="30"/>
      <c r="F48" s="30"/>
      <c r="G48" s="30"/>
      <c r="H48" s="30"/>
      <c r="I48" s="30"/>
      <c r="J48" s="30"/>
    </row>
    <row r="49" spans="1:10" hidden="1" outlineLevel="1" x14ac:dyDescent="0.25">
      <c r="A49" s="30"/>
      <c r="B49" s="30"/>
      <c r="C49" s="30"/>
      <c r="D49" s="31"/>
      <c r="E49" s="30"/>
      <c r="F49" s="30"/>
      <c r="G49" s="30"/>
      <c r="H49" s="30"/>
      <c r="I49" s="30"/>
      <c r="J49" s="30"/>
    </row>
    <row r="50" spans="1:10" collapsed="1" x14ac:dyDescent="0.25">
      <c r="A50" s="6" t="s">
        <v>17</v>
      </c>
      <c r="B50" s="7"/>
      <c r="C50" s="7" t="str">
        <f>"за "&amp;LOWER($A$44)</f>
        <v>за июнь</v>
      </c>
      <c r="D50" s="28">
        <f>COUNTA(июн_пр)</f>
        <v>0</v>
      </c>
      <c r="E50" s="58">
        <f>SUM(июн_кол)</f>
        <v>0</v>
      </c>
      <c r="F50" s="24">
        <f>COUNTA(акт_вх_июн)+COUNTA(акт_отб_июн)</f>
        <v>0</v>
      </c>
      <c r="G50" s="43"/>
      <c r="H50" s="43"/>
      <c r="I50" s="43"/>
      <c r="J50" s="59">
        <f>SUM(кол_отб_июн)</f>
        <v>0</v>
      </c>
    </row>
    <row r="51" spans="1:10" ht="31.5" customHeight="1" x14ac:dyDescent="0.25">
      <c r="A51" s="37" t="s">
        <v>17</v>
      </c>
      <c r="B51" s="38"/>
      <c r="C51" s="38" t="s">
        <v>109</v>
      </c>
      <c r="D51" s="39">
        <f>SUM(D36,D43,D50)</f>
        <v>0</v>
      </c>
      <c r="E51" s="60">
        <f>SUM(E36,E43,E50)</f>
        <v>0</v>
      </c>
      <c r="F51" s="41">
        <f>SUM(F36,F43,F50)</f>
        <v>0</v>
      </c>
      <c r="G51" s="38"/>
      <c r="H51" s="38" t="e">
        <f>"Кп= "&amp;ROUNDDOWN((F51/D51)*100,1)&amp;"%"</f>
        <v>#DIV/0!</v>
      </c>
      <c r="I51" s="38" t="e">
        <f>"Км= "&amp;ROUNDDOWN((J51/E51)*100,2)&amp;"%"</f>
        <v>#DIV/0!</v>
      </c>
      <c r="J51" s="61">
        <f>SUM(J36,J43,J50)</f>
        <v>0</v>
      </c>
    </row>
    <row r="52" spans="1:10" ht="31.5" customHeight="1" x14ac:dyDescent="0.25">
      <c r="A52" s="37" t="s">
        <v>17</v>
      </c>
      <c r="B52" s="38"/>
      <c r="C52" s="38" t="s">
        <v>110</v>
      </c>
      <c r="D52" s="39">
        <f>SUM(D27,D51)</f>
        <v>0</v>
      </c>
      <c r="E52" s="60">
        <f>SUM(E51,E27)</f>
        <v>0</v>
      </c>
      <c r="F52" s="41">
        <f>SUM(F51,F27)</f>
        <v>0</v>
      </c>
      <c r="G52" s="38"/>
      <c r="H52" s="38" t="e">
        <f>"Кп= "&amp;ROUNDDOWN((F52/D52)*100,1)&amp;"%"</f>
        <v>#DIV/0!</v>
      </c>
      <c r="I52" s="38" t="e">
        <f>"Км= "&amp;ROUNDDOWN((J52/E52)*100,2)&amp;"%"</f>
        <v>#DIV/0!</v>
      </c>
      <c r="J52" s="61">
        <f>SUM(J51,J27)</f>
        <v>0</v>
      </c>
    </row>
    <row r="53" spans="1:10" ht="24" hidden="1" customHeight="1" outlineLevel="1" x14ac:dyDescent="0.25">
      <c r="A53" s="8" t="s">
        <v>19</v>
      </c>
      <c r="B53" s="8"/>
      <c r="C53" s="8"/>
      <c r="D53" s="9"/>
      <c r="E53" s="8"/>
      <c r="F53" s="8"/>
      <c r="G53" s="8" t="s">
        <v>22</v>
      </c>
      <c r="H53" s="8"/>
      <c r="I53" s="8"/>
      <c r="J53" s="8"/>
    </row>
    <row r="54" spans="1:10" ht="26.25" hidden="1" customHeight="1" outlineLevel="1" x14ac:dyDescent="0.25">
      <c r="A54" s="8" t="s">
        <v>20</v>
      </c>
      <c r="B54" s="8"/>
      <c r="C54" s="8"/>
      <c r="D54" s="9"/>
      <c r="E54" s="8"/>
      <c r="F54" s="8"/>
      <c r="G54" s="8" t="s">
        <v>21</v>
      </c>
      <c r="H54" s="8"/>
      <c r="I54" s="8"/>
      <c r="J54" s="8"/>
    </row>
    <row r="55" spans="1:10" collapsed="1" x14ac:dyDescent="0.25">
      <c r="A55" s="267" t="s">
        <v>11</v>
      </c>
      <c r="B55" s="267"/>
      <c r="C55" s="267"/>
      <c r="D55" s="267"/>
      <c r="E55" s="267"/>
      <c r="F55" s="267"/>
      <c r="G55" s="267"/>
      <c r="H55" s="267"/>
      <c r="I55" s="267"/>
      <c r="J55" s="267"/>
    </row>
    <row r="56" spans="1:10" x14ac:dyDescent="0.25">
      <c r="A56" s="30"/>
      <c r="B56" s="30"/>
      <c r="C56" s="30"/>
      <c r="D56" s="31"/>
      <c r="E56" s="30"/>
      <c r="F56" s="30"/>
      <c r="G56" s="30"/>
      <c r="H56" s="30"/>
      <c r="I56" s="30"/>
      <c r="J56" s="30"/>
    </row>
    <row r="57" spans="1:10" hidden="1" outlineLevel="1" x14ac:dyDescent="0.25">
      <c r="A57" s="30"/>
      <c r="B57" s="30"/>
      <c r="C57" s="30"/>
      <c r="D57" s="31"/>
      <c r="E57" s="30"/>
      <c r="F57" s="30"/>
      <c r="G57" s="30"/>
      <c r="H57" s="30"/>
      <c r="I57" s="30"/>
      <c r="J57" s="30"/>
    </row>
    <row r="58" spans="1:10" hidden="1" outlineLevel="1" x14ac:dyDescent="0.25">
      <c r="A58" s="30"/>
      <c r="B58" s="30"/>
      <c r="C58" s="30"/>
      <c r="D58" s="31"/>
      <c r="E58" s="30"/>
      <c r="F58" s="30"/>
      <c r="G58" s="30"/>
      <c r="H58" s="30"/>
      <c r="I58" s="30"/>
      <c r="J58" s="30"/>
    </row>
    <row r="59" spans="1:10" hidden="1" outlineLevel="1" x14ac:dyDescent="0.25">
      <c r="A59" s="30"/>
      <c r="B59" s="30"/>
      <c r="C59" s="30"/>
      <c r="D59" s="31"/>
      <c r="E59" s="30"/>
      <c r="F59" s="30"/>
      <c r="G59" s="30"/>
      <c r="H59" s="30"/>
      <c r="I59" s="30"/>
      <c r="J59" s="30"/>
    </row>
    <row r="60" spans="1:10" hidden="1" outlineLevel="1" x14ac:dyDescent="0.25">
      <c r="A60" s="30"/>
      <c r="B60" s="30"/>
      <c r="C60" s="30"/>
      <c r="D60" s="31"/>
      <c r="E60" s="30"/>
      <c r="F60" s="30"/>
      <c r="G60" s="30"/>
      <c r="H60" s="30"/>
      <c r="I60" s="30"/>
      <c r="J60" s="30"/>
    </row>
    <row r="61" spans="1:10" collapsed="1" x14ac:dyDescent="0.25">
      <c r="A61" s="6" t="s">
        <v>17</v>
      </c>
      <c r="B61" s="7"/>
      <c r="C61" s="7" t="str">
        <f>"за "&amp;LOWER($A$55)</f>
        <v>за июль</v>
      </c>
      <c r="D61" s="28">
        <f>COUNTA(июл_пр)</f>
        <v>0</v>
      </c>
      <c r="E61" s="58">
        <f>SUM(июл_кол)</f>
        <v>0</v>
      </c>
      <c r="F61" s="24">
        <f>COUNTA(акт_вх_июл)+COUNTA(акт_отб_июл)</f>
        <v>0</v>
      </c>
      <c r="G61" s="43"/>
      <c r="H61" s="43"/>
      <c r="I61" s="43"/>
      <c r="J61" s="59">
        <f>SUM(кол_отб_июл)</f>
        <v>0</v>
      </c>
    </row>
    <row r="62" spans="1:10" x14ac:dyDescent="0.25">
      <c r="A62" s="267" t="s">
        <v>13</v>
      </c>
      <c r="B62" s="267"/>
      <c r="C62" s="267"/>
      <c r="D62" s="267"/>
      <c r="E62" s="267"/>
      <c r="F62" s="267"/>
      <c r="G62" s="267"/>
      <c r="H62" s="267"/>
      <c r="I62" s="267"/>
      <c r="J62" s="267"/>
    </row>
    <row r="63" spans="1:10" x14ac:dyDescent="0.25">
      <c r="A63" s="30"/>
      <c r="B63" s="30"/>
      <c r="C63" s="30"/>
      <c r="D63" s="31"/>
      <c r="E63" s="30"/>
      <c r="F63" s="30"/>
      <c r="G63" s="30"/>
      <c r="H63" s="30"/>
      <c r="I63" s="30"/>
      <c r="J63" s="30"/>
    </row>
    <row r="64" spans="1:10" hidden="1" outlineLevel="1" x14ac:dyDescent="0.25">
      <c r="A64" s="30"/>
      <c r="B64" s="30"/>
      <c r="C64" s="30"/>
      <c r="D64" s="31"/>
      <c r="E64" s="30"/>
      <c r="F64" s="30"/>
      <c r="G64" s="30"/>
      <c r="H64" s="30"/>
      <c r="I64" s="30"/>
      <c r="J64" s="30"/>
    </row>
    <row r="65" spans="1:10" hidden="1" outlineLevel="1" x14ac:dyDescent="0.25">
      <c r="A65" s="30"/>
      <c r="B65" s="30"/>
      <c r="C65" s="30"/>
      <c r="D65" s="31"/>
      <c r="E65" s="30"/>
      <c r="F65" s="30"/>
      <c r="G65" s="30"/>
      <c r="H65" s="30"/>
      <c r="I65" s="30"/>
      <c r="J65" s="30"/>
    </row>
    <row r="66" spans="1:10" hidden="1" outlineLevel="1" x14ac:dyDescent="0.25">
      <c r="A66" s="30"/>
      <c r="B66" s="30"/>
      <c r="C66" s="30"/>
      <c r="D66" s="31"/>
      <c r="E66" s="30"/>
      <c r="F66" s="30"/>
      <c r="G66" s="30"/>
      <c r="H66" s="30"/>
      <c r="I66" s="30"/>
      <c r="J66" s="30"/>
    </row>
    <row r="67" spans="1:10" hidden="1" outlineLevel="1" x14ac:dyDescent="0.25">
      <c r="A67" s="30"/>
      <c r="B67" s="30"/>
      <c r="C67" s="30"/>
      <c r="D67" s="31"/>
      <c r="E67" s="30"/>
      <c r="F67" s="30"/>
      <c r="G67" s="30"/>
      <c r="H67" s="30"/>
      <c r="I67" s="30"/>
      <c r="J67" s="30"/>
    </row>
    <row r="68" spans="1:10" collapsed="1" x14ac:dyDescent="0.25">
      <c r="A68" s="6" t="s">
        <v>17</v>
      </c>
      <c r="B68" s="7"/>
      <c r="C68" s="7" t="str">
        <f>"за "&amp;LOWER($A$62)</f>
        <v>за август</v>
      </c>
      <c r="D68" s="28">
        <f>COUNTA(авг_пр)</f>
        <v>0</v>
      </c>
      <c r="E68" s="58">
        <f>SUM(авг_кол)</f>
        <v>0</v>
      </c>
      <c r="F68" s="24">
        <f>COUNTA(акт_вх_авг)+COUNTA(акт_отб_авг)</f>
        <v>0</v>
      </c>
      <c r="G68" s="43"/>
      <c r="H68" s="43"/>
      <c r="I68" s="43"/>
      <c r="J68" s="59">
        <f>SUM(кол_отб_авг)</f>
        <v>0</v>
      </c>
    </row>
    <row r="69" spans="1:10" x14ac:dyDescent="0.25">
      <c r="A69" s="267" t="s">
        <v>12</v>
      </c>
      <c r="B69" s="267"/>
      <c r="C69" s="267"/>
      <c r="D69" s="267"/>
      <c r="E69" s="267"/>
      <c r="F69" s="267"/>
      <c r="G69" s="267"/>
      <c r="H69" s="267"/>
      <c r="I69" s="267"/>
      <c r="J69" s="267"/>
    </row>
    <row r="70" spans="1:10" x14ac:dyDescent="0.25">
      <c r="A70" s="30"/>
      <c r="B70" s="30"/>
      <c r="C70" s="30"/>
      <c r="D70" s="31"/>
      <c r="E70" s="30"/>
      <c r="F70" s="30"/>
      <c r="G70" s="30"/>
      <c r="H70" s="30"/>
      <c r="I70" s="30"/>
      <c r="J70" s="30"/>
    </row>
    <row r="71" spans="1:10" hidden="1" outlineLevel="1" x14ac:dyDescent="0.25">
      <c r="A71" s="30"/>
      <c r="B71" s="30"/>
      <c r="C71" s="30"/>
      <c r="D71" s="31"/>
      <c r="E71" s="30"/>
      <c r="F71" s="30"/>
      <c r="G71" s="30"/>
      <c r="H71" s="30"/>
      <c r="I71" s="30"/>
      <c r="J71" s="30"/>
    </row>
    <row r="72" spans="1:10" hidden="1" outlineLevel="1" x14ac:dyDescent="0.25">
      <c r="A72" s="30"/>
      <c r="B72" s="30"/>
      <c r="C72" s="30"/>
      <c r="D72" s="31"/>
      <c r="E72" s="30"/>
      <c r="F72" s="30"/>
      <c r="G72" s="30"/>
      <c r="H72" s="30"/>
      <c r="I72" s="30"/>
      <c r="J72" s="30"/>
    </row>
    <row r="73" spans="1:10" hidden="1" outlineLevel="1" x14ac:dyDescent="0.25">
      <c r="A73" s="30"/>
      <c r="B73" s="30"/>
      <c r="C73" s="30"/>
      <c r="D73" s="31"/>
      <c r="E73" s="30"/>
      <c r="F73" s="30"/>
      <c r="G73" s="30"/>
      <c r="H73" s="30"/>
      <c r="I73" s="30"/>
      <c r="J73" s="30"/>
    </row>
    <row r="74" spans="1:10" hidden="1" outlineLevel="1" x14ac:dyDescent="0.25">
      <c r="A74" s="30"/>
      <c r="B74" s="30"/>
      <c r="C74" s="30"/>
      <c r="D74" s="31"/>
      <c r="E74" s="30"/>
      <c r="F74" s="30"/>
      <c r="G74" s="30"/>
      <c r="H74" s="30"/>
      <c r="I74" s="30"/>
      <c r="J74" s="30"/>
    </row>
    <row r="75" spans="1:10" collapsed="1" x14ac:dyDescent="0.25">
      <c r="A75" s="6" t="s">
        <v>17</v>
      </c>
      <c r="B75" s="7"/>
      <c r="C75" s="7" t="str">
        <f>"за "&amp;LOWER($A$69)</f>
        <v>за сентябрь</v>
      </c>
      <c r="D75" s="28">
        <f>COUNTA(снт_пр)</f>
        <v>0</v>
      </c>
      <c r="E75" s="58">
        <f>SUM(снт_кол)</f>
        <v>0</v>
      </c>
      <c r="F75" s="24">
        <f>COUNTA(акт_вх_снт)+COUNTA(акт_отб_снт)</f>
        <v>0</v>
      </c>
      <c r="G75" s="43"/>
      <c r="H75" s="43"/>
      <c r="I75" s="43"/>
      <c r="J75" s="59">
        <f>SUM(кол_отб_снт)</f>
        <v>0</v>
      </c>
    </row>
    <row r="76" spans="1:10" ht="30" customHeight="1" x14ac:dyDescent="0.25">
      <c r="A76" s="37" t="s">
        <v>17</v>
      </c>
      <c r="B76" s="38"/>
      <c r="C76" s="38" t="s">
        <v>111</v>
      </c>
      <c r="D76" s="39">
        <f>SUM(D61,D68,D75)</f>
        <v>0</v>
      </c>
      <c r="E76" s="60">
        <f>SUM(E61,E68,E75)</f>
        <v>0</v>
      </c>
      <c r="F76" s="41">
        <f>SUM(F61,F68,F75)</f>
        <v>0</v>
      </c>
      <c r="G76" s="38"/>
      <c r="H76" s="38" t="e">
        <f>"Кп= "&amp;ROUNDDOWN((F76/D76)*100,1)&amp;"%"</f>
        <v>#DIV/0!</v>
      </c>
      <c r="I76" s="38" t="e">
        <f>"Км= "&amp;ROUNDDOWN((J76/E76)*100,2)&amp;"%"</f>
        <v>#DIV/0!</v>
      </c>
      <c r="J76" s="61">
        <f>SUM(J61,J68,J75)</f>
        <v>0</v>
      </c>
    </row>
    <row r="77" spans="1:10" ht="30" customHeight="1" x14ac:dyDescent="0.25">
      <c r="A77" s="37" t="s">
        <v>17</v>
      </c>
      <c r="B77" s="38"/>
      <c r="C77" s="38" t="s">
        <v>113</v>
      </c>
      <c r="D77" s="39">
        <f>SUM(D52,D76)</f>
        <v>0</v>
      </c>
      <c r="E77" s="60">
        <f>SUM(E76,E52)</f>
        <v>0</v>
      </c>
      <c r="F77" s="41">
        <f>SUM(F76,F52)</f>
        <v>0</v>
      </c>
      <c r="G77" s="38"/>
      <c r="H77" s="38" t="e">
        <f>"Кп= "&amp;ROUNDDOWN((F77/D77)*100,1)&amp;"%"</f>
        <v>#DIV/0!</v>
      </c>
      <c r="I77" s="38" t="e">
        <f>"Км= "&amp;ROUNDDOWN((J77/E77)*100,2)&amp;"%"</f>
        <v>#DIV/0!</v>
      </c>
      <c r="J77" s="61">
        <f>SUM(J76,J52)</f>
        <v>0</v>
      </c>
    </row>
    <row r="78" spans="1:10" ht="29.25" hidden="1" customHeight="1" outlineLevel="1" x14ac:dyDescent="0.25">
      <c r="A78" s="8" t="s">
        <v>19</v>
      </c>
      <c r="B78" s="8"/>
      <c r="C78" s="8"/>
      <c r="D78" s="9"/>
      <c r="E78" s="8"/>
      <c r="F78" s="8"/>
      <c r="G78" s="8" t="s">
        <v>22</v>
      </c>
      <c r="H78" s="8"/>
      <c r="I78" s="8"/>
      <c r="J78" s="8"/>
    </row>
    <row r="79" spans="1:10" ht="24.75" hidden="1" customHeight="1" outlineLevel="1" x14ac:dyDescent="0.25">
      <c r="A79" s="8" t="s">
        <v>20</v>
      </c>
      <c r="B79" s="8"/>
      <c r="C79" s="8"/>
      <c r="D79" s="9"/>
      <c r="E79" s="8"/>
      <c r="F79" s="8"/>
      <c r="G79" s="8" t="s">
        <v>21</v>
      </c>
      <c r="H79" s="8"/>
      <c r="I79" s="8"/>
      <c r="J79" s="8"/>
    </row>
    <row r="80" spans="1:10" ht="15" customHeight="1" collapsed="1" x14ac:dyDescent="0.25">
      <c r="A80" s="267" t="s">
        <v>14</v>
      </c>
      <c r="B80" s="267"/>
      <c r="C80" s="267"/>
      <c r="D80" s="267"/>
      <c r="E80" s="267"/>
      <c r="F80" s="267"/>
      <c r="G80" s="267"/>
      <c r="H80" s="267"/>
      <c r="I80" s="267"/>
      <c r="J80" s="267"/>
    </row>
    <row r="81" spans="1:10" x14ac:dyDescent="0.25">
      <c r="A81" s="30"/>
      <c r="B81" s="30"/>
      <c r="C81" s="30"/>
      <c r="D81" s="31"/>
      <c r="E81" s="30"/>
      <c r="F81" s="30"/>
      <c r="G81" s="30"/>
      <c r="H81" s="30"/>
      <c r="I81" s="30"/>
      <c r="J81" s="30"/>
    </row>
    <row r="82" spans="1:10" hidden="1" outlineLevel="1" x14ac:dyDescent="0.25">
      <c r="A82" s="30"/>
      <c r="B82" s="30"/>
      <c r="C82" s="30"/>
      <c r="D82" s="31"/>
      <c r="E82" s="30"/>
      <c r="F82" s="30"/>
      <c r="G82" s="30"/>
      <c r="H82" s="30"/>
      <c r="I82" s="30"/>
      <c r="J82" s="30"/>
    </row>
    <row r="83" spans="1:10" hidden="1" outlineLevel="1" x14ac:dyDescent="0.25">
      <c r="A83" s="30"/>
      <c r="B83" s="30"/>
      <c r="C83" s="30"/>
      <c r="D83" s="31"/>
      <c r="E83" s="30"/>
      <c r="F83" s="30"/>
      <c r="G83" s="30"/>
      <c r="H83" s="30"/>
      <c r="I83" s="30"/>
      <c r="J83" s="30"/>
    </row>
    <row r="84" spans="1:10" hidden="1" outlineLevel="1" x14ac:dyDescent="0.25">
      <c r="A84" s="30"/>
      <c r="B84" s="30"/>
      <c r="C84" s="30"/>
      <c r="D84" s="31"/>
      <c r="E84" s="30"/>
      <c r="F84" s="30"/>
      <c r="G84" s="30"/>
      <c r="H84" s="30"/>
      <c r="I84" s="30"/>
      <c r="J84" s="30"/>
    </row>
    <row r="85" spans="1:10" hidden="1" outlineLevel="1" x14ac:dyDescent="0.25">
      <c r="A85" s="30"/>
      <c r="B85" s="30"/>
      <c r="C85" s="30"/>
      <c r="D85" s="31"/>
      <c r="E85" s="30"/>
      <c r="F85" s="30"/>
      <c r="G85" s="30"/>
      <c r="H85" s="30"/>
      <c r="I85" s="30"/>
      <c r="J85" s="30"/>
    </row>
    <row r="86" spans="1:10" collapsed="1" x14ac:dyDescent="0.25">
      <c r="A86" s="6" t="s">
        <v>17</v>
      </c>
      <c r="B86" s="7"/>
      <c r="C86" s="7" t="str">
        <f>"за "&amp;LOWER($A$80)</f>
        <v>за октябрь</v>
      </c>
      <c r="D86" s="28">
        <f>COUNTA(окт_пр)</f>
        <v>0</v>
      </c>
      <c r="E86" s="58">
        <f>SUM(окт_кол)</f>
        <v>0</v>
      </c>
      <c r="F86" s="24">
        <f>COUNTA(акт_вх_окт)+COUNTA(акт_отб_окт)</f>
        <v>0</v>
      </c>
      <c r="G86" s="43"/>
      <c r="H86" s="43"/>
      <c r="I86" s="43"/>
      <c r="J86" s="59">
        <f>SUM(кол_отб_окт)</f>
        <v>0</v>
      </c>
    </row>
    <row r="87" spans="1:10" x14ac:dyDescent="0.25">
      <c r="A87" s="267" t="s">
        <v>15</v>
      </c>
      <c r="B87" s="267"/>
      <c r="C87" s="267"/>
      <c r="D87" s="267"/>
      <c r="E87" s="267"/>
      <c r="F87" s="267"/>
      <c r="G87" s="267"/>
      <c r="H87" s="267"/>
      <c r="I87" s="267"/>
      <c r="J87" s="267"/>
    </row>
    <row r="88" spans="1:10" x14ac:dyDescent="0.25">
      <c r="A88" s="30"/>
      <c r="B88" s="30"/>
      <c r="C88" s="30"/>
      <c r="D88" s="31"/>
      <c r="E88" s="30"/>
      <c r="F88" s="30"/>
      <c r="G88" s="30"/>
      <c r="H88" s="30"/>
      <c r="I88" s="30"/>
      <c r="J88" s="30"/>
    </row>
    <row r="89" spans="1:10" hidden="1" outlineLevel="1" x14ac:dyDescent="0.25">
      <c r="A89" s="30"/>
      <c r="B89" s="30"/>
      <c r="C89" s="30"/>
      <c r="D89" s="31"/>
      <c r="E89" s="30"/>
      <c r="F89" s="30"/>
      <c r="G89" s="30"/>
      <c r="H89" s="30"/>
      <c r="I89" s="30"/>
      <c r="J89" s="30"/>
    </row>
    <row r="90" spans="1:10" hidden="1" outlineLevel="1" x14ac:dyDescent="0.25">
      <c r="A90" s="30"/>
      <c r="B90" s="30"/>
      <c r="C90" s="30"/>
      <c r="D90" s="31"/>
      <c r="E90" s="30"/>
      <c r="F90" s="30"/>
      <c r="G90" s="30"/>
      <c r="H90" s="30"/>
      <c r="I90" s="30"/>
      <c r="J90" s="30"/>
    </row>
    <row r="91" spans="1:10" hidden="1" outlineLevel="1" x14ac:dyDescent="0.25">
      <c r="A91" s="30"/>
      <c r="B91" s="30"/>
      <c r="C91" s="30"/>
      <c r="D91" s="31"/>
      <c r="E91" s="30"/>
      <c r="F91" s="30"/>
      <c r="G91" s="30"/>
      <c r="H91" s="30"/>
      <c r="I91" s="30"/>
      <c r="J91" s="30"/>
    </row>
    <row r="92" spans="1:10" hidden="1" outlineLevel="1" x14ac:dyDescent="0.25">
      <c r="A92" s="30"/>
      <c r="B92" s="30"/>
      <c r="C92" s="30"/>
      <c r="D92" s="31"/>
      <c r="E92" s="30"/>
      <c r="F92" s="30"/>
      <c r="G92" s="30"/>
      <c r="H92" s="30"/>
      <c r="I92" s="30"/>
      <c r="J92" s="30"/>
    </row>
    <row r="93" spans="1:10" collapsed="1" x14ac:dyDescent="0.25">
      <c r="A93" s="6" t="s">
        <v>17</v>
      </c>
      <c r="B93" s="7"/>
      <c r="C93" s="7" t="str">
        <f>"за "&amp;LOWER($A$87)</f>
        <v>за ноябрь</v>
      </c>
      <c r="D93" s="28">
        <f>COUNTA(нбр_пр)</f>
        <v>0</v>
      </c>
      <c r="E93" s="58">
        <f>SUM(нбр_кол)</f>
        <v>0</v>
      </c>
      <c r="F93" s="24">
        <f>COUNTA(акт_вх_нбр)+COUNTA(акт_отб_нбр)</f>
        <v>0</v>
      </c>
      <c r="G93" s="43"/>
      <c r="H93" s="43"/>
      <c r="I93" s="43"/>
      <c r="J93" s="59">
        <f>SUM(кол_отб_нбр)</f>
        <v>0</v>
      </c>
    </row>
    <row r="94" spans="1:10" x14ac:dyDescent="0.25">
      <c r="A94" s="267" t="s">
        <v>16</v>
      </c>
      <c r="B94" s="267"/>
      <c r="C94" s="267"/>
      <c r="D94" s="267"/>
      <c r="E94" s="267"/>
      <c r="F94" s="267"/>
      <c r="G94" s="267"/>
      <c r="H94" s="267"/>
      <c r="I94" s="267"/>
      <c r="J94" s="267"/>
    </row>
    <row r="95" spans="1:10" x14ac:dyDescent="0.25">
      <c r="A95" s="30"/>
      <c r="B95" s="30"/>
      <c r="C95" s="30"/>
      <c r="D95" s="30"/>
      <c r="E95" s="30"/>
      <c r="F95" s="30"/>
      <c r="G95" s="30"/>
      <c r="H95" s="30"/>
      <c r="I95" s="30"/>
      <c r="J95" s="30"/>
    </row>
    <row r="96" spans="1:10" hidden="1" outlineLevel="1" x14ac:dyDescent="0.25">
      <c r="A96" s="30"/>
      <c r="B96" s="30"/>
      <c r="C96" s="30"/>
      <c r="D96" s="30"/>
      <c r="E96" s="30"/>
      <c r="F96" s="30"/>
      <c r="G96" s="30"/>
      <c r="H96" s="30"/>
      <c r="I96" s="30"/>
      <c r="J96" s="30"/>
    </row>
    <row r="97" spans="1:10" hidden="1" outlineLevel="1" x14ac:dyDescent="0.25">
      <c r="A97" s="30"/>
      <c r="B97" s="30"/>
      <c r="C97" s="30"/>
      <c r="D97" s="30"/>
      <c r="E97" s="30"/>
      <c r="F97" s="30"/>
      <c r="G97" s="30"/>
      <c r="H97" s="30"/>
      <c r="I97" s="30"/>
      <c r="J97" s="30"/>
    </row>
    <row r="98" spans="1:10" hidden="1" outlineLevel="1" x14ac:dyDescent="0.25">
      <c r="A98" s="30"/>
      <c r="B98" s="30"/>
      <c r="C98" s="30"/>
      <c r="D98" s="30"/>
      <c r="E98" s="30"/>
      <c r="F98" s="30"/>
      <c r="G98" s="30"/>
      <c r="H98" s="30"/>
      <c r="I98" s="30"/>
      <c r="J98" s="30"/>
    </row>
    <row r="99" spans="1:10" hidden="1" outlineLevel="1" x14ac:dyDescent="0.25">
      <c r="A99" s="30"/>
      <c r="B99" s="30"/>
      <c r="C99" s="30"/>
      <c r="D99" s="30"/>
      <c r="E99" s="30"/>
      <c r="F99" s="30"/>
      <c r="G99" s="30"/>
      <c r="H99" s="30"/>
      <c r="I99" s="30"/>
      <c r="J99" s="30"/>
    </row>
    <row r="100" spans="1:10" collapsed="1" x14ac:dyDescent="0.25">
      <c r="A100" s="6" t="s">
        <v>17</v>
      </c>
      <c r="B100" s="7"/>
      <c r="C100" s="7" t="str">
        <f>"за "&amp;LOWER($A$94)</f>
        <v>за декабрь</v>
      </c>
      <c r="D100" s="28">
        <f>COUNTA(дкб_пр)</f>
        <v>0</v>
      </c>
      <c r="E100" s="58">
        <f>SUM(дкб_кол)</f>
        <v>0</v>
      </c>
      <c r="F100" s="24">
        <f>COUNTA(акт_вх_дкб)+COUNTA(акт_отб_дкб)</f>
        <v>0</v>
      </c>
      <c r="G100" s="43"/>
      <c r="H100" s="43"/>
      <c r="I100" s="43"/>
      <c r="J100" s="59">
        <f>SUM(кол_отб_дкб)</f>
        <v>0</v>
      </c>
    </row>
    <row r="101" spans="1:10" ht="32.25" customHeight="1" x14ac:dyDescent="0.25">
      <c r="A101" s="37" t="s">
        <v>17</v>
      </c>
      <c r="B101" s="38"/>
      <c r="C101" s="38" t="s">
        <v>112</v>
      </c>
      <c r="D101" s="39">
        <f>SUM(D86,D93,D100)</f>
        <v>0</v>
      </c>
      <c r="E101" s="60">
        <f>SUM(E86,E93,E100)</f>
        <v>0</v>
      </c>
      <c r="F101" s="41">
        <f>SUM(F86,F93,F100)</f>
        <v>0</v>
      </c>
      <c r="G101" s="38"/>
      <c r="H101" s="38" t="e">
        <f>"Кп= "&amp;ROUNDDOWN((F101/D101)*100,1)&amp;"%"</f>
        <v>#DIV/0!</v>
      </c>
      <c r="I101" s="38" t="e">
        <f>"Км= "&amp;ROUNDDOWN((J101/E101)*100,2)&amp;"%"</f>
        <v>#DIV/0!</v>
      </c>
      <c r="J101" s="61">
        <f>SUM(J86,J93,J100)</f>
        <v>0</v>
      </c>
    </row>
    <row r="102" spans="1:10" ht="27" customHeight="1" x14ac:dyDescent="0.25">
      <c r="A102" s="37" t="s">
        <v>17</v>
      </c>
      <c r="B102" s="38"/>
      <c r="C102" s="38" t="s">
        <v>114</v>
      </c>
      <c r="D102" s="39">
        <f>SUM(D101,D77)</f>
        <v>0</v>
      </c>
      <c r="E102" s="60">
        <f>SUM(E101,E77)</f>
        <v>0</v>
      </c>
      <c r="F102" s="41">
        <f>SUM(F101,F77)</f>
        <v>0</v>
      </c>
      <c r="G102" s="38"/>
      <c r="H102" s="38" t="e">
        <f>"Кп= "&amp;ROUNDDOWN((F102/D102)*100,1)&amp;"%"</f>
        <v>#DIV/0!</v>
      </c>
      <c r="I102" s="38" t="e">
        <f>"Км= "&amp;ROUNDDOWN((J102/E102)*100,2)&amp;"%"</f>
        <v>#DIV/0!</v>
      </c>
      <c r="J102" s="61">
        <f>SUM(J101,J77)</f>
        <v>0</v>
      </c>
    </row>
    <row r="103" spans="1:10" ht="26.25" customHeight="1" x14ac:dyDescent="0.25">
      <c r="A103" s="8" t="s">
        <v>20</v>
      </c>
      <c r="B103" s="8"/>
      <c r="C103" s="8"/>
      <c r="D103" s="9"/>
      <c r="E103" s="8"/>
      <c r="F103" s="8"/>
      <c r="G103" s="8" t="s">
        <v>21</v>
      </c>
      <c r="H103" s="8"/>
      <c r="I103" s="8"/>
      <c r="J103" s="8"/>
    </row>
  </sheetData>
  <sheetProtection algorithmName="SHA-512" hashValue="2QEaHzOQ0QBDMAxEavmpxsuXHji6SFh7YQ/3qbDO/u8IguarinqwoWN3XStYRDfBpMpAznNc85S2u3QO929qXQ==" saltValue="hvG+Aek1M+Qz7YnI4HdNqw==" spinCount="100000" sheet="1" formatCells="0" formatColumns="0" formatRows="0" insertColumns="0" insertRows="0" insertHyperlinks="0" deleteColumns="0" deleteRows="0" sort="0" autoFilter="0" pivotTables="0"/>
  <mergeCells count="21">
    <mergeCell ref="A94:J94"/>
    <mergeCell ref="A6:J6"/>
    <mergeCell ref="A13:J13"/>
    <mergeCell ref="A20:J20"/>
    <mergeCell ref="A30:J30"/>
    <mergeCell ref="A37:J37"/>
    <mergeCell ref="A44:J44"/>
    <mergeCell ref="A55:J55"/>
    <mergeCell ref="A62:J62"/>
    <mergeCell ref="A69:J69"/>
    <mergeCell ref="A80:J80"/>
    <mergeCell ref="A87:J87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5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E2B33-BB71-4B8A-AA06-E69B185DB9EE}">
  <sheetPr codeName="Лист3"/>
  <dimension ref="A1:B34"/>
  <sheetViews>
    <sheetView topLeftCell="A5" workbookViewId="0">
      <selection activeCell="A2" sqref="A2:B34"/>
    </sheetView>
  </sheetViews>
  <sheetFormatPr defaultRowHeight="15" x14ac:dyDescent="0.25"/>
  <cols>
    <col min="1" max="1" width="45.140625" customWidth="1"/>
    <col min="2" max="2" width="9.140625" style="21"/>
    <col min="4" max="4" width="47.140625" customWidth="1"/>
    <col min="6" max="6" width="10.28515625" bestFit="1" customWidth="1"/>
    <col min="9" max="9" width="9.140625" customWidth="1"/>
    <col min="10" max="10" width="8.42578125" customWidth="1"/>
    <col min="11" max="11" width="35.5703125" customWidth="1"/>
  </cols>
  <sheetData>
    <row r="1" spans="1:2" x14ac:dyDescent="0.25">
      <c r="A1" s="19" t="s">
        <v>38</v>
      </c>
      <c r="B1" s="20" t="s">
        <v>37</v>
      </c>
    </row>
    <row r="2" spans="1:2" x14ac:dyDescent="0.25">
      <c r="A2" s="22" t="s">
        <v>31</v>
      </c>
      <c r="B2" s="21" t="s">
        <v>40</v>
      </c>
    </row>
    <row r="3" spans="1:2" x14ac:dyDescent="0.25">
      <c r="A3" s="22" t="s">
        <v>33</v>
      </c>
      <c r="B3" s="21" t="s">
        <v>41</v>
      </c>
    </row>
    <row r="4" spans="1:2" x14ac:dyDescent="0.25">
      <c r="A4" t="s">
        <v>32</v>
      </c>
      <c r="B4" s="21" t="s">
        <v>42</v>
      </c>
    </row>
    <row r="5" spans="1:2" x14ac:dyDescent="0.25">
      <c r="A5" t="s">
        <v>131</v>
      </c>
      <c r="B5" s="21" t="s">
        <v>43</v>
      </c>
    </row>
    <row r="6" spans="1:2" x14ac:dyDescent="0.25">
      <c r="A6" t="s">
        <v>132</v>
      </c>
      <c r="B6" s="21" t="s">
        <v>44</v>
      </c>
    </row>
    <row r="7" spans="1:2" x14ac:dyDescent="0.25">
      <c r="A7" t="s">
        <v>133</v>
      </c>
      <c r="B7" s="21" t="s">
        <v>45</v>
      </c>
    </row>
    <row r="8" spans="1:2" x14ac:dyDescent="0.25">
      <c r="A8" t="s">
        <v>134</v>
      </c>
      <c r="B8" s="21" t="s">
        <v>46</v>
      </c>
    </row>
    <row r="9" spans="1:2" x14ac:dyDescent="0.25">
      <c r="A9" t="s">
        <v>34</v>
      </c>
      <c r="B9" s="21" t="s">
        <v>47</v>
      </c>
    </row>
    <row r="10" spans="1:2" x14ac:dyDescent="0.25">
      <c r="A10" t="s">
        <v>35</v>
      </c>
      <c r="B10" s="21" t="s">
        <v>48</v>
      </c>
    </row>
    <row r="11" spans="1:2" x14ac:dyDescent="0.25">
      <c r="A11" t="s">
        <v>36</v>
      </c>
      <c r="B11" s="21" t="s">
        <v>49</v>
      </c>
    </row>
    <row r="12" spans="1:2" x14ac:dyDescent="0.25">
      <c r="A12" t="s">
        <v>50</v>
      </c>
      <c r="B12" s="21" t="s">
        <v>71</v>
      </c>
    </row>
    <row r="13" spans="1:2" x14ac:dyDescent="0.25">
      <c r="A13" t="s">
        <v>51</v>
      </c>
      <c r="B13" s="21" t="s">
        <v>72</v>
      </c>
    </row>
    <row r="14" spans="1:2" x14ac:dyDescent="0.25">
      <c r="A14" t="s">
        <v>52</v>
      </c>
      <c r="B14" s="21" t="s">
        <v>73</v>
      </c>
    </row>
    <row r="15" spans="1:2" x14ac:dyDescent="0.25">
      <c r="A15" t="s">
        <v>53</v>
      </c>
      <c r="B15" s="21" t="s">
        <v>74</v>
      </c>
    </row>
    <row r="16" spans="1:2" x14ac:dyDescent="0.25">
      <c r="A16" t="s">
        <v>54</v>
      </c>
      <c r="B16" s="21" t="s">
        <v>75</v>
      </c>
    </row>
    <row r="17" spans="1:2" x14ac:dyDescent="0.25">
      <c r="A17" t="s">
        <v>55</v>
      </c>
      <c r="B17" s="21" t="s">
        <v>76</v>
      </c>
    </row>
    <row r="18" spans="1:2" x14ac:dyDescent="0.25">
      <c r="A18" t="s">
        <v>56</v>
      </c>
      <c r="B18" s="21" t="s">
        <v>77</v>
      </c>
    </row>
    <row r="19" spans="1:2" x14ac:dyDescent="0.25">
      <c r="A19" t="s">
        <v>57</v>
      </c>
      <c r="B19" s="21" t="s">
        <v>78</v>
      </c>
    </row>
    <row r="20" spans="1:2" x14ac:dyDescent="0.25">
      <c r="A20" t="s">
        <v>58</v>
      </c>
      <c r="B20" s="21" t="s">
        <v>79</v>
      </c>
    </row>
    <row r="21" spans="1:2" x14ac:dyDescent="0.25">
      <c r="A21" t="s">
        <v>59</v>
      </c>
      <c r="B21" s="21" t="s">
        <v>80</v>
      </c>
    </row>
    <row r="22" spans="1:2" x14ac:dyDescent="0.25">
      <c r="A22" t="s">
        <v>60</v>
      </c>
      <c r="B22" s="21" t="s">
        <v>81</v>
      </c>
    </row>
    <row r="23" spans="1:2" x14ac:dyDescent="0.25">
      <c r="A23" t="s">
        <v>61</v>
      </c>
      <c r="B23" s="21" t="s">
        <v>82</v>
      </c>
    </row>
    <row r="24" spans="1:2" x14ac:dyDescent="0.25">
      <c r="A24" t="s">
        <v>62</v>
      </c>
      <c r="B24" s="21" t="s">
        <v>83</v>
      </c>
    </row>
    <row r="25" spans="1:2" x14ac:dyDescent="0.25">
      <c r="A25" t="s">
        <v>63</v>
      </c>
      <c r="B25" s="21" t="s">
        <v>84</v>
      </c>
    </row>
    <row r="26" spans="1:2" x14ac:dyDescent="0.25">
      <c r="A26" t="s">
        <v>64</v>
      </c>
      <c r="B26" s="21" t="s">
        <v>85</v>
      </c>
    </row>
    <row r="27" spans="1:2" x14ac:dyDescent="0.25">
      <c r="A27" t="s">
        <v>65</v>
      </c>
      <c r="B27" s="21" t="s">
        <v>86</v>
      </c>
    </row>
    <row r="28" spans="1:2" x14ac:dyDescent="0.25">
      <c r="A28" t="s">
        <v>66</v>
      </c>
      <c r="B28" s="21" t="s">
        <v>87</v>
      </c>
    </row>
    <row r="29" spans="1:2" x14ac:dyDescent="0.25">
      <c r="A29" t="s">
        <v>67</v>
      </c>
      <c r="B29" s="21" t="s">
        <v>88</v>
      </c>
    </row>
    <row r="30" spans="1:2" x14ac:dyDescent="0.25">
      <c r="A30" t="s">
        <v>68</v>
      </c>
      <c r="B30" s="21" t="s">
        <v>89</v>
      </c>
    </row>
    <row r="31" spans="1:2" x14ac:dyDescent="0.25">
      <c r="A31" t="s">
        <v>69</v>
      </c>
      <c r="B31" s="21" t="s">
        <v>90</v>
      </c>
    </row>
    <row r="32" spans="1:2" x14ac:dyDescent="0.25">
      <c r="A32" t="s">
        <v>70</v>
      </c>
      <c r="B32" s="21" t="s">
        <v>91</v>
      </c>
    </row>
    <row r="33" spans="1:2" x14ac:dyDescent="0.25">
      <c r="A33" t="s">
        <v>117</v>
      </c>
      <c r="B33" s="21" t="s">
        <v>92</v>
      </c>
    </row>
    <row r="34" spans="1:2" x14ac:dyDescent="0.25">
      <c r="A34" t="s">
        <v>39</v>
      </c>
      <c r="B34" s="21" t="s">
        <v>130</v>
      </c>
    </row>
  </sheetData>
  <sheetProtection algorithmName="SHA-512" hashValue="bXVhcjYnW3gwHROwKu+y2c+8vYGizw1ab3DbKVzFZNi+9xo39I/0LX43ULouVxQdUkber2ZTvBknZtPvM3J5Tg==" saltValue="1eajnt0HJJuFtKYTGLV4rg==" spinCount="100000" sheet="1" formatCells="0" formatColumns="0" formatRows="0" insertColumns="0" insertRows="0" insertHyperlinks="0" deleteColumns="0" deleteRows="0" sort="0" autoFilter="0" pivotTables="0"/>
  <phoneticPr fontId="14" type="noConversion"/>
  <dataValidations count="1">
    <dataValidation type="list" allowBlank="1" showInputMessage="1" showErrorMessage="1" sqref="F15" xr:uid="{465CEC08-1E5F-444D-8647-98AFB6673940}">
      <formula1>INDIRECT("Таблица1[Наименование]")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1D7D02-FD48-4A7F-8912-13FE6D378E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720</vt:i4>
      </vt:variant>
    </vt:vector>
  </HeadingPairs>
  <TitlesOfParts>
    <vt:vector size="734" baseType="lpstr">
      <vt:lpstr>Журнал входного контроля</vt:lpstr>
      <vt:lpstr>Мастика 2020</vt:lpstr>
      <vt:lpstr>ПВХ 2020</vt:lpstr>
      <vt:lpstr>ПВХ липкая 2020</vt:lpstr>
      <vt:lpstr>Коробки 2020</vt:lpstr>
      <vt:lpstr>Пакеты 2020</vt:lpstr>
      <vt:lpstr>Полилен 2020</vt:lpstr>
      <vt:lpstr>Политерм 2020</vt:lpstr>
      <vt:lpstr>Праймер и грунтовка 2020</vt:lpstr>
      <vt:lpstr>Шпули 2020</vt:lpstr>
      <vt:lpstr>Материал антиадгезионный 2020</vt:lpstr>
      <vt:lpstr>Шаблон (кг.)</vt:lpstr>
      <vt:lpstr>Шаблон (шт.)</vt:lpstr>
      <vt:lpstr>База данных</vt:lpstr>
      <vt:lpstr>'Коробки 2020'!авг_кол</vt:lpstr>
      <vt:lpstr>'Мастика 2020'!авг_кол</vt:lpstr>
      <vt:lpstr>'Материал антиадгезионный 2020'!авг_кол</vt:lpstr>
      <vt:lpstr>'Пакеты 2020'!авг_кол</vt:lpstr>
      <vt:lpstr>'ПВХ 2020'!авг_кол</vt:lpstr>
      <vt:lpstr>'ПВХ липкая 2020'!авг_кол</vt:lpstr>
      <vt:lpstr>'Полилен 2020'!авг_кол</vt:lpstr>
      <vt:lpstr>'Политерм 2020'!авг_кол</vt:lpstr>
      <vt:lpstr>'Праймер и грунтовка 2020'!авг_кол</vt:lpstr>
      <vt:lpstr>'Шаблон (шт.)'!авг_кол</vt:lpstr>
      <vt:lpstr>'Шпули 2020'!авг_кол</vt:lpstr>
      <vt:lpstr>авг_кол</vt:lpstr>
      <vt:lpstr>'Коробки 2020'!авг_пр</vt:lpstr>
      <vt:lpstr>'Мастика 2020'!авг_пр</vt:lpstr>
      <vt:lpstr>'Материал антиадгезионный 2020'!авг_пр</vt:lpstr>
      <vt:lpstr>'Пакеты 2020'!авг_пр</vt:lpstr>
      <vt:lpstr>'ПВХ 2020'!авг_пр</vt:lpstr>
      <vt:lpstr>'ПВХ липкая 2020'!авг_пр</vt:lpstr>
      <vt:lpstr>'Полилен 2020'!авг_пр</vt:lpstr>
      <vt:lpstr>'Политерм 2020'!авг_пр</vt:lpstr>
      <vt:lpstr>'Праймер и грунтовка 2020'!авг_пр</vt:lpstr>
      <vt:lpstr>'Шаблон (шт.)'!авг_пр</vt:lpstr>
      <vt:lpstr>'Шпули 2020'!авг_пр</vt:lpstr>
      <vt:lpstr>авг_пр</vt:lpstr>
      <vt:lpstr>'Коробки 2020'!акт_вх_авг</vt:lpstr>
      <vt:lpstr>'Мастика 2020'!акт_вх_авг</vt:lpstr>
      <vt:lpstr>'Материал антиадгезионный 2020'!акт_вх_авг</vt:lpstr>
      <vt:lpstr>'Пакеты 2020'!акт_вх_авг</vt:lpstr>
      <vt:lpstr>'ПВХ 2020'!акт_вх_авг</vt:lpstr>
      <vt:lpstr>'ПВХ липкая 2020'!акт_вх_авг</vt:lpstr>
      <vt:lpstr>'Полилен 2020'!акт_вх_авг</vt:lpstr>
      <vt:lpstr>'Политерм 2020'!акт_вх_авг</vt:lpstr>
      <vt:lpstr>'Праймер и грунтовка 2020'!акт_вх_авг</vt:lpstr>
      <vt:lpstr>'Шаблон (шт.)'!акт_вх_авг</vt:lpstr>
      <vt:lpstr>'Шпули 2020'!акт_вх_авг</vt:lpstr>
      <vt:lpstr>акт_вх_авг</vt:lpstr>
      <vt:lpstr>'Коробки 2020'!акт_вх_апр</vt:lpstr>
      <vt:lpstr>'Мастика 2020'!акт_вх_апр</vt:lpstr>
      <vt:lpstr>'Материал антиадгезионный 2020'!акт_вх_апр</vt:lpstr>
      <vt:lpstr>'Пакеты 2020'!акт_вх_апр</vt:lpstr>
      <vt:lpstr>'ПВХ 2020'!акт_вх_апр</vt:lpstr>
      <vt:lpstr>'ПВХ липкая 2020'!акт_вх_апр</vt:lpstr>
      <vt:lpstr>'Полилен 2020'!акт_вх_апр</vt:lpstr>
      <vt:lpstr>'Политерм 2020'!акт_вх_апр</vt:lpstr>
      <vt:lpstr>'Праймер и грунтовка 2020'!акт_вх_апр</vt:lpstr>
      <vt:lpstr>'Шаблон (шт.)'!акт_вх_апр</vt:lpstr>
      <vt:lpstr>'Шпули 2020'!акт_вх_апр</vt:lpstr>
      <vt:lpstr>акт_вх_апр</vt:lpstr>
      <vt:lpstr>'Коробки 2020'!акт_вх_дкб</vt:lpstr>
      <vt:lpstr>'Мастика 2020'!акт_вх_дкб</vt:lpstr>
      <vt:lpstr>'Материал антиадгезионный 2020'!акт_вх_дкб</vt:lpstr>
      <vt:lpstr>'Пакеты 2020'!акт_вх_дкб</vt:lpstr>
      <vt:lpstr>'ПВХ 2020'!акт_вх_дкб</vt:lpstr>
      <vt:lpstr>'ПВХ липкая 2020'!акт_вх_дкб</vt:lpstr>
      <vt:lpstr>'Полилен 2020'!акт_вх_дкб</vt:lpstr>
      <vt:lpstr>'Политерм 2020'!акт_вх_дкб</vt:lpstr>
      <vt:lpstr>'Праймер и грунтовка 2020'!акт_вх_дкб</vt:lpstr>
      <vt:lpstr>'Шаблон (шт.)'!акт_вх_дкб</vt:lpstr>
      <vt:lpstr>'Шпули 2020'!акт_вх_дкб</vt:lpstr>
      <vt:lpstr>акт_вх_дкб</vt:lpstr>
      <vt:lpstr>'Коробки 2020'!акт_вх_июл</vt:lpstr>
      <vt:lpstr>'Мастика 2020'!акт_вх_июл</vt:lpstr>
      <vt:lpstr>'Материал антиадгезионный 2020'!акт_вх_июл</vt:lpstr>
      <vt:lpstr>'Пакеты 2020'!акт_вх_июл</vt:lpstr>
      <vt:lpstr>'ПВХ 2020'!акт_вх_июл</vt:lpstr>
      <vt:lpstr>'ПВХ липкая 2020'!акт_вх_июл</vt:lpstr>
      <vt:lpstr>'Полилен 2020'!акт_вх_июл</vt:lpstr>
      <vt:lpstr>'Политерм 2020'!акт_вх_июл</vt:lpstr>
      <vt:lpstr>'Праймер и грунтовка 2020'!акт_вх_июл</vt:lpstr>
      <vt:lpstr>'Шаблон (шт.)'!акт_вх_июл</vt:lpstr>
      <vt:lpstr>'Шпули 2020'!акт_вх_июл</vt:lpstr>
      <vt:lpstr>акт_вх_июл</vt:lpstr>
      <vt:lpstr>'Коробки 2020'!акт_вх_июн</vt:lpstr>
      <vt:lpstr>'Мастика 2020'!акт_вх_июн</vt:lpstr>
      <vt:lpstr>'Материал антиадгезионный 2020'!акт_вх_июн</vt:lpstr>
      <vt:lpstr>'Пакеты 2020'!акт_вх_июн</vt:lpstr>
      <vt:lpstr>'ПВХ 2020'!акт_вх_июн</vt:lpstr>
      <vt:lpstr>'ПВХ липкая 2020'!акт_вх_июн</vt:lpstr>
      <vt:lpstr>'Полилен 2020'!акт_вх_июн</vt:lpstr>
      <vt:lpstr>'Политерм 2020'!акт_вх_июн</vt:lpstr>
      <vt:lpstr>'Праймер и грунтовка 2020'!акт_вх_июн</vt:lpstr>
      <vt:lpstr>'Шаблон (шт.)'!акт_вх_июн</vt:lpstr>
      <vt:lpstr>'Шпули 2020'!акт_вх_июн</vt:lpstr>
      <vt:lpstr>акт_вх_июн</vt:lpstr>
      <vt:lpstr>'Коробки 2020'!акт_вх_май</vt:lpstr>
      <vt:lpstr>'Мастика 2020'!акт_вх_май</vt:lpstr>
      <vt:lpstr>'Материал антиадгезионный 2020'!акт_вх_май</vt:lpstr>
      <vt:lpstr>'Пакеты 2020'!акт_вх_май</vt:lpstr>
      <vt:lpstr>'ПВХ 2020'!акт_вх_май</vt:lpstr>
      <vt:lpstr>'ПВХ липкая 2020'!акт_вх_май</vt:lpstr>
      <vt:lpstr>'Полилен 2020'!акт_вх_май</vt:lpstr>
      <vt:lpstr>'Политерм 2020'!акт_вх_май</vt:lpstr>
      <vt:lpstr>'Праймер и грунтовка 2020'!акт_вх_май</vt:lpstr>
      <vt:lpstr>'Шаблон (шт.)'!акт_вх_май</vt:lpstr>
      <vt:lpstr>'Шпули 2020'!акт_вх_май</vt:lpstr>
      <vt:lpstr>акт_вх_май</vt:lpstr>
      <vt:lpstr>'Коробки 2020'!акт_вх_мрт</vt:lpstr>
      <vt:lpstr>'Мастика 2020'!акт_вх_мрт</vt:lpstr>
      <vt:lpstr>'Материал антиадгезионный 2020'!акт_вх_мрт</vt:lpstr>
      <vt:lpstr>'Пакеты 2020'!акт_вх_мрт</vt:lpstr>
      <vt:lpstr>'ПВХ 2020'!акт_вх_мрт</vt:lpstr>
      <vt:lpstr>'ПВХ липкая 2020'!акт_вх_мрт</vt:lpstr>
      <vt:lpstr>'Полилен 2020'!акт_вх_мрт</vt:lpstr>
      <vt:lpstr>'Политерм 2020'!акт_вх_мрт</vt:lpstr>
      <vt:lpstr>'Праймер и грунтовка 2020'!акт_вх_мрт</vt:lpstr>
      <vt:lpstr>'Шаблон (шт.)'!акт_вх_мрт</vt:lpstr>
      <vt:lpstr>'Шпули 2020'!акт_вх_мрт</vt:lpstr>
      <vt:lpstr>акт_вх_мрт</vt:lpstr>
      <vt:lpstr>'Коробки 2020'!акт_вх_нбр</vt:lpstr>
      <vt:lpstr>'Мастика 2020'!акт_вх_нбр</vt:lpstr>
      <vt:lpstr>'Материал антиадгезионный 2020'!акт_вх_нбр</vt:lpstr>
      <vt:lpstr>'Пакеты 2020'!акт_вх_нбр</vt:lpstr>
      <vt:lpstr>'ПВХ 2020'!акт_вх_нбр</vt:lpstr>
      <vt:lpstr>'ПВХ липкая 2020'!акт_вх_нбр</vt:lpstr>
      <vt:lpstr>'Полилен 2020'!акт_вх_нбр</vt:lpstr>
      <vt:lpstr>'Политерм 2020'!акт_вх_нбр</vt:lpstr>
      <vt:lpstr>'Праймер и грунтовка 2020'!акт_вх_нбр</vt:lpstr>
      <vt:lpstr>'Шаблон (шт.)'!акт_вх_нбр</vt:lpstr>
      <vt:lpstr>'Шпули 2020'!акт_вх_нбр</vt:lpstr>
      <vt:lpstr>акт_вх_нбр</vt:lpstr>
      <vt:lpstr>'Коробки 2020'!акт_вх_окт</vt:lpstr>
      <vt:lpstr>'Мастика 2020'!акт_вх_окт</vt:lpstr>
      <vt:lpstr>'Материал антиадгезионный 2020'!акт_вх_окт</vt:lpstr>
      <vt:lpstr>'Пакеты 2020'!акт_вх_окт</vt:lpstr>
      <vt:lpstr>'ПВХ 2020'!акт_вх_окт</vt:lpstr>
      <vt:lpstr>'ПВХ липкая 2020'!акт_вх_окт</vt:lpstr>
      <vt:lpstr>'Полилен 2020'!акт_вх_окт</vt:lpstr>
      <vt:lpstr>'Политерм 2020'!акт_вх_окт</vt:lpstr>
      <vt:lpstr>'Праймер и грунтовка 2020'!акт_вх_окт</vt:lpstr>
      <vt:lpstr>'Шаблон (шт.)'!акт_вх_окт</vt:lpstr>
      <vt:lpstr>'Шпули 2020'!акт_вх_окт</vt:lpstr>
      <vt:lpstr>акт_вх_окт</vt:lpstr>
      <vt:lpstr>'Коробки 2020'!акт_вх_снт</vt:lpstr>
      <vt:lpstr>'Мастика 2020'!акт_вх_снт</vt:lpstr>
      <vt:lpstr>'Материал антиадгезионный 2020'!акт_вх_снт</vt:lpstr>
      <vt:lpstr>'Пакеты 2020'!акт_вх_снт</vt:lpstr>
      <vt:lpstr>'ПВХ 2020'!акт_вх_снт</vt:lpstr>
      <vt:lpstr>'ПВХ липкая 2020'!акт_вх_снт</vt:lpstr>
      <vt:lpstr>'Полилен 2020'!акт_вх_снт</vt:lpstr>
      <vt:lpstr>'Политерм 2020'!акт_вх_снт</vt:lpstr>
      <vt:lpstr>'Праймер и грунтовка 2020'!акт_вх_снт</vt:lpstr>
      <vt:lpstr>'Шаблон (шт.)'!акт_вх_снт</vt:lpstr>
      <vt:lpstr>'Шпули 2020'!акт_вх_снт</vt:lpstr>
      <vt:lpstr>акт_вх_снт</vt:lpstr>
      <vt:lpstr>'Коробки 2020'!акт_вх_фев</vt:lpstr>
      <vt:lpstr>'Мастика 2020'!акт_вх_фев</vt:lpstr>
      <vt:lpstr>'Материал антиадгезионный 2020'!акт_вх_фев</vt:lpstr>
      <vt:lpstr>'Пакеты 2020'!акт_вх_фев</vt:lpstr>
      <vt:lpstr>'ПВХ 2020'!акт_вх_фев</vt:lpstr>
      <vt:lpstr>'ПВХ липкая 2020'!акт_вх_фев</vt:lpstr>
      <vt:lpstr>'Полилен 2020'!акт_вх_фев</vt:lpstr>
      <vt:lpstr>'Политерм 2020'!акт_вх_фев</vt:lpstr>
      <vt:lpstr>'Праймер и грунтовка 2020'!акт_вх_фев</vt:lpstr>
      <vt:lpstr>'Шаблон (шт.)'!акт_вх_фев</vt:lpstr>
      <vt:lpstr>'Шпули 2020'!акт_вх_фев</vt:lpstr>
      <vt:lpstr>акт_вх_фев</vt:lpstr>
      <vt:lpstr>'Коробки 2020'!акт_вх_янв</vt:lpstr>
      <vt:lpstr>'Мастика 2020'!акт_вх_янв</vt:lpstr>
      <vt:lpstr>'Материал антиадгезионный 2020'!акт_вх_янв</vt:lpstr>
      <vt:lpstr>'Пакеты 2020'!акт_вх_янв</vt:lpstr>
      <vt:lpstr>'ПВХ 2020'!акт_вх_янв</vt:lpstr>
      <vt:lpstr>'ПВХ липкая 2020'!акт_вх_янв</vt:lpstr>
      <vt:lpstr>'Полилен 2020'!акт_вх_янв</vt:lpstr>
      <vt:lpstr>'Политерм 2020'!акт_вх_янв</vt:lpstr>
      <vt:lpstr>'Праймер и грунтовка 2020'!акт_вх_янв</vt:lpstr>
      <vt:lpstr>'Шаблон (шт.)'!акт_вх_янв</vt:lpstr>
      <vt:lpstr>'Шпули 2020'!акт_вх_янв</vt:lpstr>
      <vt:lpstr>акт_вх_янв</vt:lpstr>
      <vt:lpstr>'Коробки 2020'!акт_отб_авг</vt:lpstr>
      <vt:lpstr>'Мастика 2020'!акт_отб_авг</vt:lpstr>
      <vt:lpstr>'Материал антиадгезионный 2020'!акт_отб_авг</vt:lpstr>
      <vt:lpstr>'Пакеты 2020'!акт_отб_авг</vt:lpstr>
      <vt:lpstr>'ПВХ 2020'!акт_отб_авг</vt:lpstr>
      <vt:lpstr>'ПВХ липкая 2020'!акт_отб_авг</vt:lpstr>
      <vt:lpstr>'Полилен 2020'!акт_отб_авг</vt:lpstr>
      <vt:lpstr>'Политерм 2020'!акт_отб_авг</vt:lpstr>
      <vt:lpstr>'Праймер и грунтовка 2020'!акт_отб_авг</vt:lpstr>
      <vt:lpstr>'Шаблон (шт.)'!акт_отб_авг</vt:lpstr>
      <vt:lpstr>'Шпули 2020'!акт_отб_авг</vt:lpstr>
      <vt:lpstr>акт_отб_авг</vt:lpstr>
      <vt:lpstr>'Коробки 2020'!акт_отб_апр</vt:lpstr>
      <vt:lpstr>'Мастика 2020'!акт_отб_апр</vt:lpstr>
      <vt:lpstr>'Материал антиадгезионный 2020'!акт_отб_апр</vt:lpstr>
      <vt:lpstr>'Пакеты 2020'!акт_отб_апр</vt:lpstr>
      <vt:lpstr>'ПВХ 2020'!акт_отб_апр</vt:lpstr>
      <vt:lpstr>'ПВХ липкая 2020'!акт_отб_апр</vt:lpstr>
      <vt:lpstr>'Полилен 2020'!акт_отб_апр</vt:lpstr>
      <vt:lpstr>'Политерм 2020'!акт_отб_апр</vt:lpstr>
      <vt:lpstr>'Праймер и грунтовка 2020'!акт_отб_апр</vt:lpstr>
      <vt:lpstr>'Шаблон (шт.)'!акт_отб_апр</vt:lpstr>
      <vt:lpstr>'Шпули 2020'!акт_отб_апр</vt:lpstr>
      <vt:lpstr>акт_отб_апр</vt:lpstr>
      <vt:lpstr>'Коробки 2020'!акт_отб_дкб</vt:lpstr>
      <vt:lpstr>'Мастика 2020'!акт_отб_дкб</vt:lpstr>
      <vt:lpstr>'Материал антиадгезионный 2020'!акт_отб_дкб</vt:lpstr>
      <vt:lpstr>'Пакеты 2020'!акт_отб_дкб</vt:lpstr>
      <vt:lpstr>'ПВХ 2020'!акт_отб_дкб</vt:lpstr>
      <vt:lpstr>'ПВХ липкая 2020'!акт_отб_дкб</vt:lpstr>
      <vt:lpstr>'Полилен 2020'!акт_отб_дкб</vt:lpstr>
      <vt:lpstr>'Политерм 2020'!акт_отб_дкб</vt:lpstr>
      <vt:lpstr>'Праймер и грунтовка 2020'!акт_отб_дкб</vt:lpstr>
      <vt:lpstr>'Шаблон (шт.)'!акт_отб_дкб</vt:lpstr>
      <vt:lpstr>'Шпули 2020'!акт_отб_дкб</vt:lpstr>
      <vt:lpstr>акт_отб_дкб</vt:lpstr>
      <vt:lpstr>'Коробки 2020'!акт_отб_июл</vt:lpstr>
      <vt:lpstr>'Мастика 2020'!акт_отб_июл</vt:lpstr>
      <vt:lpstr>'Материал антиадгезионный 2020'!акт_отб_июл</vt:lpstr>
      <vt:lpstr>'Пакеты 2020'!акт_отб_июл</vt:lpstr>
      <vt:lpstr>'ПВХ 2020'!акт_отб_июл</vt:lpstr>
      <vt:lpstr>'ПВХ липкая 2020'!акт_отб_июл</vt:lpstr>
      <vt:lpstr>'Полилен 2020'!акт_отб_июл</vt:lpstr>
      <vt:lpstr>'Политерм 2020'!акт_отб_июл</vt:lpstr>
      <vt:lpstr>'Праймер и грунтовка 2020'!акт_отб_июл</vt:lpstr>
      <vt:lpstr>'Шаблон (шт.)'!акт_отб_июл</vt:lpstr>
      <vt:lpstr>'Шпули 2020'!акт_отб_июл</vt:lpstr>
      <vt:lpstr>акт_отб_июл</vt:lpstr>
      <vt:lpstr>'Коробки 2020'!акт_отб_июн</vt:lpstr>
      <vt:lpstr>'Мастика 2020'!акт_отб_июн</vt:lpstr>
      <vt:lpstr>'Материал антиадгезионный 2020'!акт_отб_июн</vt:lpstr>
      <vt:lpstr>'Пакеты 2020'!акт_отб_июн</vt:lpstr>
      <vt:lpstr>'ПВХ 2020'!акт_отб_июн</vt:lpstr>
      <vt:lpstr>'ПВХ липкая 2020'!акт_отб_июн</vt:lpstr>
      <vt:lpstr>'Полилен 2020'!акт_отб_июн</vt:lpstr>
      <vt:lpstr>'Политерм 2020'!акт_отб_июн</vt:lpstr>
      <vt:lpstr>'Праймер и грунтовка 2020'!акт_отб_июн</vt:lpstr>
      <vt:lpstr>'Шаблон (шт.)'!акт_отб_июн</vt:lpstr>
      <vt:lpstr>'Шпули 2020'!акт_отб_июн</vt:lpstr>
      <vt:lpstr>акт_отб_июн</vt:lpstr>
      <vt:lpstr>'Коробки 2020'!акт_отб_май</vt:lpstr>
      <vt:lpstr>'Мастика 2020'!акт_отб_май</vt:lpstr>
      <vt:lpstr>'Материал антиадгезионный 2020'!акт_отб_май</vt:lpstr>
      <vt:lpstr>'Пакеты 2020'!акт_отб_май</vt:lpstr>
      <vt:lpstr>'ПВХ 2020'!акт_отб_май</vt:lpstr>
      <vt:lpstr>'ПВХ липкая 2020'!акт_отб_май</vt:lpstr>
      <vt:lpstr>'Полилен 2020'!акт_отб_май</vt:lpstr>
      <vt:lpstr>'Политерм 2020'!акт_отб_май</vt:lpstr>
      <vt:lpstr>'Праймер и грунтовка 2020'!акт_отб_май</vt:lpstr>
      <vt:lpstr>'Шаблон (шт.)'!акт_отб_май</vt:lpstr>
      <vt:lpstr>'Шпули 2020'!акт_отб_май</vt:lpstr>
      <vt:lpstr>акт_отб_май</vt:lpstr>
      <vt:lpstr>'Коробки 2020'!акт_отб_мрт</vt:lpstr>
      <vt:lpstr>'Мастика 2020'!акт_отб_мрт</vt:lpstr>
      <vt:lpstr>'Материал антиадгезионный 2020'!акт_отб_мрт</vt:lpstr>
      <vt:lpstr>'Пакеты 2020'!акт_отб_мрт</vt:lpstr>
      <vt:lpstr>'ПВХ 2020'!акт_отб_мрт</vt:lpstr>
      <vt:lpstr>'ПВХ липкая 2020'!акт_отб_мрт</vt:lpstr>
      <vt:lpstr>'Полилен 2020'!акт_отб_мрт</vt:lpstr>
      <vt:lpstr>'Политерм 2020'!акт_отб_мрт</vt:lpstr>
      <vt:lpstr>'Праймер и грунтовка 2020'!акт_отб_мрт</vt:lpstr>
      <vt:lpstr>'Шаблон (шт.)'!акт_отб_мрт</vt:lpstr>
      <vt:lpstr>'Шпули 2020'!акт_отб_мрт</vt:lpstr>
      <vt:lpstr>акт_отб_мрт</vt:lpstr>
      <vt:lpstr>'Коробки 2020'!акт_отб_нбр</vt:lpstr>
      <vt:lpstr>'Мастика 2020'!акт_отб_нбр</vt:lpstr>
      <vt:lpstr>'Материал антиадгезионный 2020'!акт_отб_нбр</vt:lpstr>
      <vt:lpstr>'Пакеты 2020'!акт_отб_нбр</vt:lpstr>
      <vt:lpstr>'ПВХ 2020'!акт_отб_нбр</vt:lpstr>
      <vt:lpstr>'ПВХ липкая 2020'!акт_отб_нбр</vt:lpstr>
      <vt:lpstr>'Полилен 2020'!акт_отб_нбр</vt:lpstr>
      <vt:lpstr>'Политерм 2020'!акт_отб_нбр</vt:lpstr>
      <vt:lpstr>'Праймер и грунтовка 2020'!акт_отб_нбр</vt:lpstr>
      <vt:lpstr>'Шаблон (шт.)'!акт_отб_нбр</vt:lpstr>
      <vt:lpstr>'Шпули 2020'!акт_отб_нбр</vt:lpstr>
      <vt:lpstr>акт_отб_нбр</vt:lpstr>
      <vt:lpstr>'Коробки 2020'!акт_отб_окт</vt:lpstr>
      <vt:lpstr>'Мастика 2020'!акт_отб_окт</vt:lpstr>
      <vt:lpstr>'Материал антиадгезионный 2020'!акт_отб_окт</vt:lpstr>
      <vt:lpstr>'Пакеты 2020'!акт_отб_окт</vt:lpstr>
      <vt:lpstr>'ПВХ 2020'!акт_отб_окт</vt:lpstr>
      <vt:lpstr>'ПВХ липкая 2020'!акт_отб_окт</vt:lpstr>
      <vt:lpstr>'Полилен 2020'!акт_отб_окт</vt:lpstr>
      <vt:lpstr>'Политерм 2020'!акт_отб_окт</vt:lpstr>
      <vt:lpstr>'Праймер и грунтовка 2020'!акт_отб_окт</vt:lpstr>
      <vt:lpstr>'Шаблон (шт.)'!акт_отб_окт</vt:lpstr>
      <vt:lpstr>'Шпули 2020'!акт_отб_окт</vt:lpstr>
      <vt:lpstr>акт_отб_окт</vt:lpstr>
      <vt:lpstr>'Коробки 2020'!акт_отб_снт</vt:lpstr>
      <vt:lpstr>'Мастика 2020'!акт_отб_снт</vt:lpstr>
      <vt:lpstr>'Материал антиадгезионный 2020'!акт_отб_снт</vt:lpstr>
      <vt:lpstr>'Пакеты 2020'!акт_отб_снт</vt:lpstr>
      <vt:lpstr>'ПВХ 2020'!акт_отб_снт</vt:lpstr>
      <vt:lpstr>'ПВХ липкая 2020'!акт_отб_снт</vt:lpstr>
      <vt:lpstr>'Полилен 2020'!акт_отб_снт</vt:lpstr>
      <vt:lpstr>'Политерм 2020'!акт_отб_снт</vt:lpstr>
      <vt:lpstr>'Праймер и грунтовка 2020'!акт_отб_снт</vt:lpstr>
      <vt:lpstr>'Шаблон (шт.)'!акт_отб_снт</vt:lpstr>
      <vt:lpstr>'Шпули 2020'!акт_отб_снт</vt:lpstr>
      <vt:lpstr>акт_отб_снт</vt:lpstr>
      <vt:lpstr>'Коробки 2020'!акт_отб_фев</vt:lpstr>
      <vt:lpstr>'Мастика 2020'!акт_отб_фев</vt:lpstr>
      <vt:lpstr>'Материал антиадгезионный 2020'!акт_отб_фев</vt:lpstr>
      <vt:lpstr>'Пакеты 2020'!акт_отб_фев</vt:lpstr>
      <vt:lpstr>'ПВХ 2020'!акт_отб_фев</vt:lpstr>
      <vt:lpstr>'ПВХ липкая 2020'!акт_отб_фев</vt:lpstr>
      <vt:lpstr>'Полилен 2020'!акт_отб_фев</vt:lpstr>
      <vt:lpstr>'Политерм 2020'!акт_отб_фев</vt:lpstr>
      <vt:lpstr>'Праймер и грунтовка 2020'!акт_отб_фев</vt:lpstr>
      <vt:lpstr>'Шаблон (шт.)'!акт_отб_фев</vt:lpstr>
      <vt:lpstr>'Шпули 2020'!акт_отб_фев</vt:lpstr>
      <vt:lpstr>акт_отб_фев</vt:lpstr>
      <vt:lpstr>'Коробки 2020'!акт_отб_янв</vt:lpstr>
      <vt:lpstr>'Мастика 2020'!акт_отб_янв</vt:lpstr>
      <vt:lpstr>'Материал антиадгезионный 2020'!акт_отб_янв</vt:lpstr>
      <vt:lpstr>'Пакеты 2020'!акт_отб_янв</vt:lpstr>
      <vt:lpstr>'ПВХ 2020'!акт_отб_янв</vt:lpstr>
      <vt:lpstr>'ПВХ липкая 2020'!акт_отб_янв</vt:lpstr>
      <vt:lpstr>'Полилен 2020'!акт_отб_янв</vt:lpstr>
      <vt:lpstr>'Политерм 2020'!акт_отб_янв</vt:lpstr>
      <vt:lpstr>'Праймер и грунтовка 2020'!акт_отб_янв</vt:lpstr>
      <vt:lpstr>'Шаблон (шт.)'!акт_отб_янв</vt:lpstr>
      <vt:lpstr>'Шпули 2020'!акт_отб_янв</vt:lpstr>
      <vt:lpstr>акт_отб_янв</vt:lpstr>
      <vt:lpstr>'Коробки 2020'!апр_кол</vt:lpstr>
      <vt:lpstr>'Мастика 2020'!апр_кол</vt:lpstr>
      <vt:lpstr>'Материал антиадгезионный 2020'!апр_кол</vt:lpstr>
      <vt:lpstr>'Пакеты 2020'!апр_кол</vt:lpstr>
      <vt:lpstr>'ПВХ 2020'!апр_кол</vt:lpstr>
      <vt:lpstr>'ПВХ липкая 2020'!апр_кол</vt:lpstr>
      <vt:lpstr>'Полилен 2020'!апр_кол</vt:lpstr>
      <vt:lpstr>'Политерм 2020'!апр_кол</vt:lpstr>
      <vt:lpstr>'Праймер и грунтовка 2020'!апр_кол</vt:lpstr>
      <vt:lpstr>'Шаблон (шт.)'!апр_кол</vt:lpstr>
      <vt:lpstr>'Шпули 2020'!апр_кол</vt:lpstr>
      <vt:lpstr>апр_кол</vt:lpstr>
      <vt:lpstr>'Коробки 2020'!апр_пр</vt:lpstr>
      <vt:lpstr>'Мастика 2020'!апр_пр</vt:lpstr>
      <vt:lpstr>'Материал антиадгезионный 2020'!апр_пр</vt:lpstr>
      <vt:lpstr>'Пакеты 2020'!апр_пр</vt:lpstr>
      <vt:lpstr>'ПВХ 2020'!апр_пр</vt:lpstr>
      <vt:lpstr>'ПВХ липкая 2020'!апр_пр</vt:lpstr>
      <vt:lpstr>'Полилен 2020'!апр_пр</vt:lpstr>
      <vt:lpstr>'Политерм 2020'!апр_пр</vt:lpstr>
      <vt:lpstr>'Праймер и грунтовка 2020'!апр_пр</vt:lpstr>
      <vt:lpstr>'Шаблон (шт.)'!апр_пр</vt:lpstr>
      <vt:lpstr>'Шпули 2020'!апр_пр</vt:lpstr>
      <vt:lpstr>апр_пр</vt:lpstr>
      <vt:lpstr>'Коробки 2020'!дкб_кол</vt:lpstr>
      <vt:lpstr>'Мастика 2020'!дкб_кол</vt:lpstr>
      <vt:lpstr>'Материал антиадгезионный 2020'!дкб_кол</vt:lpstr>
      <vt:lpstr>'Пакеты 2020'!дкб_кол</vt:lpstr>
      <vt:lpstr>'ПВХ 2020'!дкб_кол</vt:lpstr>
      <vt:lpstr>'ПВХ липкая 2020'!дкб_кол</vt:lpstr>
      <vt:lpstr>'Полилен 2020'!дкб_кол</vt:lpstr>
      <vt:lpstr>'Политерм 2020'!дкб_кол</vt:lpstr>
      <vt:lpstr>'Праймер и грунтовка 2020'!дкб_кол</vt:lpstr>
      <vt:lpstr>'Шаблон (шт.)'!дкб_кол</vt:lpstr>
      <vt:lpstr>'Шпули 2020'!дкб_кол</vt:lpstr>
      <vt:lpstr>дкб_кол</vt:lpstr>
      <vt:lpstr>'Коробки 2020'!дкб_пр</vt:lpstr>
      <vt:lpstr>'Мастика 2020'!дкб_пр</vt:lpstr>
      <vt:lpstr>'Материал антиадгезионный 2020'!дкб_пр</vt:lpstr>
      <vt:lpstr>'Пакеты 2020'!дкб_пр</vt:lpstr>
      <vt:lpstr>'ПВХ 2020'!дкб_пр</vt:lpstr>
      <vt:lpstr>'ПВХ липкая 2020'!дкб_пр</vt:lpstr>
      <vt:lpstr>'Полилен 2020'!дкб_пр</vt:lpstr>
      <vt:lpstr>'Политерм 2020'!дкб_пр</vt:lpstr>
      <vt:lpstr>'Праймер и грунтовка 2020'!дкб_пр</vt:lpstr>
      <vt:lpstr>'Шаблон (шт.)'!дкб_пр</vt:lpstr>
      <vt:lpstr>'Шпули 2020'!дкб_пр</vt:lpstr>
      <vt:lpstr>дкб_пр</vt:lpstr>
      <vt:lpstr>'Коробки 2020'!июл_кол</vt:lpstr>
      <vt:lpstr>'Мастика 2020'!июл_кол</vt:lpstr>
      <vt:lpstr>'Материал антиадгезионный 2020'!июл_кол</vt:lpstr>
      <vt:lpstr>'Пакеты 2020'!июл_кол</vt:lpstr>
      <vt:lpstr>'ПВХ 2020'!июл_кол</vt:lpstr>
      <vt:lpstr>'ПВХ липкая 2020'!июл_кол</vt:lpstr>
      <vt:lpstr>'Полилен 2020'!июл_кол</vt:lpstr>
      <vt:lpstr>'Политерм 2020'!июл_кол</vt:lpstr>
      <vt:lpstr>'Праймер и грунтовка 2020'!июл_кол</vt:lpstr>
      <vt:lpstr>'Шаблон (шт.)'!июл_кол</vt:lpstr>
      <vt:lpstr>'Шпули 2020'!июл_кол</vt:lpstr>
      <vt:lpstr>июл_кол</vt:lpstr>
      <vt:lpstr>'Коробки 2020'!июл_пр</vt:lpstr>
      <vt:lpstr>'Мастика 2020'!июл_пр</vt:lpstr>
      <vt:lpstr>'Материал антиадгезионный 2020'!июл_пр</vt:lpstr>
      <vt:lpstr>'Пакеты 2020'!июл_пр</vt:lpstr>
      <vt:lpstr>'ПВХ 2020'!июл_пр</vt:lpstr>
      <vt:lpstr>'ПВХ липкая 2020'!июл_пр</vt:lpstr>
      <vt:lpstr>'Полилен 2020'!июл_пр</vt:lpstr>
      <vt:lpstr>'Политерм 2020'!июл_пр</vt:lpstr>
      <vt:lpstr>'Праймер и грунтовка 2020'!июл_пр</vt:lpstr>
      <vt:lpstr>'Шаблон (шт.)'!июл_пр</vt:lpstr>
      <vt:lpstr>'Шпули 2020'!июл_пр</vt:lpstr>
      <vt:lpstr>июл_пр</vt:lpstr>
      <vt:lpstr>'Коробки 2020'!июн_кол</vt:lpstr>
      <vt:lpstr>'Мастика 2020'!июн_кол</vt:lpstr>
      <vt:lpstr>'Материал антиадгезионный 2020'!июн_кол</vt:lpstr>
      <vt:lpstr>'Пакеты 2020'!июн_кол</vt:lpstr>
      <vt:lpstr>'ПВХ 2020'!июн_кол</vt:lpstr>
      <vt:lpstr>'ПВХ липкая 2020'!июн_кол</vt:lpstr>
      <vt:lpstr>'Полилен 2020'!июн_кол</vt:lpstr>
      <vt:lpstr>'Политерм 2020'!июн_кол</vt:lpstr>
      <vt:lpstr>'Праймер и грунтовка 2020'!июн_кол</vt:lpstr>
      <vt:lpstr>'Шаблон (шт.)'!июн_кол</vt:lpstr>
      <vt:lpstr>'Шпули 2020'!июн_кол</vt:lpstr>
      <vt:lpstr>июн_кол</vt:lpstr>
      <vt:lpstr>'Коробки 2020'!июн_пр</vt:lpstr>
      <vt:lpstr>'Мастика 2020'!июн_пр</vt:lpstr>
      <vt:lpstr>'Материал антиадгезионный 2020'!июн_пр</vt:lpstr>
      <vt:lpstr>'Пакеты 2020'!июн_пр</vt:lpstr>
      <vt:lpstr>'ПВХ 2020'!июн_пр</vt:lpstr>
      <vt:lpstr>'ПВХ липкая 2020'!июн_пр</vt:lpstr>
      <vt:lpstr>'Полилен 2020'!июн_пр</vt:lpstr>
      <vt:lpstr>'Политерм 2020'!июн_пр</vt:lpstr>
      <vt:lpstr>'Праймер и грунтовка 2020'!июн_пр</vt:lpstr>
      <vt:lpstr>'Шаблон (шт.)'!июн_пр</vt:lpstr>
      <vt:lpstr>'Шпули 2020'!июн_пр</vt:lpstr>
      <vt:lpstr>июн_пр</vt:lpstr>
      <vt:lpstr>'Коробки 2020'!кол_отб_авг</vt:lpstr>
      <vt:lpstr>'Мастика 2020'!кол_отб_авг</vt:lpstr>
      <vt:lpstr>'Материал антиадгезионный 2020'!кол_отб_авг</vt:lpstr>
      <vt:lpstr>'Пакеты 2020'!кол_отб_авг</vt:lpstr>
      <vt:lpstr>'ПВХ 2020'!кол_отб_авг</vt:lpstr>
      <vt:lpstr>'ПВХ липкая 2020'!кол_отб_авг</vt:lpstr>
      <vt:lpstr>'Полилен 2020'!кол_отб_авг</vt:lpstr>
      <vt:lpstr>'Политерм 2020'!кол_отб_авг</vt:lpstr>
      <vt:lpstr>'Праймер и грунтовка 2020'!кол_отб_авг</vt:lpstr>
      <vt:lpstr>'Шаблон (шт.)'!кол_отб_авг</vt:lpstr>
      <vt:lpstr>'Шпули 2020'!кол_отб_авг</vt:lpstr>
      <vt:lpstr>кол_отб_авг</vt:lpstr>
      <vt:lpstr>'Коробки 2020'!кол_отб_апр</vt:lpstr>
      <vt:lpstr>'Мастика 2020'!кол_отб_апр</vt:lpstr>
      <vt:lpstr>'Материал антиадгезионный 2020'!кол_отб_апр</vt:lpstr>
      <vt:lpstr>'Пакеты 2020'!кол_отб_апр</vt:lpstr>
      <vt:lpstr>'ПВХ 2020'!кол_отб_апр</vt:lpstr>
      <vt:lpstr>'ПВХ липкая 2020'!кол_отб_апр</vt:lpstr>
      <vt:lpstr>'Полилен 2020'!кол_отб_апр</vt:lpstr>
      <vt:lpstr>'Политерм 2020'!кол_отб_апр</vt:lpstr>
      <vt:lpstr>'Праймер и грунтовка 2020'!кол_отб_апр</vt:lpstr>
      <vt:lpstr>'Шаблон (шт.)'!кол_отб_апр</vt:lpstr>
      <vt:lpstr>'Шпули 2020'!кол_отб_апр</vt:lpstr>
      <vt:lpstr>кол_отб_апр</vt:lpstr>
      <vt:lpstr>'Коробки 2020'!кол_отб_дкб</vt:lpstr>
      <vt:lpstr>'Мастика 2020'!кол_отб_дкб</vt:lpstr>
      <vt:lpstr>'Материал антиадгезионный 2020'!кол_отб_дкб</vt:lpstr>
      <vt:lpstr>'Пакеты 2020'!кол_отб_дкб</vt:lpstr>
      <vt:lpstr>'ПВХ 2020'!кол_отб_дкб</vt:lpstr>
      <vt:lpstr>'ПВХ липкая 2020'!кол_отб_дкб</vt:lpstr>
      <vt:lpstr>'Полилен 2020'!кол_отб_дкб</vt:lpstr>
      <vt:lpstr>'Политерм 2020'!кол_отб_дкб</vt:lpstr>
      <vt:lpstr>'Праймер и грунтовка 2020'!кол_отб_дкб</vt:lpstr>
      <vt:lpstr>'Шаблон (шт.)'!кол_отб_дкб</vt:lpstr>
      <vt:lpstr>'Шпули 2020'!кол_отб_дкб</vt:lpstr>
      <vt:lpstr>кол_отб_дкб</vt:lpstr>
      <vt:lpstr>'Коробки 2020'!кол_отб_июл</vt:lpstr>
      <vt:lpstr>'Мастика 2020'!кол_отб_июл</vt:lpstr>
      <vt:lpstr>'Материал антиадгезионный 2020'!кол_отб_июл</vt:lpstr>
      <vt:lpstr>'Пакеты 2020'!кол_отб_июл</vt:lpstr>
      <vt:lpstr>'ПВХ 2020'!кол_отб_июл</vt:lpstr>
      <vt:lpstr>'ПВХ липкая 2020'!кол_отб_июл</vt:lpstr>
      <vt:lpstr>'Полилен 2020'!кол_отб_июл</vt:lpstr>
      <vt:lpstr>'Политерм 2020'!кол_отб_июл</vt:lpstr>
      <vt:lpstr>'Праймер и грунтовка 2020'!кол_отб_июл</vt:lpstr>
      <vt:lpstr>'Шаблон (шт.)'!кол_отб_июл</vt:lpstr>
      <vt:lpstr>'Шпули 2020'!кол_отб_июл</vt:lpstr>
      <vt:lpstr>кол_отб_июл</vt:lpstr>
      <vt:lpstr>'Коробки 2020'!кол_отб_июн</vt:lpstr>
      <vt:lpstr>'Мастика 2020'!кол_отб_июн</vt:lpstr>
      <vt:lpstr>'Материал антиадгезионный 2020'!кол_отб_июн</vt:lpstr>
      <vt:lpstr>'Пакеты 2020'!кол_отб_июн</vt:lpstr>
      <vt:lpstr>'ПВХ 2020'!кол_отб_июн</vt:lpstr>
      <vt:lpstr>'ПВХ липкая 2020'!кол_отб_июн</vt:lpstr>
      <vt:lpstr>'Полилен 2020'!кол_отб_июн</vt:lpstr>
      <vt:lpstr>'Политерм 2020'!кол_отб_июн</vt:lpstr>
      <vt:lpstr>'Праймер и грунтовка 2020'!кол_отб_июн</vt:lpstr>
      <vt:lpstr>'Шаблон (шт.)'!кол_отб_июн</vt:lpstr>
      <vt:lpstr>'Шпули 2020'!кол_отб_июн</vt:lpstr>
      <vt:lpstr>кол_отб_июн</vt:lpstr>
      <vt:lpstr>'Коробки 2020'!кол_отб_май</vt:lpstr>
      <vt:lpstr>'Мастика 2020'!кол_отб_май</vt:lpstr>
      <vt:lpstr>'Материал антиадгезионный 2020'!кол_отб_май</vt:lpstr>
      <vt:lpstr>'Пакеты 2020'!кол_отб_май</vt:lpstr>
      <vt:lpstr>'ПВХ 2020'!кол_отб_май</vt:lpstr>
      <vt:lpstr>'ПВХ липкая 2020'!кол_отб_май</vt:lpstr>
      <vt:lpstr>'Полилен 2020'!кол_отб_май</vt:lpstr>
      <vt:lpstr>'Политерм 2020'!кол_отб_май</vt:lpstr>
      <vt:lpstr>'Праймер и грунтовка 2020'!кол_отб_май</vt:lpstr>
      <vt:lpstr>'Шаблон (шт.)'!кол_отб_май</vt:lpstr>
      <vt:lpstr>'Шпули 2020'!кол_отб_май</vt:lpstr>
      <vt:lpstr>кол_отб_май</vt:lpstr>
      <vt:lpstr>'Коробки 2020'!кол_отб_мрт</vt:lpstr>
      <vt:lpstr>'Мастика 2020'!кол_отб_мрт</vt:lpstr>
      <vt:lpstr>'Материал антиадгезионный 2020'!кол_отб_мрт</vt:lpstr>
      <vt:lpstr>'Пакеты 2020'!кол_отб_мрт</vt:lpstr>
      <vt:lpstr>'ПВХ 2020'!кол_отб_мрт</vt:lpstr>
      <vt:lpstr>'ПВХ липкая 2020'!кол_отб_мрт</vt:lpstr>
      <vt:lpstr>'Полилен 2020'!кол_отб_мрт</vt:lpstr>
      <vt:lpstr>'Политерм 2020'!кол_отб_мрт</vt:lpstr>
      <vt:lpstr>'Праймер и грунтовка 2020'!кол_отб_мрт</vt:lpstr>
      <vt:lpstr>'Шаблон (шт.)'!кол_отб_мрт</vt:lpstr>
      <vt:lpstr>'Шпули 2020'!кол_отб_мрт</vt:lpstr>
      <vt:lpstr>кол_отб_мрт</vt:lpstr>
      <vt:lpstr>'Коробки 2020'!кол_отб_нбр</vt:lpstr>
      <vt:lpstr>'Мастика 2020'!кол_отб_нбр</vt:lpstr>
      <vt:lpstr>'Материал антиадгезионный 2020'!кол_отб_нбр</vt:lpstr>
      <vt:lpstr>'Пакеты 2020'!кол_отб_нбр</vt:lpstr>
      <vt:lpstr>'ПВХ 2020'!кол_отб_нбр</vt:lpstr>
      <vt:lpstr>'ПВХ липкая 2020'!кол_отб_нбр</vt:lpstr>
      <vt:lpstr>'Полилен 2020'!кол_отб_нбр</vt:lpstr>
      <vt:lpstr>'Политерм 2020'!кол_отб_нбр</vt:lpstr>
      <vt:lpstr>'Праймер и грунтовка 2020'!кол_отб_нбр</vt:lpstr>
      <vt:lpstr>'Шаблон (шт.)'!кол_отб_нбр</vt:lpstr>
      <vt:lpstr>'Шпули 2020'!кол_отб_нбр</vt:lpstr>
      <vt:lpstr>кол_отб_нбр</vt:lpstr>
      <vt:lpstr>'Коробки 2020'!кол_отб_окт</vt:lpstr>
      <vt:lpstr>'Мастика 2020'!кол_отб_окт</vt:lpstr>
      <vt:lpstr>'Материал антиадгезионный 2020'!кол_отб_окт</vt:lpstr>
      <vt:lpstr>'Пакеты 2020'!кол_отб_окт</vt:lpstr>
      <vt:lpstr>'ПВХ 2020'!кол_отб_окт</vt:lpstr>
      <vt:lpstr>'ПВХ липкая 2020'!кол_отб_окт</vt:lpstr>
      <vt:lpstr>'Полилен 2020'!кол_отб_окт</vt:lpstr>
      <vt:lpstr>'Политерм 2020'!кол_отб_окт</vt:lpstr>
      <vt:lpstr>'Праймер и грунтовка 2020'!кол_отб_окт</vt:lpstr>
      <vt:lpstr>'Шаблон (шт.)'!кол_отб_окт</vt:lpstr>
      <vt:lpstr>'Шпули 2020'!кол_отб_окт</vt:lpstr>
      <vt:lpstr>кол_отб_окт</vt:lpstr>
      <vt:lpstr>'Коробки 2020'!кол_отб_снт</vt:lpstr>
      <vt:lpstr>'Мастика 2020'!кол_отб_снт</vt:lpstr>
      <vt:lpstr>'Материал антиадгезионный 2020'!кол_отб_снт</vt:lpstr>
      <vt:lpstr>'Пакеты 2020'!кол_отб_снт</vt:lpstr>
      <vt:lpstr>'ПВХ 2020'!кол_отб_снт</vt:lpstr>
      <vt:lpstr>'ПВХ липкая 2020'!кол_отб_снт</vt:lpstr>
      <vt:lpstr>'Полилен 2020'!кол_отб_снт</vt:lpstr>
      <vt:lpstr>'Политерм 2020'!кол_отб_снт</vt:lpstr>
      <vt:lpstr>'Праймер и грунтовка 2020'!кол_отб_снт</vt:lpstr>
      <vt:lpstr>'Шаблон (шт.)'!кол_отб_снт</vt:lpstr>
      <vt:lpstr>'Шпули 2020'!кол_отб_снт</vt:lpstr>
      <vt:lpstr>кол_отб_снт</vt:lpstr>
      <vt:lpstr>'Коробки 2020'!кол_отб_фев</vt:lpstr>
      <vt:lpstr>'Мастика 2020'!кол_отб_фев</vt:lpstr>
      <vt:lpstr>'Материал антиадгезионный 2020'!кол_отб_фев</vt:lpstr>
      <vt:lpstr>'Пакеты 2020'!кол_отб_фев</vt:lpstr>
      <vt:lpstr>'ПВХ 2020'!кол_отб_фев</vt:lpstr>
      <vt:lpstr>'ПВХ липкая 2020'!кол_отб_фев</vt:lpstr>
      <vt:lpstr>'Полилен 2020'!кол_отб_фев</vt:lpstr>
      <vt:lpstr>'Политерм 2020'!кол_отб_фев</vt:lpstr>
      <vt:lpstr>'Праймер и грунтовка 2020'!кол_отб_фев</vt:lpstr>
      <vt:lpstr>'Шаблон (шт.)'!кол_отб_фев</vt:lpstr>
      <vt:lpstr>'Шпули 2020'!кол_отб_фев</vt:lpstr>
      <vt:lpstr>кол_отб_фев</vt:lpstr>
      <vt:lpstr>'Коробки 2020'!кол_отб_янв</vt:lpstr>
      <vt:lpstr>'Мастика 2020'!кол_отб_янв</vt:lpstr>
      <vt:lpstr>'Материал антиадгезионный 2020'!кол_отб_янв</vt:lpstr>
      <vt:lpstr>'Пакеты 2020'!кол_отб_янв</vt:lpstr>
      <vt:lpstr>'ПВХ 2020'!кол_отб_янв</vt:lpstr>
      <vt:lpstr>'ПВХ липкая 2020'!кол_отб_янв</vt:lpstr>
      <vt:lpstr>'Полилен 2020'!кол_отб_янв</vt:lpstr>
      <vt:lpstr>'Политерм 2020'!кол_отб_янв</vt:lpstr>
      <vt:lpstr>'Праймер и грунтовка 2020'!кол_отб_янв</vt:lpstr>
      <vt:lpstr>'Шаблон (шт.)'!кол_отб_янв</vt:lpstr>
      <vt:lpstr>'Шпули 2020'!кол_отб_янв</vt:lpstr>
      <vt:lpstr>кол_отб_янв</vt:lpstr>
      <vt:lpstr>'Коробки 2020'!май_кол</vt:lpstr>
      <vt:lpstr>'Мастика 2020'!май_кол</vt:lpstr>
      <vt:lpstr>'Материал антиадгезионный 2020'!май_кол</vt:lpstr>
      <vt:lpstr>'Пакеты 2020'!май_кол</vt:lpstr>
      <vt:lpstr>'ПВХ 2020'!май_кол</vt:lpstr>
      <vt:lpstr>'ПВХ липкая 2020'!май_кол</vt:lpstr>
      <vt:lpstr>'Полилен 2020'!май_кол</vt:lpstr>
      <vt:lpstr>'Политерм 2020'!май_кол</vt:lpstr>
      <vt:lpstr>'Праймер и грунтовка 2020'!май_кол</vt:lpstr>
      <vt:lpstr>'Шаблон (шт.)'!май_кол</vt:lpstr>
      <vt:lpstr>'Шпули 2020'!май_кол</vt:lpstr>
      <vt:lpstr>май_кол</vt:lpstr>
      <vt:lpstr>'Коробки 2020'!май_пр</vt:lpstr>
      <vt:lpstr>'Мастика 2020'!май_пр</vt:lpstr>
      <vt:lpstr>'Материал антиадгезионный 2020'!май_пр</vt:lpstr>
      <vt:lpstr>'Пакеты 2020'!май_пр</vt:lpstr>
      <vt:lpstr>'ПВХ 2020'!май_пр</vt:lpstr>
      <vt:lpstr>'ПВХ липкая 2020'!май_пр</vt:lpstr>
      <vt:lpstr>'Полилен 2020'!май_пр</vt:lpstr>
      <vt:lpstr>'Политерм 2020'!май_пр</vt:lpstr>
      <vt:lpstr>'Праймер и грунтовка 2020'!май_пр</vt:lpstr>
      <vt:lpstr>'Шаблон (шт.)'!май_пр</vt:lpstr>
      <vt:lpstr>'Шпули 2020'!май_пр</vt:lpstr>
      <vt:lpstr>май_пр</vt:lpstr>
      <vt:lpstr>'Коробки 2020'!мрт_кол</vt:lpstr>
      <vt:lpstr>'Мастика 2020'!мрт_кол</vt:lpstr>
      <vt:lpstr>'Материал антиадгезионный 2020'!мрт_кол</vt:lpstr>
      <vt:lpstr>'Пакеты 2020'!мрт_кол</vt:lpstr>
      <vt:lpstr>'ПВХ 2020'!мрт_кол</vt:lpstr>
      <vt:lpstr>'ПВХ липкая 2020'!мрт_кол</vt:lpstr>
      <vt:lpstr>'Полилен 2020'!мрт_кол</vt:lpstr>
      <vt:lpstr>'Политерм 2020'!мрт_кол</vt:lpstr>
      <vt:lpstr>'Праймер и грунтовка 2020'!мрт_кол</vt:lpstr>
      <vt:lpstr>'Шаблон (шт.)'!мрт_кол</vt:lpstr>
      <vt:lpstr>'Шпули 2020'!мрт_кол</vt:lpstr>
      <vt:lpstr>мрт_кол</vt:lpstr>
      <vt:lpstr>'Коробки 2020'!мрт_пр</vt:lpstr>
      <vt:lpstr>'Мастика 2020'!мрт_пр</vt:lpstr>
      <vt:lpstr>'Материал антиадгезионный 2020'!мрт_пр</vt:lpstr>
      <vt:lpstr>'Пакеты 2020'!мрт_пр</vt:lpstr>
      <vt:lpstr>'ПВХ 2020'!мрт_пр</vt:lpstr>
      <vt:lpstr>'ПВХ липкая 2020'!мрт_пр</vt:lpstr>
      <vt:lpstr>'Полилен 2020'!мрт_пр</vt:lpstr>
      <vt:lpstr>'Политерм 2020'!мрт_пр</vt:lpstr>
      <vt:lpstr>'Праймер и грунтовка 2020'!мрт_пр</vt:lpstr>
      <vt:lpstr>'Шаблон (шт.)'!мрт_пр</vt:lpstr>
      <vt:lpstr>'Шпули 2020'!мрт_пр</vt:lpstr>
      <vt:lpstr>мрт_пр</vt:lpstr>
      <vt:lpstr>'Коробки 2020'!нбр_кол</vt:lpstr>
      <vt:lpstr>'Мастика 2020'!нбр_кол</vt:lpstr>
      <vt:lpstr>'Материал антиадгезионный 2020'!нбр_кол</vt:lpstr>
      <vt:lpstr>'Пакеты 2020'!нбр_кол</vt:lpstr>
      <vt:lpstr>'ПВХ 2020'!нбр_кол</vt:lpstr>
      <vt:lpstr>'ПВХ липкая 2020'!нбр_кол</vt:lpstr>
      <vt:lpstr>'Полилен 2020'!нбр_кол</vt:lpstr>
      <vt:lpstr>'Политерм 2020'!нбр_кол</vt:lpstr>
      <vt:lpstr>'Праймер и грунтовка 2020'!нбр_кол</vt:lpstr>
      <vt:lpstr>'Шаблон (шт.)'!нбр_кол</vt:lpstr>
      <vt:lpstr>'Шпули 2020'!нбр_кол</vt:lpstr>
      <vt:lpstr>нбр_кол</vt:lpstr>
      <vt:lpstr>'Коробки 2020'!нбр_пр</vt:lpstr>
      <vt:lpstr>'Мастика 2020'!нбр_пр</vt:lpstr>
      <vt:lpstr>'Материал антиадгезионный 2020'!нбр_пр</vt:lpstr>
      <vt:lpstr>'Пакеты 2020'!нбр_пр</vt:lpstr>
      <vt:lpstr>'ПВХ 2020'!нбр_пр</vt:lpstr>
      <vt:lpstr>'ПВХ липкая 2020'!нбр_пр</vt:lpstr>
      <vt:lpstr>'Полилен 2020'!нбр_пр</vt:lpstr>
      <vt:lpstr>'Политерм 2020'!нбр_пр</vt:lpstr>
      <vt:lpstr>'Праймер и грунтовка 2020'!нбр_пр</vt:lpstr>
      <vt:lpstr>'Шаблон (шт.)'!нбр_пр</vt:lpstr>
      <vt:lpstr>'Шпули 2020'!нбр_пр</vt:lpstr>
      <vt:lpstr>нбр_пр</vt:lpstr>
      <vt:lpstr>'Коробки 2020'!окт_кол</vt:lpstr>
      <vt:lpstr>'Мастика 2020'!окт_кол</vt:lpstr>
      <vt:lpstr>'Материал антиадгезионный 2020'!окт_кол</vt:lpstr>
      <vt:lpstr>'Пакеты 2020'!окт_кол</vt:lpstr>
      <vt:lpstr>'ПВХ 2020'!окт_кол</vt:lpstr>
      <vt:lpstr>'ПВХ липкая 2020'!окт_кол</vt:lpstr>
      <vt:lpstr>'Полилен 2020'!окт_кол</vt:lpstr>
      <vt:lpstr>'Политерм 2020'!окт_кол</vt:lpstr>
      <vt:lpstr>'Праймер и грунтовка 2020'!окт_кол</vt:lpstr>
      <vt:lpstr>'Шаблон (шт.)'!окт_кол</vt:lpstr>
      <vt:lpstr>'Шпули 2020'!окт_кол</vt:lpstr>
      <vt:lpstr>окт_кол</vt:lpstr>
      <vt:lpstr>'Коробки 2020'!окт_пр</vt:lpstr>
      <vt:lpstr>'Мастика 2020'!окт_пр</vt:lpstr>
      <vt:lpstr>'Материал антиадгезионный 2020'!окт_пр</vt:lpstr>
      <vt:lpstr>'Пакеты 2020'!окт_пр</vt:lpstr>
      <vt:lpstr>'ПВХ 2020'!окт_пр</vt:lpstr>
      <vt:lpstr>'ПВХ липкая 2020'!окт_пр</vt:lpstr>
      <vt:lpstr>'Полилен 2020'!окт_пр</vt:lpstr>
      <vt:lpstr>'Политерм 2020'!окт_пр</vt:lpstr>
      <vt:lpstr>'Праймер и грунтовка 2020'!окт_пр</vt:lpstr>
      <vt:lpstr>'Шаблон (шт.)'!окт_пр</vt:lpstr>
      <vt:lpstr>'Шпули 2020'!окт_пр</vt:lpstr>
      <vt:lpstr>окт_пр</vt:lpstr>
      <vt:lpstr>'Коробки 2020'!снт_кол</vt:lpstr>
      <vt:lpstr>'Мастика 2020'!снт_кол</vt:lpstr>
      <vt:lpstr>'Материал антиадгезионный 2020'!снт_кол</vt:lpstr>
      <vt:lpstr>'Пакеты 2020'!снт_кол</vt:lpstr>
      <vt:lpstr>'ПВХ 2020'!снт_кол</vt:lpstr>
      <vt:lpstr>'ПВХ липкая 2020'!снт_кол</vt:lpstr>
      <vt:lpstr>'Полилен 2020'!снт_кол</vt:lpstr>
      <vt:lpstr>'Политерм 2020'!снт_кол</vt:lpstr>
      <vt:lpstr>'Праймер и грунтовка 2020'!снт_кол</vt:lpstr>
      <vt:lpstr>'Шаблон (шт.)'!снт_кол</vt:lpstr>
      <vt:lpstr>'Шпули 2020'!снт_кол</vt:lpstr>
      <vt:lpstr>снт_кол</vt:lpstr>
      <vt:lpstr>'Коробки 2020'!снт_пр</vt:lpstr>
      <vt:lpstr>'Мастика 2020'!снт_пр</vt:lpstr>
      <vt:lpstr>'Материал антиадгезионный 2020'!снт_пр</vt:lpstr>
      <vt:lpstr>'Пакеты 2020'!снт_пр</vt:lpstr>
      <vt:lpstr>'ПВХ 2020'!снт_пр</vt:lpstr>
      <vt:lpstr>'ПВХ липкая 2020'!снт_пр</vt:lpstr>
      <vt:lpstr>'Полилен 2020'!снт_пр</vt:lpstr>
      <vt:lpstr>'Политерм 2020'!снт_пр</vt:lpstr>
      <vt:lpstr>'Праймер и грунтовка 2020'!снт_пр</vt:lpstr>
      <vt:lpstr>'Шаблон (шт.)'!снт_пр</vt:lpstr>
      <vt:lpstr>'Шпули 2020'!снт_пр</vt:lpstr>
      <vt:lpstr>снт_пр</vt:lpstr>
      <vt:lpstr>'Коробки 2020'!фев_кол</vt:lpstr>
      <vt:lpstr>'Мастика 2020'!фев_кол</vt:lpstr>
      <vt:lpstr>'Материал антиадгезионный 2020'!фев_кол</vt:lpstr>
      <vt:lpstr>'Пакеты 2020'!фев_кол</vt:lpstr>
      <vt:lpstr>'ПВХ 2020'!фев_кол</vt:lpstr>
      <vt:lpstr>'ПВХ липкая 2020'!фев_кол</vt:lpstr>
      <vt:lpstr>'Полилен 2020'!фев_кол</vt:lpstr>
      <vt:lpstr>'Политерм 2020'!фев_кол</vt:lpstr>
      <vt:lpstr>'Праймер и грунтовка 2020'!фев_кол</vt:lpstr>
      <vt:lpstr>'Шаблон (шт.)'!фев_кол</vt:lpstr>
      <vt:lpstr>'Шпули 2020'!фев_кол</vt:lpstr>
      <vt:lpstr>фев_кол</vt:lpstr>
      <vt:lpstr>'Коробки 2020'!фев_пр</vt:lpstr>
      <vt:lpstr>'Мастика 2020'!фев_пр</vt:lpstr>
      <vt:lpstr>'Материал антиадгезионный 2020'!фев_пр</vt:lpstr>
      <vt:lpstr>'Пакеты 2020'!фев_пр</vt:lpstr>
      <vt:lpstr>'ПВХ 2020'!фев_пр</vt:lpstr>
      <vt:lpstr>'ПВХ липкая 2020'!фев_пр</vt:lpstr>
      <vt:lpstr>'Полилен 2020'!фев_пр</vt:lpstr>
      <vt:lpstr>'Политерм 2020'!фев_пр</vt:lpstr>
      <vt:lpstr>'Праймер и грунтовка 2020'!фев_пр</vt:lpstr>
      <vt:lpstr>'Шаблон (шт.)'!фев_пр</vt:lpstr>
      <vt:lpstr>'Шпули 2020'!фев_пр</vt:lpstr>
      <vt:lpstr>фев_пр</vt:lpstr>
      <vt:lpstr>'Коробки 2020'!янв_кол</vt:lpstr>
      <vt:lpstr>'Мастика 2020'!янв_кол</vt:lpstr>
      <vt:lpstr>'Материал антиадгезионный 2020'!янв_кол</vt:lpstr>
      <vt:lpstr>'Пакеты 2020'!янв_кол</vt:lpstr>
      <vt:lpstr>'ПВХ 2020'!янв_кол</vt:lpstr>
      <vt:lpstr>'ПВХ липкая 2020'!янв_кол</vt:lpstr>
      <vt:lpstr>'Полилен 2020'!янв_кол</vt:lpstr>
      <vt:lpstr>'Политерм 2020'!янв_кол</vt:lpstr>
      <vt:lpstr>'Праймер и грунтовка 2020'!янв_кол</vt:lpstr>
      <vt:lpstr>'Шаблон (шт.)'!янв_кол</vt:lpstr>
      <vt:lpstr>'Шпули 2020'!янв_кол</vt:lpstr>
      <vt:lpstr>янв_кол</vt:lpstr>
      <vt:lpstr>'Коробки 2020'!янв_пр</vt:lpstr>
      <vt:lpstr>'Мастика 2020'!янв_пр</vt:lpstr>
      <vt:lpstr>'Материал антиадгезионный 2020'!янв_пр</vt:lpstr>
      <vt:lpstr>'Пакеты 2020'!янв_пр</vt:lpstr>
      <vt:lpstr>'ПВХ 2020'!янв_пр</vt:lpstr>
      <vt:lpstr>'ПВХ липкая 2020'!янв_пр</vt:lpstr>
      <vt:lpstr>'Полилен 2020'!янв_пр</vt:lpstr>
      <vt:lpstr>'Политерм 2020'!янв_пр</vt:lpstr>
      <vt:lpstr>'Праймер и грунтовка 2020'!янв_пр</vt:lpstr>
      <vt:lpstr>'Шаблон (шт.)'!янв_пр</vt:lpstr>
      <vt:lpstr>'Шпули 2020'!янв_пр</vt:lpstr>
      <vt:lpstr>янв_пр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2021-01-27T09:55:26Z</dcterms:modified>
</cp:coreProperties>
</file>