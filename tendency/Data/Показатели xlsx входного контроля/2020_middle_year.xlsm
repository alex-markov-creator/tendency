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ЭтаКнига"/>
  <xr:revisionPtr revIDLastSave="0" documentId="13_ncr:1_{B73D8BBD-E36D-46C7-9DCB-DE1423644DFC}" xr6:coauthVersionLast="45" xr6:coauthVersionMax="45" xr10:uidLastSave="{00000000-0000-0000-0000-000000000000}"/>
  <bookViews>
    <workbookView xWindow="-120" yWindow="-120" windowWidth="19440" windowHeight="15000" tabRatio="866" xr2:uid="{00000000-000D-0000-FFFF-FFFF00000000}"/>
  </bookViews>
  <sheets>
    <sheet name="Журнал входного контроля" sheetId="2" r:id="rId1"/>
    <sheet name="Мастика 2020" sheetId="18" r:id="rId2"/>
    <sheet name="ПВХ 2020" sheetId="20" r:id="rId3"/>
    <sheet name="ПВХ липкая 2020" sheetId="21" r:id="rId4"/>
    <sheet name="Коробки 2020" sheetId="25" r:id="rId5"/>
    <sheet name="Пакеты 2020" sheetId="24" r:id="rId6"/>
    <sheet name="Полилен 2020" sheetId="26" r:id="rId7"/>
    <sheet name="Политерм 2020" sheetId="27" r:id="rId8"/>
    <sheet name="Праймер и грунтовка 2020" sheetId="22" r:id="rId9"/>
    <sheet name="Шпули 2020" sheetId="23" r:id="rId10"/>
    <sheet name="Материал антиадгезионный 2020" sheetId="28" r:id="rId11"/>
    <sheet name="Шаблон (кг.)" sheetId="1" r:id="rId12"/>
    <sheet name="Шаблон (шт.)" sheetId="17" r:id="rId13"/>
    <sheet name="База данных" sheetId="4" r:id="rId14"/>
  </sheets>
  <definedNames>
    <definedName name="авг_кол" localSheetId="4">'Коробки 2020'!$E$52:$E$56</definedName>
    <definedName name="авг_кол" localSheetId="1">'Мастика 2020'!$E$58:$E$62</definedName>
    <definedName name="авг_кол" localSheetId="10">'Материал антиадгезионный 2020'!$E$58:$E$62</definedName>
    <definedName name="авг_кол" localSheetId="5">'Пакеты 2020'!$E$58:$E$62</definedName>
    <definedName name="авг_кол" localSheetId="2">'ПВХ 2020'!$E$52:$E$56</definedName>
    <definedName name="авг_кол" localSheetId="3">'ПВХ липкая 2020'!$E$57:$E$61</definedName>
    <definedName name="авг_кол" localSheetId="6">'Полилен 2020'!$E$61:$E$65</definedName>
    <definedName name="авг_кол" localSheetId="7">'Политерм 2020'!$E$61:$E$65</definedName>
    <definedName name="авг_кол" localSheetId="8">'Праймер и грунтовка 2020'!$E$62:$E$66</definedName>
    <definedName name="авг_кол" localSheetId="12">'Шаблон (шт.)'!$E$63:$E$67</definedName>
    <definedName name="авг_кол" localSheetId="9">'Шпули 2020'!$E$58:$E$62</definedName>
    <definedName name="авг_кол">'Шаблон (кг.)'!$E$63:$E$67</definedName>
    <definedName name="авг_пр" localSheetId="4">'Коробки 2020'!$C$52:$C$56</definedName>
    <definedName name="авг_пр" localSheetId="1">'Мастика 2020'!$C$58:$C$62</definedName>
    <definedName name="авг_пр" localSheetId="10">'Материал антиадгезионный 2020'!$C$58:$C$62</definedName>
    <definedName name="авг_пр" localSheetId="5">'Пакеты 2020'!$C$58:$C$62</definedName>
    <definedName name="авг_пр" localSheetId="2">'ПВХ 2020'!$C$52:$C$56</definedName>
    <definedName name="авг_пр" localSheetId="3">'ПВХ липкая 2020'!$C$57:$C$61</definedName>
    <definedName name="авг_пр" localSheetId="6">'Полилен 2020'!$C$61:$C$65</definedName>
    <definedName name="авг_пр" localSheetId="7">'Политерм 2020'!$C$61:$C$65</definedName>
    <definedName name="авг_пр" localSheetId="8">'Праймер и грунтовка 2020'!$C$62:$C$66</definedName>
    <definedName name="авг_пр" localSheetId="12">'Шаблон (шт.)'!$C$63:$C$67</definedName>
    <definedName name="авг_пр" localSheetId="9">'Шпули 2020'!$C$58:$C$62</definedName>
    <definedName name="авг_пр">'Шаблон (кг.)'!$C$63:$C$67</definedName>
    <definedName name="акт_вх_авг" localSheetId="4">'Коробки 2020'!$F$52:$F$56</definedName>
    <definedName name="акт_вх_авг" localSheetId="1">'Мастика 2020'!$F$58:$F$62</definedName>
    <definedName name="акт_вх_авг" localSheetId="10">'Материал антиадгезионный 2020'!$F$58:$F$62</definedName>
    <definedName name="акт_вх_авг" localSheetId="5">'Пакеты 2020'!$F$58:$F$62</definedName>
    <definedName name="акт_вх_авг" localSheetId="2">'ПВХ 2020'!$F$52:$F$56</definedName>
    <definedName name="акт_вх_авг" localSheetId="3">'ПВХ липкая 2020'!$F$57:$F$61</definedName>
    <definedName name="акт_вх_авг" localSheetId="6">'Полилен 2020'!$F$61:$F$65</definedName>
    <definedName name="акт_вх_авг" localSheetId="7">'Политерм 2020'!$F$61:$F$65</definedName>
    <definedName name="акт_вх_авг" localSheetId="8">'Праймер и грунтовка 2020'!$F$62:$F$66</definedName>
    <definedName name="акт_вх_авг" localSheetId="12">'Шаблон (шт.)'!$F$63:$F$67</definedName>
    <definedName name="акт_вх_авг" localSheetId="9">'Шпули 2020'!$F$58:$F$62</definedName>
    <definedName name="акт_вх_авг">'Шаблон (кг.)'!$F$63:$F$67</definedName>
    <definedName name="акт_вх_апр" localSheetId="4">'Коробки 2020'!$F$27:$F$28</definedName>
    <definedName name="акт_вх_апр" localSheetId="1">'Мастика 2020'!$F$30:$F$33</definedName>
    <definedName name="акт_вх_апр" localSheetId="10">'Материал антиадгезионный 2020'!$F$30:$F$34</definedName>
    <definedName name="акт_вх_апр" localSheetId="5">'Пакеты 2020'!$F$27:$F$31</definedName>
    <definedName name="акт_вх_апр" localSheetId="2">'ПВХ 2020'!$F$26:$F$28</definedName>
    <definedName name="акт_вх_апр" localSheetId="3">'ПВХ липкая 2020'!$F$30:$F$34</definedName>
    <definedName name="акт_вх_апр" localSheetId="6">'Полилен 2020'!$F$30:$F$34</definedName>
    <definedName name="акт_вх_апр" localSheetId="7">'Политерм 2020'!$F$30:$F$34</definedName>
    <definedName name="акт_вх_апр" localSheetId="8">'Праймер и грунтовка 2020'!$F$30:$F$34</definedName>
    <definedName name="акт_вх_апр" localSheetId="12">'Шаблон (шт.)'!$F$31:$F$35</definedName>
    <definedName name="акт_вх_апр" localSheetId="9">'Шпули 2020'!$F$27:$F$31</definedName>
    <definedName name="акт_вх_апр">'Шаблон (кг.)'!$F$31:$F$35</definedName>
    <definedName name="акт_вх_дкб" localSheetId="4">'Коробки 2020'!$F$84:$F$88</definedName>
    <definedName name="акт_вх_дкб" localSheetId="1">'Мастика 2020'!$F$90:$F$94</definedName>
    <definedName name="акт_вх_дкб" localSheetId="10">'Материал антиадгезионный 2020'!$F$90:$F$94</definedName>
    <definedName name="акт_вх_дкб" localSheetId="5">'Пакеты 2020'!$F$90:$F$94</definedName>
    <definedName name="акт_вх_дкб" localSheetId="2">'ПВХ 2020'!$F$84:$F$88</definedName>
    <definedName name="акт_вх_дкб" localSheetId="3">'ПВХ липкая 2020'!$F$89:$F$93</definedName>
    <definedName name="акт_вх_дкб" localSheetId="6">'Полилен 2020'!$F$93:$F$97</definedName>
    <definedName name="акт_вх_дкб" localSheetId="7">'Политерм 2020'!$F$93:$F$97</definedName>
    <definedName name="акт_вх_дкб" localSheetId="8">'Праймер и грунтовка 2020'!$F$94:$F$98</definedName>
    <definedName name="акт_вх_дкб" localSheetId="12">'Шаблон (шт.)'!$F$95:$F$99</definedName>
    <definedName name="акт_вх_дкб" localSheetId="9">'Шпули 2020'!$F$90:$F$94</definedName>
    <definedName name="акт_вх_дкб">'Шаблон (кг.)'!$F$95:$F$99</definedName>
    <definedName name="акт_вх_июл" localSheetId="4">'Коробки 2020'!$F$45:$F$49</definedName>
    <definedName name="акт_вх_июл" localSheetId="1">'Мастика 2020'!$F$51:$F$55</definedName>
    <definedName name="акт_вх_июл" localSheetId="10">'Материал антиадгезионный 2020'!$F$51:$F$55</definedName>
    <definedName name="акт_вх_июл" localSheetId="5">'Пакеты 2020'!$F$51:$F$55</definedName>
    <definedName name="акт_вх_июл" localSheetId="2">'ПВХ 2020'!$F$45:$F$49</definedName>
    <definedName name="акт_вх_июл" localSheetId="3">'ПВХ липкая 2020'!$F$50:$F$54</definedName>
    <definedName name="акт_вх_июл" localSheetId="6">'Полилен 2020'!$F$54:$F$58</definedName>
    <definedName name="акт_вх_июл" localSheetId="7">'Политерм 2020'!$F$54:$F$58</definedName>
    <definedName name="акт_вх_июл" localSheetId="8">'Праймер и грунтовка 2020'!$F$55:$F$59</definedName>
    <definedName name="акт_вх_июл" localSheetId="12">'Шаблон (шт.)'!$F$56:$F$60</definedName>
    <definedName name="акт_вх_июл" localSheetId="9">'Шпули 2020'!$F$51:$F$55</definedName>
    <definedName name="акт_вх_июл">'Шаблон (кг.)'!$F$56:$F$60</definedName>
    <definedName name="акт_вх_июн" localSheetId="4">'Коробки 2020'!$F$38:$F$39</definedName>
    <definedName name="акт_вх_июн" localSheetId="1">'Мастика 2020'!$F$43:$F$45</definedName>
    <definedName name="акт_вх_июн" localSheetId="10">'Материал антиадгезионный 2020'!$F$41:$F$45</definedName>
    <definedName name="акт_вх_июн" localSheetId="5">'Пакеты 2020'!$F$41:$F$45</definedName>
    <definedName name="акт_вх_июн" localSheetId="2">'ПВХ 2020'!$F$37:$F$39</definedName>
    <definedName name="акт_вх_июн" localSheetId="3">'ПВХ липкая 2020'!$F$41:$F$44</definedName>
    <definedName name="акт_вх_июн" localSheetId="6">'Полилен 2020'!$F$44:$F$48</definedName>
    <definedName name="акт_вх_июн" localSheetId="7">'Политерм 2020'!$F$44:$F$48</definedName>
    <definedName name="акт_вх_июн" localSheetId="8">'Праймер и грунтовка 2020'!$F$44:$F$48</definedName>
    <definedName name="акт_вх_июн" localSheetId="12">'Шаблон (шт.)'!$F$45:$F$49</definedName>
    <definedName name="акт_вх_июн" localSheetId="9">'Шпули 2020'!$F$41:$F$45</definedName>
    <definedName name="акт_вх_июн">'Шаблон (кг.)'!$F$45:$F$49</definedName>
    <definedName name="акт_вх_май" localSheetId="4">'Коробки 2020'!$F$31:$F$35</definedName>
    <definedName name="акт_вх_май" localSheetId="1">'Мастика 2020'!$F$36:$F$40</definedName>
    <definedName name="акт_вх_май" localSheetId="10">'Материал антиадгезионный 2020'!$F$37:$F$38</definedName>
    <definedName name="акт_вх_май" localSheetId="5">'Пакеты 2020'!$F$34:$F$38</definedName>
    <definedName name="акт_вх_май" localSheetId="2">'ПВХ 2020'!$F$31:$F$34</definedName>
    <definedName name="акт_вх_май" localSheetId="3">'ПВХ липкая 2020'!$F$37:$F$38</definedName>
    <definedName name="акт_вх_май" localSheetId="6">'Полилен 2020'!$F$37:$F$41</definedName>
    <definedName name="акт_вх_май" localSheetId="7">'Политерм 2020'!$F$37:$F$41</definedName>
    <definedName name="акт_вх_май" localSheetId="8">'Праймер и грунтовка 2020'!$F$37:$F$41</definedName>
    <definedName name="акт_вх_май" localSheetId="12">'Шаблон (шт.)'!$F$38:$F$42</definedName>
    <definedName name="акт_вх_май" localSheetId="9">'Шпули 2020'!$F$34:$F$38</definedName>
    <definedName name="акт_вх_май">'Шаблон (кг.)'!$F$38:$F$42</definedName>
    <definedName name="акт_вх_мрт" localSheetId="4">'Коробки 2020'!$F$18:$F$22</definedName>
    <definedName name="акт_вх_мрт" localSheetId="1">'Мастика 2020'!$F$21:$F$25</definedName>
    <definedName name="акт_вх_мрт" localSheetId="10">'Материал антиадгезионный 2020'!$F$21:$F$25</definedName>
    <definedName name="акт_вх_мрт" localSheetId="5">'Пакеты 2020'!$F$18:$F$22</definedName>
    <definedName name="акт_вх_мрт" localSheetId="2">'ПВХ 2020'!$F$18:$F$21</definedName>
    <definedName name="акт_вх_мрт" localSheetId="3">'ПВХ липкая 2020'!$F$21:$F$25</definedName>
    <definedName name="акт_вх_мрт" localSheetId="6">'Полилен 2020'!$F$21:$F$25</definedName>
    <definedName name="акт_вх_мрт" localSheetId="7">'Политерм 2020'!$F$21:$F$25</definedName>
    <definedName name="акт_вх_мрт" localSheetId="8">'Праймер и грунтовка 2020'!$F$21:$F$25</definedName>
    <definedName name="акт_вх_мрт" localSheetId="12">'Шаблон (шт.)'!$F$21:$F$25</definedName>
    <definedName name="акт_вх_мрт" localSheetId="9">'Шпули 2020'!$F$18:$F$22</definedName>
    <definedName name="акт_вх_мрт">'Шаблон (кг.)'!$F$21:$F$25</definedName>
    <definedName name="акт_вх_нбр" localSheetId="4">'Коробки 2020'!$F$77:$F$81</definedName>
    <definedName name="акт_вх_нбр" localSheetId="1">'Мастика 2020'!$F$83:$F$87</definedName>
    <definedName name="акт_вх_нбр" localSheetId="10">'Материал антиадгезионный 2020'!$F$83:$F$87</definedName>
    <definedName name="акт_вх_нбр" localSheetId="5">'Пакеты 2020'!$F$83:$F$87</definedName>
    <definedName name="акт_вх_нбр" localSheetId="2">'ПВХ 2020'!$F$77:$F$81</definedName>
    <definedName name="акт_вх_нбр" localSheetId="3">'ПВХ липкая 2020'!$F$82:$F$86</definedName>
    <definedName name="акт_вх_нбр" localSheetId="6">'Полилен 2020'!$F$86:$F$90</definedName>
    <definedName name="акт_вх_нбр" localSheetId="7">'Политерм 2020'!$F$86:$F$90</definedName>
    <definedName name="акт_вх_нбр" localSheetId="8">'Праймер и грунтовка 2020'!$F$87:$F$91</definedName>
    <definedName name="акт_вх_нбр" localSheetId="12">'Шаблон (шт.)'!$F$88:$F$92</definedName>
    <definedName name="акт_вх_нбр" localSheetId="9">'Шпули 2020'!$F$83:$F$87</definedName>
    <definedName name="акт_вх_нбр">'Шаблон (кг.)'!$F$88:$F$92</definedName>
    <definedName name="акт_вх_окт" localSheetId="4">'Коробки 2020'!$F$70:$F$74</definedName>
    <definedName name="акт_вх_окт" localSheetId="1">'Мастика 2020'!$F$76:$F$80</definedName>
    <definedName name="акт_вх_окт" localSheetId="10">'Материал антиадгезионный 2020'!$F$76:$F$80</definedName>
    <definedName name="акт_вх_окт" localSheetId="5">'Пакеты 2020'!$F$76:$F$80</definedName>
    <definedName name="акт_вх_окт" localSheetId="2">'ПВХ 2020'!$F$70:$F$74</definedName>
    <definedName name="акт_вх_окт" localSheetId="3">'ПВХ липкая 2020'!$F$75:$F$79</definedName>
    <definedName name="акт_вх_окт" localSheetId="6">'Полилен 2020'!$F$79:$F$83</definedName>
    <definedName name="акт_вх_окт" localSheetId="7">'Политерм 2020'!$F$79:$F$83</definedName>
    <definedName name="акт_вх_окт" localSheetId="8">'Праймер и грунтовка 2020'!$F$80:$F$84</definedName>
    <definedName name="акт_вх_окт" localSheetId="12">'Шаблон (шт.)'!$F$81:$F$85</definedName>
    <definedName name="акт_вх_окт" localSheetId="9">'Шпули 2020'!$F$76:$F$80</definedName>
    <definedName name="акт_вх_окт">'Шаблон (кг.)'!$F$81:$F$85</definedName>
    <definedName name="акт_вх_снт" localSheetId="4">'Коробки 2020'!$F$59:$F$63</definedName>
    <definedName name="акт_вх_снт" localSheetId="1">'Мастика 2020'!$F$65:$F$69</definedName>
    <definedName name="акт_вх_снт" localSheetId="10">'Материал антиадгезионный 2020'!$F$65:$F$69</definedName>
    <definedName name="акт_вх_снт" localSheetId="5">'Пакеты 2020'!$F$65:$F$69</definedName>
    <definedName name="акт_вх_снт" localSheetId="2">'ПВХ 2020'!$F$59:$F$63</definedName>
    <definedName name="акт_вх_снт" localSheetId="3">'ПВХ липкая 2020'!$F$64:$F$68</definedName>
    <definedName name="акт_вх_снт" localSheetId="6">'Полилен 2020'!$F$68:$F$72</definedName>
    <definedName name="акт_вх_снт" localSheetId="7">'Политерм 2020'!$F$68:$F$72</definedName>
    <definedName name="акт_вх_снт" localSheetId="8">'Праймер и грунтовка 2020'!$F$69:$F$73</definedName>
    <definedName name="акт_вх_снт" localSheetId="12">'Шаблон (шт.)'!$F$70:$F$74</definedName>
    <definedName name="акт_вх_снт" localSheetId="9">'Шпули 2020'!$F$65:$F$69</definedName>
    <definedName name="акт_вх_снт">'Шаблон (кг.)'!$F$70:$F$74</definedName>
    <definedName name="акт_вх_фев" localSheetId="4">'Коробки 2020'!$F$14:$F$15</definedName>
    <definedName name="акт_вх_фев" localSheetId="1">'Мастика 2020'!$F$15:$F$18</definedName>
    <definedName name="акт_вх_фев" localSheetId="10">'Материал антиадгезионный 2020'!$F$14:$F$18</definedName>
    <definedName name="акт_вх_фев" localSheetId="5">'Пакеты 2020'!$F$14:$F$15</definedName>
    <definedName name="акт_вх_фев" localSheetId="2">'ПВХ 2020'!$F$11:$F$15</definedName>
    <definedName name="акт_вх_фев" localSheetId="3">'ПВХ липкая 2020'!$F$14:$F$18</definedName>
    <definedName name="акт_вх_фев" localSheetId="6">'Полилен 2020'!$F$14:$F$18</definedName>
    <definedName name="акт_вх_фев" localSheetId="7">'Политерм 2020'!$F$14:$F$18</definedName>
    <definedName name="акт_вх_фев" localSheetId="8">'Праймер и грунтовка 2020'!$F$14:$F$18</definedName>
    <definedName name="акт_вх_фев" localSheetId="12">'Шаблон (шт.)'!$F$14:$F$18</definedName>
    <definedName name="акт_вх_фев" localSheetId="9">'Шпули 2020'!$F$14:$F$15</definedName>
    <definedName name="акт_вх_фев">'Шаблон (кг.)'!$F$14:$F$18</definedName>
    <definedName name="акт_вх_янв" localSheetId="4">'Коробки 2020'!$F$7:$F$11</definedName>
    <definedName name="акт_вх_янв" localSheetId="1">'Мастика 2020'!$F$7:$F$11</definedName>
    <definedName name="акт_вх_янв" localSheetId="10">'Материал антиадгезионный 2020'!$F$7:$F$11</definedName>
    <definedName name="акт_вх_янв" localSheetId="5">'Пакеты 2020'!$F$7:$F$11</definedName>
    <definedName name="акт_вх_янв" localSheetId="2">'ПВХ 2020'!$F$7:$F$8</definedName>
    <definedName name="акт_вх_янв" localSheetId="3">'ПВХ липкая 2020'!$F$7:$F$11</definedName>
    <definedName name="акт_вх_янв" localSheetId="6">'Полилен 2020'!$F$7:$F$11</definedName>
    <definedName name="акт_вх_янв" localSheetId="7">'Политерм 2020'!$F$7:$F$11</definedName>
    <definedName name="акт_вх_янв" localSheetId="8">'Праймер и грунтовка 2020'!$F$7:$F$11</definedName>
    <definedName name="акт_вх_янв" localSheetId="12">'Шаблон (шт.)'!$F$7:$F$11</definedName>
    <definedName name="акт_вх_янв" localSheetId="9">'Шпули 2020'!$F$7:$F$11</definedName>
    <definedName name="акт_вх_янв">'Шаблон (кг.)'!$F$7:$F$11</definedName>
    <definedName name="акт_отб_авг" localSheetId="4">'Коробки 2020'!$H$52:$H$56</definedName>
    <definedName name="акт_отб_авг" localSheetId="1">'Мастика 2020'!$H$58:$H$62</definedName>
    <definedName name="акт_отб_авг" localSheetId="10">'Материал антиадгезионный 2020'!$H$58:$H$62</definedName>
    <definedName name="акт_отб_авг" localSheetId="5">'Пакеты 2020'!$H$58:$H$62</definedName>
    <definedName name="акт_отб_авг" localSheetId="2">'ПВХ 2020'!$H$52:$H$56</definedName>
    <definedName name="акт_отб_авг" localSheetId="3">'ПВХ липкая 2020'!$H$57:$H$61</definedName>
    <definedName name="акт_отб_авг" localSheetId="6">'Полилен 2020'!$H$61:$H$65</definedName>
    <definedName name="акт_отб_авг" localSheetId="7">'Политерм 2020'!$H$61:$H$65</definedName>
    <definedName name="акт_отб_авг" localSheetId="8">'Праймер и грунтовка 2020'!$H$62:$H$66</definedName>
    <definedName name="акт_отб_авг" localSheetId="12">'Шаблон (шт.)'!$H$63:$H$67</definedName>
    <definedName name="акт_отб_авг" localSheetId="9">'Шпули 2020'!$H$58:$H$62</definedName>
    <definedName name="акт_отб_авг">'Шаблон (кг.)'!$H$63:$H$67</definedName>
    <definedName name="акт_отб_апр" localSheetId="4">'Коробки 2020'!$H$27:$H$28</definedName>
    <definedName name="акт_отб_апр" localSheetId="1">'Мастика 2020'!$H$30:$H$33</definedName>
    <definedName name="акт_отб_апр" localSheetId="10">'Материал антиадгезионный 2020'!$H$30:$H$34</definedName>
    <definedName name="акт_отб_апр" localSheetId="5">'Пакеты 2020'!$H$27:$H$31</definedName>
    <definedName name="акт_отб_апр" localSheetId="2">'ПВХ 2020'!$H$26:$H$28</definedName>
    <definedName name="акт_отб_апр" localSheetId="3">'ПВХ липкая 2020'!$H$30:$H$34</definedName>
    <definedName name="акт_отб_апр" localSheetId="6">'Полилен 2020'!$H$30:$H$34</definedName>
    <definedName name="акт_отб_апр" localSheetId="7">'Политерм 2020'!$H$30:$H$34</definedName>
    <definedName name="акт_отб_апр" localSheetId="8">'Праймер и грунтовка 2020'!$H$30:$H$34</definedName>
    <definedName name="акт_отб_апр" localSheetId="12">'Шаблон (шт.)'!$H$31:$H$35</definedName>
    <definedName name="акт_отб_апр" localSheetId="9">'Шпули 2020'!$H$27:$H$31</definedName>
    <definedName name="акт_отб_апр">'Шаблон (кг.)'!$H$31:$H$35</definedName>
    <definedName name="акт_отб_дкб" localSheetId="4">'Коробки 2020'!$H$84:$H$88</definedName>
    <definedName name="акт_отб_дкб" localSheetId="1">'Мастика 2020'!$H$90:$H$94</definedName>
    <definedName name="акт_отб_дкб" localSheetId="10">'Материал антиадгезионный 2020'!$H$90:$H$94</definedName>
    <definedName name="акт_отб_дкб" localSheetId="5">'Пакеты 2020'!$H$90:$H$94</definedName>
    <definedName name="акт_отб_дкб" localSheetId="2">'ПВХ 2020'!$H$84:$H$88</definedName>
    <definedName name="акт_отб_дкб" localSheetId="3">'ПВХ липкая 2020'!$H$89:$H$93</definedName>
    <definedName name="акт_отб_дкб" localSheetId="6">'Полилен 2020'!$H$93:$H$97</definedName>
    <definedName name="акт_отб_дкб" localSheetId="7">'Политерм 2020'!$H$93:$H$97</definedName>
    <definedName name="акт_отб_дкб" localSheetId="8">'Праймер и грунтовка 2020'!$H$94:$H$98</definedName>
    <definedName name="акт_отб_дкб" localSheetId="12">'Шаблон (шт.)'!$H$95:$H$99</definedName>
    <definedName name="акт_отб_дкб" localSheetId="9">'Шпули 2020'!$H$90:$H$94</definedName>
    <definedName name="акт_отб_дкб">'Шаблон (кг.)'!$H$95:$H$99</definedName>
    <definedName name="акт_отб_июл" localSheetId="4">'Коробки 2020'!$H$45:$H$49</definedName>
    <definedName name="акт_отб_июл" localSheetId="1">'Мастика 2020'!$H$51:$H$55</definedName>
    <definedName name="акт_отб_июл" localSheetId="10">'Материал антиадгезионный 2020'!$H$51:$H$55</definedName>
    <definedName name="акт_отб_июл" localSheetId="5">'Пакеты 2020'!$H$51:$H$55</definedName>
    <definedName name="акт_отб_июл" localSheetId="2">'ПВХ 2020'!$H$45:$H$49</definedName>
    <definedName name="акт_отб_июл" localSheetId="3">'ПВХ липкая 2020'!$H$50:$H$54</definedName>
    <definedName name="акт_отб_июл" localSheetId="6">'Полилен 2020'!$H$54:$H$58</definedName>
    <definedName name="акт_отб_июл" localSheetId="7">'Политерм 2020'!$H$54:$H$58</definedName>
    <definedName name="акт_отб_июл" localSheetId="8">'Праймер и грунтовка 2020'!$H$55:$H$59</definedName>
    <definedName name="акт_отб_июл" localSheetId="12">'Шаблон (шт.)'!$H$56:$H$60</definedName>
    <definedName name="акт_отб_июл" localSheetId="9">'Шпули 2020'!$H$51:$H$55</definedName>
    <definedName name="акт_отб_июл">'Шаблон (кг.)'!$H$56:$H$60</definedName>
    <definedName name="акт_отб_июн" localSheetId="4">'Коробки 2020'!$H$38:$H$39</definedName>
    <definedName name="акт_отб_июн" localSheetId="1">'Мастика 2020'!$H$43:$H$45</definedName>
    <definedName name="акт_отб_июн" localSheetId="10">'Материал антиадгезионный 2020'!$H$41:$H$45</definedName>
    <definedName name="акт_отб_июн" localSheetId="5">'Пакеты 2020'!$H$41:$H$45</definedName>
    <definedName name="акт_отб_июн" localSheetId="2">'ПВХ 2020'!$H$37:$H$39</definedName>
    <definedName name="акт_отб_июн" localSheetId="3">'ПВХ липкая 2020'!$H$41:$H$44</definedName>
    <definedName name="акт_отб_июн" localSheetId="6">'Полилен 2020'!$H$44:$H$48</definedName>
    <definedName name="акт_отб_июн" localSheetId="7">'Политерм 2020'!$H$44:$H$48</definedName>
    <definedName name="акт_отб_июн" localSheetId="8">'Праймер и грунтовка 2020'!$H$44:$H$48</definedName>
    <definedName name="акт_отб_июн" localSheetId="12">'Шаблон (шт.)'!$H$45:$H$49</definedName>
    <definedName name="акт_отб_июн" localSheetId="9">'Шпули 2020'!$H$41:$H$45</definedName>
    <definedName name="акт_отб_июн">'Шаблон (кг.)'!$H$45:$H$49</definedName>
    <definedName name="акт_отб_май" localSheetId="4">'Коробки 2020'!$H$31:$H$35</definedName>
    <definedName name="акт_отб_май" localSheetId="1">'Мастика 2020'!$H$36:$H$40</definedName>
    <definedName name="акт_отб_май" localSheetId="10">'Материал антиадгезионный 2020'!$H$37:$H$38</definedName>
    <definedName name="акт_отб_май" localSheetId="5">'Пакеты 2020'!$H$34:$H$38</definedName>
    <definedName name="акт_отб_май" localSheetId="2">'ПВХ 2020'!$H$31:$H$34</definedName>
    <definedName name="акт_отб_май" localSheetId="3">'ПВХ липкая 2020'!$H$37:$H$38</definedName>
    <definedName name="акт_отб_май" localSheetId="6">'Полилен 2020'!$H$37:$H$41</definedName>
    <definedName name="акт_отб_май" localSheetId="7">'Политерм 2020'!$H$37:$H$41</definedName>
    <definedName name="акт_отб_май" localSheetId="8">'Праймер и грунтовка 2020'!$H$37:$H$41</definedName>
    <definedName name="акт_отб_май" localSheetId="12">'Шаблон (шт.)'!$H$38:$H$42</definedName>
    <definedName name="акт_отб_май" localSheetId="9">'Шпули 2020'!$H$34:$H$38</definedName>
    <definedName name="акт_отб_май">'Шаблон (кг.)'!$H$38:$H$42</definedName>
    <definedName name="акт_отб_мрт" localSheetId="4">'Коробки 2020'!$H$18:$H$22</definedName>
    <definedName name="акт_отб_мрт" localSheetId="1">'Мастика 2020'!$H$21:$H$25</definedName>
    <definedName name="акт_отб_мрт" localSheetId="10">'Материал антиадгезионный 2020'!$H$21:$H$25</definedName>
    <definedName name="акт_отб_мрт" localSheetId="5">'Пакеты 2020'!$H$18:$H$22</definedName>
    <definedName name="акт_отб_мрт" localSheetId="2">'ПВХ 2020'!$H$18:$H$21</definedName>
    <definedName name="акт_отб_мрт" localSheetId="3">'ПВХ липкая 2020'!$H$21:$H$25</definedName>
    <definedName name="акт_отб_мрт" localSheetId="6">'Полилен 2020'!$H$21:$H$25</definedName>
    <definedName name="акт_отб_мрт" localSheetId="7">'Политерм 2020'!$H$21:$H$25</definedName>
    <definedName name="акт_отб_мрт" localSheetId="8">'Праймер и грунтовка 2020'!$H$21:$H$25</definedName>
    <definedName name="акт_отб_мрт" localSheetId="12">'Шаблон (шт.)'!$H$21:$H$25</definedName>
    <definedName name="акт_отб_мрт" localSheetId="9">'Шпули 2020'!$H$18:$H$22</definedName>
    <definedName name="акт_отб_мрт">'Шаблон (кг.)'!$H$21:$H$25</definedName>
    <definedName name="акт_отб_нбр" localSheetId="4">'Коробки 2020'!$H$77:$H$81</definedName>
    <definedName name="акт_отб_нбр" localSheetId="1">'Мастика 2020'!$H$83:$H$87</definedName>
    <definedName name="акт_отб_нбр" localSheetId="10">'Материал антиадгезионный 2020'!$H$83:$H$87</definedName>
    <definedName name="акт_отб_нбр" localSheetId="5">'Пакеты 2020'!$H$83:$H$87</definedName>
    <definedName name="акт_отб_нбр" localSheetId="2">'ПВХ 2020'!$H$77:$H$81</definedName>
    <definedName name="акт_отб_нбр" localSheetId="3">'ПВХ липкая 2020'!$H$82:$H$86</definedName>
    <definedName name="акт_отб_нбр" localSheetId="6">'Полилен 2020'!$H$86:$H$90</definedName>
    <definedName name="акт_отб_нбр" localSheetId="7">'Политерм 2020'!$H$86:$H$90</definedName>
    <definedName name="акт_отб_нбр" localSheetId="8">'Праймер и грунтовка 2020'!$H$87:$H$91</definedName>
    <definedName name="акт_отб_нбр" localSheetId="12">'Шаблон (шт.)'!$H$88:$H$92</definedName>
    <definedName name="акт_отб_нбр" localSheetId="9">'Шпули 2020'!$H$83:$H$87</definedName>
    <definedName name="акт_отб_нбр">'Шаблон (кг.)'!$H$88:$H$92</definedName>
    <definedName name="акт_отб_окт" localSheetId="4">'Коробки 2020'!$H$70:$H$74</definedName>
    <definedName name="акт_отб_окт" localSheetId="1">'Мастика 2020'!$H$76:$H$80</definedName>
    <definedName name="акт_отб_окт" localSheetId="10">'Материал антиадгезионный 2020'!$H$76:$H$80</definedName>
    <definedName name="акт_отб_окт" localSheetId="5">'Пакеты 2020'!$H$76:$H$80</definedName>
    <definedName name="акт_отб_окт" localSheetId="2">'ПВХ 2020'!$H$70:$H$74</definedName>
    <definedName name="акт_отб_окт" localSheetId="3">'ПВХ липкая 2020'!$H$75:$H$79</definedName>
    <definedName name="акт_отб_окт" localSheetId="6">'Полилен 2020'!$H$79:$H$83</definedName>
    <definedName name="акт_отб_окт" localSheetId="7">'Политерм 2020'!$H$79:$H$83</definedName>
    <definedName name="акт_отб_окт" localSheetId="8">'Праймер и грунтовка 2020'!$H$80:$H$84</definedName>
    <definedName name="акт_отб_окт" localSheetId="12">'Шаблон (шт.)'!$H$81:$H$85</definedName>
    <definedName name="акт_отб_окт" localSheetId="9">'Шпули 2020'!$H$76:$H$80</definedName>
    <definedName name="акт_отб_окт">'Шаблон (кг.)'!$H$81:$H$85</definedName>
    <definedName name="акт_отб_снт" localSheetId="4">'Коробки 2020'!$H$59:$H$63</definedName>
    <definedName name="акт_отб_снт" localSheetId="1">'Мастика 2020'!$H$65:$H$69</definedName>
    <definedName name="акт_отб_снт" localSheetId="10">'Материал антиадгезионный 2020'!$H$65:$H$69</definedName>
    <definedName name="акт_отб_снт" localSheetId="5">'Пакеты 2020'!$H$65:$H$69</definedName>
    <definedName name="акт_отб_снт" localSheetId="2">'ПВХ 2020'!$H$59:$H$63</definedName>
    <definedName name="акт_отб_снт" localSheetId="3">'ПВХ липкая 2020'!$H$64:$H$68</definedName>
    <definedName name="акт_отб_снт" localSheetId="6">'Полилен 2020'!$H$68:$H$72</definedName>
    <definedName name="акт_отб_снт" localSheetId="7">'Политерм 2020'!$H$68:$H$72</definedName>
    <definedName name="акт_отб_снт" localSheetId="8">'Праймер и грунтовка 2020'!$H$69:$H$73</definedName>
    <definedName name="акт_отб_снт" localSheetId="12">'Шаблон (шт.)'!$H$70:$H$74</definedName>
    <definedName name="акт_отб_снт" localSheetId="9">'Шпули 2020'!$H$65:$H$69</definedName>
    <definedName name="акт_отб_снт">'Шаблон (кг.)'!$H$70:$H$74</definedName>
    <definedName name="акт_отб_фев" localSheetId="4">'Коробки 2020'!$H$14:$H$15</definedName>
    <definedName name="акт_отб_фев" localSheetId="1">'Мастика 2020'!$H$15:$H$18</definedName>
    <definedName name="акт_отб_фев" localSheetId="10">'Материал антиадгезионный 2020'!$H$14:$H$18</definedName>
    <definedName name="акт_отб_фев" localSheetId="5">'Пакеты 2020'!$H$14:$H$15</definedName>
    <definedName name="акт_отб_фев" localSheetId="2">'ПВХ 2020'!$H$11:$H$15</definedName>
    <definedName name="акт_отб_фев" localSheetId="3">'ПВХ липкая 2020'!$H$14:$H$18</definedName>
    <definedName name="акт_отб_фев" localSheetId="6">'Полилен 2020'!$H$14:$H$18</definedName>
    <definedName name="акт_отб_фев" localSheetId="7">'Политерм 2020'!$H$14:$H$18</definedName>
    <definedName name="акт_отб_фев" localSheetId="8">'Праймер и грунтовка 2020'!$H$14:$H$18</definedName>
    <definedName name="акт_отб_фев" localSheetId="12">'Шаблон (шт.)'!$H$14:$H$18</definedName>
    <definedName name="акт_отб_фев" localSheetId="9">'Шпули 2020'!$H$14:$H$15</definedName>
    <definedName name="акт_отб_фев">'Шаблон (кг.)'!$H$14:$H$18</definedName>
    <definedName name="акт_отб_янв" localSheetId="4">'Коробки 2020'!$H$7:$H$11</definedName>
    <definedName name="акт_отб_янв" localSheetId="1">'Мастика 2020'!$H$7:$H$11</definedName>
    <definedName name="акт_отб_янв" localSheetId="10">'Материал антиадгезионный 2020'!$H$7:$H$11</definedName>
    <definedName name="акт_отб_янв" localSheetId="5">'Пакеты 2020'!$H$7:$H$11</definedName>
    <definedName name="акт_отб_янв" localSheetId="2">'ПВХ 2020'!$H$7:$H$8</definedName>
    <definedName name="акт_отб_янв" localSheetId="3">'ПВХ липкая 2020'!$H$7:$H$11</definedName>
    <definedName name="акт_отб_янв" localSheetId="6">'Полилен 2020'!$H$7:$H$11</definedName>
    <definedName name="акт_отб_янв" localSheetId="7">'Политерм 2020'!$H$7:$H$11</definedName>
    <definedName name="акт_отб_янв" localSheetId="8">'Праймер и грунтовка 2020'!$H$7:$H$11</definedName>
    <definedName name="акт_отб_янв" localSheetId="12">'Шаблон (шт.)'!$H$7:$H$11</definedName>
    <definedName name="акт_отб_янв" localSheetId="9">'Шпули 2020'!$H$7:$H$11</definedName>
    <definedName name="акт_отб_янв">'Шаблон (кг.)'!$H$7:$H$11</definedName>
    <definedName name="апр_кол" localSheetId="4">'Коробки 2020'!$E$27:$E$28</definedName>
    <definedName name="апр_кол" localSheetId="1">'Мастика 2020'!$E$30:$E$33</definedName>
    <definedName name="апр_кол" localSheetId="10">'Материал антиадгезионный 2020'!$E$30:$E$34</definedName>
    <definedName name="апр_кол" localSheetId="5">'Пакеты 2020'!$E$27:$E$31</definedName>
    <definedName name="апр_кол" localSheetId="2">'ПВХ 2020'!$E$26:$E$28</definedName>
    <definedName name="апр_кол" localSheetId="3">'ПВХ липкая 2020'!$E$30:$E$34</definedName>
    <definedName name="апр_кол" localSheetId="6">'Полилен 2020'!$E$30:$E$34</definedName>
    <definedName name="апр_кол" localSheetId="7">'Политерм 2020'!$E$30:$E$34</definedName>
    <definedName name="апр_кол" localSheetId="8">'Праймер и грунтовка 2020'!$E$30:$E$34</definedName>
    <definedName name="апр_кол" localSheetId="12">'Шаблон (шт.)'!$E$31:$E$35</definedName>
    <definedName name="апр_кол" localSheetId="9">'Шпули 2020'!$E$27:$E$31</definedName>
    <definedName name="апр_кол">'Шаблон (кг.)'!$E$31:$E$35</definedName>
    <definedName name="апр_пр" localSheetId="4">'Коробки 2020'!$C$27:$C$28</definedName>
    <definedName name="апр_пр" localSheetId="1">'Мастика 2020'!$C$30:$C$33</definedName>
    <definedName name="апр_пр" localSheetId="10">'Материал антиадгезионный 2020'!$C$30:$C$34</definedName>
    <definedName name="апр_пр" localSheetId="5">'Пакеты 2020'!$C$27:$C$31</definedName>
    <definedName name="апр_пр" localSheetId="2">'ПВХ 2020'!$C$26:$C$28</definedName>
    <definedName name="апр_пр" localSheetId="3">'ПВХ липкая 2020'!$C$30:$C$34</definedName>
    <definedName name="апр_пр" localSheetId="6">'Полилен 2020'!$C$30:$C$34</definedName>
    <definedName name="апр_пр" localSheetId="7">'Политерм 2020'!$C$30:$C$34</definedName>
    <definedName name="апр_пр" localSheetId="8">'Праймер и грунтовка 2020'!$C$30:$C$34</definedName>
    <definedName name="апр_пр" localSheetId="12">'Шаблон (шт.)'!$C$31:$C$35</definedName>
    <definedName name="апр_пр" localSheetId="9">'Шпули 2020'!$C$27:$C$31</definedName>
    <definedName name="апр_пр">'Шаблон (кг.)'!$C$31:$C$35</definedName>
    <definedName name="дкб_кол" localSheetId="4">'Коробки 2020'!$E$84:$E$88</definedName>
    <definedName name="дкб_кол" localSheetId="1">'Мастика 2020'!$E$90:$E$94</definedName>
    <definedName name="дкб_кол" localSheetId="10">'Материал антиадгезионный 2020'!$E$90:$E$94</definedName>
    <definedName name="дкб_кол" localSheetId="5">'Пакеты 2020'!$E$90:$E$94</definedName>
    <definedName name="дкб_кол" localSheetId="2">'ПВХ 2020'!$E$84:$E$88</definedName>
    <definedName name="дкб_кол" localSheetId="3">'ПВХ липкая 2020'!$E$89:$E$93</definedName>
    <definedName name="дкб_кол" localSheetId="6">'Полилен 2020'!$E$93:$E$97</definedName>
    <definedName name="дкб_кол" localSheetId="7">'Политерм 2020'!$E$93:$E$97</definedName>
    <definedName name="дкб_кол" localSheetId="8">'Праймер и грунтовка 2020'!$E$94:$E$98</definedName>
    <definedName name="дкб_кол" localSheetId="12">'Шаблон (шт.)'!$E$95:$E$99</definedName>
    <definedName name="дкб_кол" localSheetId="9">'Шпули 2020'!$E$90:$E$94</definedName>
    <definedName name="дкб_кол">'Шаблон (кг.)'!$E$95:$E$99</definedName>
    <definedName name="дкб_пр" localSheetId="4">'Коробки 2020'!$C$84:$C$88</definedName>
    <definedName name="дкб_пр" localSheetId="1">'Мастика 2020'!$C$90:$C$94</definedName>
    <definedName name="дкб_пр" localSheetId="10">'Материал антиадгезионный 2020'!$C$90:$C$94</definedName>
    <definedName name="дкб_пр" localSheetId="5">'Пакеты 2020'!$C$90:$C$94</definedName>
    <definedName name="дкб_пр" localSheetId="2">'ПВХ 2020'!$C$84:$C$88</definedName>
    <definedName name="дкб_пр" localSheetId="3">'ПВХ липкая 2020'!$C$89:$C$93</definedName>
    <definedName name="дкб_пр" localSheetId="6">'Полилен 2020'!$C$93:$C$97</definedName>
    <definedName name="дкб_пр" localSheetId="7">'Политерм 2020'!$C$93:$C$97</definedName>
    <definedName name="дкб_пр" localSheetId="8">'Праймер и грунтовка 2020'!$C$94:$C$98</definedName>
    <definedName name="дкб_пр" localSheetId="12">'Шаблон (шт.)'!$C$95:$C$99</definedName>
    <definedName name="дкб_пр" localSheetId="9">'Шпули 2020'!$C$90:$C$94</definedName>
    <definedName name="дкб_пр">'Шаблон (кг.)'!$C$95:$C$99</definedName>
    <definedName name="июл_кол" localSheetId="4">'Коробки 2020'!$E$45:$E$49</definedName>
    <definedName name="июл_кол" localSheetId="1">'Мастика 2020'!$E$51:$E$55</definedName>
    <definedName name="июл_кол" localSheetId="10">'Материал антиадгезионный 2020'!$E$51:$E$55</definedName>
    <definedName name="июл_кол" localSheetId="5">'Пакеты 2020'!$E$51:$E$55</definedName>
    <definedName name="июл_кол" localSheetId="2">'ПВХ 2020'!$E$45:$E$49</definedName>
    <definedName name="июл_кол" localSheetId="3">'ПВХ липкая 2020'!$E$50:$E$54</definedName>
    <definedName name="июл_кол" localSheetId="6">'Полилен 2020'!$E$54:$E$58</definedName>
    <definedName name="июл_кол" localSheetId="7">'Политерм 2020'!$E$54:$E$58</definedName>
    <definedName name="июл_кол" localSheetId="8">'Праймер и грунтовка 2020'!$E$55:$E$59</definedName>
    <definedName name="июл_кол" localSheetId="12">'Шаблон (шт.)'!$E$56:$E$60</definedName>
    <definedName name="июл_кол" localSheetId="9">'Шпули 2020'!$E$51:$E$55</definedName>
    <definedName name="июл_кол">'Шаблон (кг.)'!$E$56:$E$60</definedName>
    <definedName name="июл_пр" localSheetId="4">'Коробки 2020'!$C$45:$C$49</definedName>
    <definedName name="июл_пр" localSheetId="1">'Мастика 2020'!$C$51:$C$55</definedName>
    <definedName name="июл_пр" localSheetId="10">'Материал антиадгезионный 2020'!$C$51:$C$55</definedName>
    <definedName name="июл_пр" localSheetId="5">'Пакеты 2020'!$C$51:$C$55</definedName>
    <definedName name="июл_пр" localSheetId="2">'ПВХ 2020'!$C$45:$C$49</definedName>
    <definedName name="июл_пр" localSheetId="3">'ПВХ липкая 2020'!$C$50:$C$54</definedName>
    <definedName name="июл_пр" localSheetId="6">'Полилен 2020'!$C$54:$C$58</definedName>
    <definedName name="июл_пр" localSheetId="7">'Политерм 2020'!$C$54:$C$58</definedName>
    <definedName name="июл_пр" localSheetId="8">'Праймер и грунтовка 2020'!$C$55:$C$59</definedName>
    <definedName name="июл_пр" localSheetId="12">'Шаблон (шт.)'!$C$56:$C$60</definedName>
    <definedName name="июл_пр" localSheetId="9">'Шпули 2020'!$C$51:$C$55</definedName>
    <definedName name="июл_пр">'Шаблон (кг.)'!$C$56:$C$60</definedName>
    <definedName name="июн_кол" localSheetId="4">'Коробки 2020'!$E$38:$E$39</definedName>
    <definedName name="июн_кол" localSheetId="1">'Мастика 2020'!$E$43:$E$45</definedName>
    <definedName name="июн_кол" localSheetId="10">'Материал антиадгезионный 2020'!$E$41:$E$45</definedName>
    <definedName name="июн_кол" localSheetId="5">'Пакеты 2020'!$E$41:$E$45</definedName>
    <definedName name="июн_кол" localSheetId="2">'ПВХ 2020'!$E$37:$E$39</definedName>
    <definedName name="июн_кол" localSheetId="3">'ПВХ липкая 2020'!$E$41:$E$44</definedName>
    <definedName name="июн_кол" localSheetId="6">'Полилен 2020'!$E$44:$E$48</definedName>
    <definedName name="июн_кол" localSheetId="7">'Политерм 2020'!$E$44:$E$48</definedName>
    <definedName name="июн_кол" localSheetId="8">'Праймер и грунтовка 2020'!$E$44:$E$48</definedName>
    <definedName name="июн_кол" localSheetId="12">'Шаблон (шт.)'!$E$45:$E$49</definedName>
    <definedName name="июн_кол" localSheetId="9">'Шпули 2020'!$E$41:$E$45</definedName>
    <definedName name="июн_кол">'Шаблон (кг.)'!$E$45:$E$49</definedName>
    <definedName name="июн_пр" localSheetId="4">'Коробки 2020'!$C$38:$C$39</definedName>
    <definedName name="июн_пр" localSheetId="1">'Мастика 2020'!$C$43:$C$45</definedName>
    <definedName name="июн_пр" localSheetId="10">'Материал антиадгезионный 2020'!$C$41:$C$45</definedName>
    <definedName name="июн_пр" localSheetId="5">'Пакеты 2020'!$C$41:$C$45</definedName>
    <definedName name="июн_пр" localSheetId="2">'ПВХ 2020'!$C$37:$C$39</definedName>
    <definedName name="июн_пр" localSheetId="3">'ПВХ липкая 2020'!$C$41:$C$44</definedName>
    <definedName name="июн_пр" localSheetId="6">'Полилен 2020'!$C$44:$C$48</definedName>
    <definedName name="июн_пр" localSheetId="7">'Политерм 2020'!$C$44:$C$48</definedName>
    <definedName name="июн_пр" localSheetId="8">'Праймер и грунтовка 2020'!$C$44:$C$48</definedName>
    <definedName name="июн_пр" localSheetId="12">'Шаблон (шт.)'!$C$45:$C$49</definedName>
    <definedName name="июн_пр" localSheetId="9">'Шпули 2020'!$C$41:$C$45</definedName>
    <definedName name="июн_пр">'Шаблон (кг.)'!$C$45:$C$49</definedName>
    <definedName name="кол_отб_авг" localSheetId="4">'Коробки 2020'!$J$52:$J$56</definedName>
    <definedName name="кол_отб_авг" localSheetId="1">'Мастика 2020'!$J$58:$J$62</definedName>
    <definedName name="кол_отб_авг" localSheetId="10">'Материал антиадгезионный 2020'!$J$58:$J$62</definedName>
    <definedName name="кол_отб_авг" localSheetId="5">'Пакеты 2020'!$J$58:$J$62</definedName>
    <definedName name="кол_отб_авг" localSheetId="2">'ПВХ 2020'!$J$52:$J$56</definedName>
    <definedName name="кол_отб_авг" localSheetId="3">'ПВХ липкая 2020'!$J$57:$J$61</definedName>
    <definedName name="кол_отб_авг" localSheetId="6">'Полилен 2020'!$J$61:$J$65</definedName>
    <definedName name="кол_отб_авг" localSheetId="7">'Политерм 2020'!$J$61:$J$65</definedName>
    <definedName name="кол_отб_авг" localSheetId="8">'Праймер и грунтовка 2020'!$J$62:$J$66</definedName>
    <definedName name="кол_отб_авг" localSheetId="12">'Шаблон (шт.)'!$J$63:$J$67</definedName>
    <definedName name="кол_отб_авг" localSheetId="9">'Шпули 2020'!$J$58:$J$62</definedName>
    <definedName name="кол_отб_авг">'Шаблон (кг.)'!$J$63:$J$67</definedName>
    <definedName name="кол_отб_апр" localSheetId="4">'Коробки 2020'!$J$27:$J$28</definedName>
    <definedName name="кол_отб_апр" localSheetId="1">'Мастика 2020'!$J$30:$J$33</definedName>
    <definedName name="кол_отб_апр" localSheetId="10">'Материал антиадгезионный 2020'!$J$30:$J$34</definedName>
    <definedName name="кол_отб_апр" localSheetId="5">'Пакеты 2020'!$J$27:$J$31</definedName>
    <definedName name="кол_отб_апр" localSheetId="2">'ПВХ 2020'!$J$26:$J$28</definedName>
    <definedName name="кол_отб_апр" localSheetId="3">'ПВХ липкая 2020'!$J$30:$J$34</definedName>
    <definedName name="кол_отб_апр" localSheetId="6">'Полилен 2020'!$J$30:$J$34</definedName>
    <definedName name="кол_отб_апр" localSheetId="7">'Политерм 2020'!$J$30:$J$34</definedName>
    <definedName name="кол_отб_апр" localSheetId="8">'Праймер и грунтовка 2020'!$J$30:$J$34</definedName>
    <definedName name="кол_отб_апр" localSheetId="12">'Шаблон (шт.)'!$J$31:$J$35</definedName>
    <definedName name="кол_отб_апр" localSheetId="9">'Шпули 2020'!$J$27:$J$31</definedName>
    <definedName name="кол_отб_апр">'Шаблон (кг.)'!$J$31:$J$35</definedName>
    <definedName name="кол_отб_дкб" localSheetId="4">'Коробки 2020'!$J$84:$J$88</definedName>
    <definedName name="кол_отб_дкб" localSheetId="1">'Мастика 2020'!$J$90:$J$94</definedName>
    <definedName name="кол_отб_дкб" localSheetId="10">'Материал антиадгезионный 2020'!$J$90:$J$94</definedName>
    <definedName name="кол_отб_дкб" localSheetId="5">'Пакеты 2020'!$J$90:$J$94</definedName>
    <definedName name="кол_отб_дкб" localSheetId="2">'ПВХ 2020'!$J$84:$J$88</definedName>
    <definedName name="кол_отб_дкб" localSheetId="3">'ПВХ липкая 2020'!$J$89:$J$93</definedName>
    <definedName name="кол_отб_дкб" localSheetId="6">'Полилен 2020'!$J$93:$J$97</definedName>
    <definedName name="кол_отб_дкб" localSheetId="7">'Политерм 2020'!$J$93:$J$97</definedName>
    <definedName name="кол_отб_дкб" localSheetId="8">'Праймер и грунтовка 2020'!$J$94:$J$98</definedName>
    <definedName name="кол_отб_дкб" localSheetId="12">'Шаблон (шт.)'!$J$95:$J$99</definedName>
    <definedName name="кол_отб_дкб" localSheetId="9">'Шпули 2020'!$J$90:$J$94</definedName>
    <definedName name="кол_отб_дкб">'Шаблон (кг.)'!$J$95:$J$99</definedName>
    <definedName name="кол_отб_июл" localSheetId="4">'Коробки 2020'!$J$45:$J$49</definedName>
    <definedName name="кол_отб_июл" localSheetId="1">'Мастика 2020'!$J$51:$J$55</definedName>
    <definedName name="кол_отб_июл" localSheetId="10">'Материал антиадгезионный 2020'!$J$51:$J$55</definedName>
    <definedName name="кол_отб_июл" localSheetId="5">'Пакеты 2020'!$J$51:$J$55</definedName>
    <definedName name="кол_отб_июл" localSheetId="2">'ПВХ 2020'!$J$45:$J$49</definedName>
    <definedName name="кол_отб_июл" localSheetId="3">'ПВХ липкая 2020'!$J$50:$J$54</definedName>
    <definedName name="кол_отб_июл" localSheetId="6">'Полилен 2020'!$J$54:$J$58</definedName>
    <definedName name="кол_отб_июл" localSheetId="7">'Политерм 2020'!$J$54:$J$58</definedName>
    <definedName name="кол_отб_июл" localSheetId="8">'Праймер и грунтовка 2020'!$J$55:$J$59</definedName>
    <definedName name="кол_отб_июл" localSheetId="12">'Шаблон (шт.)'!$J$56:$J$60</definedName>
    <definedName name="кол_отб_июл" localSheetId="9">'Шпули 2020'!$J$51:$J$55</definedName>
    <definedName name="кол_отб_июл">'Шаблон (кг.)'!$J$56:$J$60</definedName>
    <definedName name="кол_отб_июн" localSheetId="4">'Коробки 2020'!$J$38:$J$39</definedName>
    <definedName name="кол_отб_июн" localSheetId="1">'Мастика 2020'!$J$43:$J$45</definedName>
    <definedName name="кол_отб_июн" localSheetId="10">'Материал антиадгезионный 2020'!$J$41:$J$45</definedName>
    <definedName name="кол_отб_июн" localSheetId="5">'Пакеты 2020'!$J$41:$J$45</definedName>
    <definedName name="кол_отб_июн" localSheetId="2">'ПВХ 2020'!$J$37:$J$39</definedName>
    <definedName name="кол_отб_июн" localSheetId="3">'ПВХ липкая 2020'!$J$41:$J$44</definedName>
    <definedName name="кол_отб_июн" localSheetId="6">'Полилен 2020'!$J$44:$J$48</definedName>
    <definedName name="кол_отб_июн" localSheetId="7">'Политерм 2020'!$J$44:$J$48</definedName>
    <definedName name="кол_отб_июн" localSheetId="8">'Праймер и грунтовка 2020'!$J$44:$J$48</definedName>
    <definedName name="кол_отб_июн" localSheetId="12">'Шаблон (шт.)'!$J$45:$J$49</definedName>
    <definedName name="кол_отб_июн" localSheetId="9">'Шпули 2020'!$J$41:$J$45</definedName>
    <definedName name="кол_отб_июн">'Шаблон (кг.)'!$J$45:$J$49</definedName>
    <definedName name="кол_отб_май" localSheetId="4">'Коробки 2020'!$J$31:$J$35</definedName>
    <definedName name="кол_отб_май" localSheetId="1">'Мастика 2020'!$J$36:$J$40</definedName>
    <definedName name="кол_отб_май" localSheetId="10">'Материал антиадгезионный 2020'!$J$37:$J$38</definedName>
    <definedName name="кол_отб_май" localSheetId="5">'Пакеты 2020'!$J$34:$J$38</definedName>
    <definedName name="кол_отб_май" localSheetId="2">'ПВХ 2020'!$J$31:$J$34</definedName>
    <definedName name="кол_отб_май" localSheetId="3">'ПВХ липкая 2020'!$J$37:$J$38</definedName>
    <definedName name="кол_отб_май" localSheetId="6">'Полилен 2020'!$J$37:$J$41</definedName>
    <definedName name="кол_отб_май" localSheetId="7">'Политерм 2020'!$J$37:$J$41</definedName>
    <definedName name="кол_отб_май" localSheetId="8">'Праймер и грунтовка 2020'!$J$37:$J$41</definedName>
    <definedName name="кол_отб_май" localSheetId="12">'Шаблон (шт.)'!$J$38:$J$42</definedName>
    <definedName name="кол_отб_май" localSheetId="9">'Шпули 2020'!$J$34:$J$38</definedName>
    <definedName name="кол_отб_май">'Шаблон (кг.)'!$J$38:$J$42</definedName>
    <definedName name="кол_отб_мрт" localSheetId="4">'Коробки 2020'!$J$18:$J$22</definedName>
    <definedName name="кол_отб_мрт" localSheetId="1">'Мастика 2020'!$J$21:$J$25</definedName>
    <definedName name="кол_отб_мрт" localSheetId="10">'Материал антиадгезионный 2020'!$J$21:$J$25</definedName>
    <definedName name="кол_отб_мрт" localSheetId="5">'Пакеты 2020'!$J$18:$J$22</definedName>
    <definedName name="кол_отб_мрт" localSheetId="2">'ПВХ 2020'!$J$18:$J$21</definedName>
    <definedName name="кол_отб_мрт" localSheetId="3">'ПВХ липкая 2020'!$J$21:$J$25</definedName>
    <definedName name="кол_отб_мрт" localSheetId="6">'Полилен 2020'!$J$21:$J$25</definedName>
    <definedName name="кол_отб_мрт" localSheetId="7">'Политерм 2020'!$J$21:$J$25</definedName>
    <definedName name="кол_отб_мрт" localSheetId="8">'Праймер и грунтовка 2020'!$J$21:$J$25</definedName>
    <definedName name="кол_отб_мрт" localSheetId="12">'Шаблон (шт.)'!$J$21:$J$25</definedName>
    <definedName name="кол_отб_мрт" localSheetId="9">'Шпули 2020'!$J$18:$J$22</definedName>
    <definedName name="кол_отб_мрт">'Шаблон (кг.)'!$J$21:$J$25</definedName>
    <definedName name="кол_отб_нбр" localSheetId="4">'Коробки 2020'!$J$77:$J$81</definedName>
    <definedName name="кол_отб_нбр" localSheetId="1">'Мастика 2020'!$J$83:$J$87</definedName>
    <definedName name="кол_отб_нбр" localSheetId="10">'Материал антиадгезионный 2020'!$J$83:$J$87</definedName>
    <definedName name="кол_отб_нбр" localSheetId="5">'Пакеты 2020'!$J$83:$J$87</definedName>
    <definedName name="кол_отб_нбр" localSheetId="2">'ПВХ 2020'!$J$77:$J$81</definedName>
    <definedName name="кол_отб_нбр" localSheetId="3">'ПВХ липкая 2020'!$J$82:$J$86</definedName>
    <definedName name="кол_отб_нбр" localSheetId="6">'Полилен 2020'!$J$86:$J$90</definedName>
    <definedName name="кол_отб_нбр" localSheetId="7">'Политерм 2020'!$J$86:$J$90</definedName>
    <definedName name="кол_отб_нбр" localSheetId="8">'Праймер и грунтовка 2020'!$J$87:$J$91</definedName>
    <definedName name="кол_отб_нбр" localSheetId="12">'Шаблон (шт.)'!$J$88:$J$92</definedName>
    <definedName name="кол_отб_нбр" localSheetId="9">'Шпули 2020'!$J$83:$J$87</definedName>
    <definedName name="кол_отб_нбр">'Шаблон (кг.)'!$J$88:$J$92</definedName>
    <definedName name="кол_отб_окт" localSheetId="4">'Коробки 2020'!$J$70:$J$74</definedName>
    <definedName name="кол_отб_окт" localSheetId="1">'Мастика 2020'!$J$76:$J$80</definedName>
    <definedName name="кол_отб_окт" localSheetId="10">'Материал антиадгезионный 2020'!$J$76:$J$80</definedName>
    <definedName name="кол_отб_окт" localSheetId="5">'Пакеты 2020'!$J$76:$J$80</definedName>
    <definedName name="кол_отб_окт" localSheetId="2">'ПВХ 2020'!$J$70:$J$74</definedName>
    <definedName name="кол_отб_окт" localSheetId="3">'ПВХ липкая 2020'!$J$75:$J$79</definedName>
    <definedName name="кол_отб_окт" localSheetId="6">'Полилен 2020'!$J$79:$J$83</definedName>
    <definedName name="кол_отб_окт" localSheetId="7">'Политерм 2020'!$J$79:$J$83</definedName>
    <definedName name="кол_отб_окт" localSheetId="8">'Праймер и грунтовка 2020'!$J$80:$J$84</definedName>
    <definedName name="кол_отб_окт" localSheetId="12">'Шаблон (шт.)'!$J$81:$J$85</definedName>
    <definedName name="кол_отб_окт" localSheetId="9">'Шпули 2020'!$J$76:$J$80</definedName>
    <definedName name="кол_отб_окт">'Шаблон (кг.)'!$J$81:$J$85</definedName>
    <definedName name="кол_отб_снт" localSheetId="4">'Коробки 2020'!$J$59:$J$63</definedName>
    <definedName name="кол_отб_снт" localSheetId="1">'Мастика 2020'!$J$65:$J$69</definedName>
    <definedName name="кол_отб_снт" localSheetId="10">'Материал антиадгезионный 2020'!$J$65:$J$69</definedName>
    <definedName name="кол_отб_снт" localSheetId="5">'Пакеты 2020'!$J$65:$J$69</definedName>
    <definedName name="кол_отб_снт" localSheetId="2">'ПВХ 2020'!$J$59:$J$63</definedName>
    <definedName name="кол_отб_снт" localSheetId="3">'ПВХ липкая 2020'!$J$64:$J$68</definedName>
    <definedName name="кол_отб_снт" localSheetId="6">'Полилен 2020'!$J$68:$J$72</definedName>
    <definedName name="кол_отб_снт" localSheetId="7">'Политерм 2020'!$J$68:$J$72</definedName>
    <definedName name="кол_отб_снт" localSheetId="8">'Праймер и грунтовка 2020'!$J$69:$J$73</definedName>
    <definedName name="кол_отб_снт" localSheetId="12">'Шаблон (шт.)'!$J$70:$J$74</definedName>
    <definedName name="кол_отб_снт" localSheetId="9">'Шпули 2020'!$J$65:$J$69</definedName>
    <definedName name="кол_отб_снт">'Шаблон (кг.)'!$J$70:$J$74</definedName>
    <definedName name="кол_отб_фев" localSheetId="4">'Коробки 2020'!$J$14:$J$15</definedName>
    <definedName name="кол_отб_фев" localSheetId="1">'Мастика 2020'!$J$15:$J$18</definedName>
    <definedName name="кол_отб_фев" localSheetId="10">'Материал антиадгезионный 2020'!$J$14:$J$18</definedName>
    <definedName name="кол_отб_фев" localSheetId="5">'Пакеты 2020'!$J$14:$J$15</definedName>
    <definedName name="кол_отб_фев" localSheetId="2">'ПВХ 2020'!$J$11:$J$15</definedName>
    <definedName name="кол_отб_фев" localSheetId="3">'ПВХ липкая 2020'!$J$14:$J$18</definedName>
    <definedName name="кол_отб_фев" localSheetId="6">'Полилен 2020'!$J$14:$J$18</definedName>
    <definedName name="кол_отб_фев" localSheetId="7">'Политерм 2020'!$J$14:$J$18</definedName>
    <definedName name="кол_отб_фев" localSheetId="8">'Праймер и грунтовка 2020'!$J$14:$J$18</definedName>
    <definedName name="кол_отб_фев" localSheetId="12">'Шаблон (шт.)'!$J$14:$J$18</definedName>
    <definedName name="кол_отб_фев" localSheetId="9">'Шпули 2020'!$J$14:$J$15</definedName>
    <definedName name="кол_отб_фев">'Шаблон (кг.)'!$J$14:$J$18</definedName>
    <definedName name="кол_отб_янв" localSheetId="4">'Коробки 2020'!$J$7:$J$11</definedName>
    <definedName name="кол_отб_янв" localSheetId="1">'Мастика 2020'!$J$7:$J$11</definedName>
    <definedName name="кол_отб_янв" localSheetId="10">'Материал антиадгезионный 2020'!$J$7:$J$11</definedName>
    <definedName name="кол_отб_янв" localSheetId="5">'Пакеты 2020'!$J$7:$J$11</definedName>
    <definedName name="кол_отб_янв" localSheetId="2">'ПВХ 2020'!$J$7:$J$8</definedName>
    <definedName name="кол_отб_янв" localSheetId="3">'ПВХ липкая 2020'!$J$7:$J$11</definedName>
    <definedName name="кол_отб_янв" localSheetId="6">'Полилен 2020'!$J$7:$J$11</definedName>
    <definedName name="кол_отб_янв" localSheetId="7">'Политерм 2020'!$J$7:$J$11</definedName>
    <definedName name="кол_отб_янв" localSheetId="8">'Праймер и грунтовка 2020'!$J$7:$J$11</definedName>
    <definedName name="кол_отб_янв" localSheetId="12">'Шаблон (шт.)'!$J$7:$J$11</definedName>
    <definedName name="кол_отб_янв" localSheetId="9">'Шпули 2020'!$J$7:$J$11</definedName>
    <definedName name="кол_отб_янв">'Шаблон (кг.)'!$J$7:$J$11</definedName>
    <definedName name="май_кол" localSheetId="4">'Коробки 2020'!$E$31:$E$35</definedName>
    <definedName name="май_кол" localSheetId="1">'Мастика 2020'!$E$36:$E$40</definedName>
    <definedName name="май_кол" localSheetId="10">'Материал антиадгезионный 2020'!$E$37:$E$38</definedName>
    <definedName name="май_кол" localSheetId="5">'Пакеты 2020'!$E$34:$E$38</definedName>
    <definedName name="май_кол" localSheetId="2">'ПВХ 2020'!$E$31:$E$34</definedName>
    <definedName name="май_кол" localSheetId="3">'ПВХ липкая 2020'!$E$37:$E$38</definedName>
    <definedName name="май_кол" localSheetId="6">'Полилен 2020'!$E$37:$E$41</definedName>
    <definedName name="май_кол" localSheetId="7">'Политерм 2020'!$E$37:$E$41</definedName>
    <definedName name="май_кол" localSheetId="8">'Праймер и грунтовка 2020'!$E$37:$E$41</definedName>
    <definedName name="май_кол" localSheetId="12">'Шаблон (шт.)'!$E$38:$E$42</definedName>
    <definedName name="май_кол" localSheetId="9">'Шпули 2020'!$E$34:$E$38</definedName>
    <definedName name="май_кол">'Шаблон (кг.)'!$E$38:$E$42</definedName>
    <definedName name="май_пр" localSheetId="4">'Коробки 2020'!$C$31:$C$35</definedName>
    <definedName name="май_пр" localSheetId="1">'Мастика 2020'!$C$36:$C$40</definedName>
    <definedName name="май_пр" localSheetId="10">'Материал антиадгезионный 2020'!$C$37:$C$38</definedName>
    <definedName name="май_пр" localSheetId="5">'Пакеты 2020'!$C$34:$C$38</definedName>
    <definedName name="май_пр" localSheetId="2">'ПВХ 2020'!$C$31:$C$34</definedName>
    <definedName name="май_пр" localSheetId="3">'ПВХ липкая 2020'!$C$37:$C$38</definedName>
    <definedName name="май_пр" localSheetId="6">'Полилен 2020'!$C$37:$C$41</definedName>
    <definedName name="май_пр" localSheetId="7">'Политерм 2020'!$C$37:$C$41</definedName>
    <definedName name="май_пр" localSheetId="8">'Праймер и грунтовка 2020'!$C$37:$C$41</definedName>
    <definedName name="май_пр" localSheetId="12">'Шаблон (шт.)'!$C$38:$C$42</definedName>
    <definedName name="май_пр" localSheetId="9">'Шпули 2020'!$C$34:$C$38</definedName>
    <definedName name="май_пр">'Шаблон (кг.)'!$C$38:$C$42</definedName>
    <definedName name="мрт_кол" localSheetId="4">'Коробки 2020'!$E$18:$E$22</definedName>
    <definedName name="мрт_кол" localSheetId="1">'Мастика 2020'!$E$21:$E$25</definedName>
    <definedName name="мрт_кол" localSheetId="10">'Материал антиадгезионный 2020'!$E$21:$E$25</definedName>
    <definedName name="мрт_кол" localSheetId="5">'Пакеты 2020'!$E$18:$E$22</definedName>
    <definedName name="мрт_кол" localSheetId="2">'ПВХ 2020'!$E$18:$E$21</definedName>
    <definedName name="мрт_кол" localSheetId="3">'ПВХ липкая 2020'!$E$21:$E$25</definedName>
    <definedName name="мрт_кол" localSheetId="6">'Полилен 2020'!$E$21:$E$25</definedName>
    <definedName name="мрт_кол" localSheetId="7">'Политерм 2020'!$E$21:$E$25</definedName>
    <definedName name="мрт_кол" localSheetId="8">'Праймер и грунтовка 2020'!$E$21:$E$25</definedName>
    <definedName name="мрт_кол" localSheetId="12">'Шаблон (шт.)'!$E$21:$E$25</definedName>
    <definedName name="мрт_кол" localSheetId="9">'Шпули 2020'!$E$18:$E$22</definedName>
    <definedName name="мрт_кол">'Шаблон (кг.)'!$E$21:$E$25</definedName>
    <definedName name="мрт_пр" localSheetId="4">'Коробки 2020'!$C$18:$C$22</definedName>
    <definedName name="мрт_пр" localSheetId="1">'Мастика 2020'!$C$21:$C$25</definedName>
    <definedName name="мрт_пр" localSheetId="10">'Материал антиадгезионный 2020'!$C$21:$C$25</definedName>
    <definedName name="мрт_пр" localSheetId="5">'Пакеты 2020'!$C$18:$C$22</definedName>
    <definedName name="мрт_пр" localSheetId="2">'ПВХ 2020'!$C$18:$C$21</definedName>
    <definedName name="мрт_пр" localSheetId="3">'ПВХ липкая 2020'!$C$21:$C$25</definedName>
    <definedName name="мрт_пр" localSheetId="6">'Полилен 2020'!$C$21:$C$25</definedName>
    <definedName name="мрт_пр" localSheetId="7">'Политерм 2020'!$C$21:$C$25</definedName>
    <definedName name="мрт_пр" localSheetId="8">'Праймер и грунтовка 2020'!$C$21:$C$25</definedName>
    <definedName name="мрт_пр" localSheetId="12">'Шаблон (шт.)'!$C$21:$C$25</definedName>
    <definedName name="мрт_пр" localSheetId="9">'Шпули 2020'!$C$18:$C$22</definedName>
    <definedName name="мрт_пр">'Шаблон (кг.)'!$C$21:$C$25</definedName>
    <definedName name="нбр_кол" localSheetId="4">'Коробки 2020'!$E$77:$E$81</definedName>
    <definedName name="нбр_кол" localSheetId="1">'Мастика 2020'!$E$83:$E$87</definedName>
    <definedName name="нбр_кол" localSheetId="10">'Материал антиадгезионный 2020'!$E$83:$E$87</definedName>
    <definedName name="нбр_кол" localSheetId="5">'Пакеты 2020'!$E$83:$E$87</definedName>
    <definedName name="нбр_кол" localSheetId="2">'ПВХ 2020'!$E$77:$E$81</definedName>
    <definedName name="нбр_кол" localSheetId="3">'ПВХ липкая 2020'!$E$82:$E$86</definedName>
    <definedName name="нбр_кол" localSheetId="6">'Полилен 2020'!$E$86:$E$90</definedName>
    <definedName name="нбр_кол" localSheetId="7">'Политерм 2020'!$E$86:$E$90</definedName>
    <definedName name="нбр_кол" localSheetId="8">'Праймер и грунтовка 2020'!$E$87:$E$91</definedName>
    <definedName name="нбр_кол" localSheetId="12">'Шаблон (шт.)'!$E$88:$E$92</definedName>
    <definedName name="нбр_кол" localSheetId="9">'Шпули 2020'!$E$83:$E$87</definedName>
    <definedName name="нбр_кол">'Шаблон (кг.)'!$E$88:$E$92</definedName>
    <definedName name="нбр_пр" localSheetId="4">'Коробки 2020'!$C$77:$C$81</definedName>
    <definedName name="нбр_пр" localSheetId="1">'Мастика 2020'!$C$83:$C$87</definedName>
    <definedName name="нбр_пр" localSheetId="10">'Материал антиадгезионный 2020'!$C$83:$C$87</definedName>
    <definedName name="нбр_пр" localSheetId="5">'Пакеты 2020'!$C$83:$C$87</definedName>
    <definedName name="нбр_пр" localSheetId="2">'ПВХ 2020'!$C$77:$C$81</definedName>
    <definedName name="нбр_пр" localSheetId="3">'ПВХ липкая 2020'!$C$82:$C$86</definedName>
    <definedName name="нбр_пр" localSheetId="6">'Полилен 2020'!$C$86:$C$90</definedName>
    <definedName name="нбр_пр" localSheetId="7">'Политерм 2020'!$C$86:$C$90</definedName>
    <definedName name="нбр_пр" localSheetId="8">'Праймер и грунтовка 2020'!$C$87:$C$91</definedName>
    <definedName name="нбр_пр" localSheetId="12">'Шаблон (шт.)'!$C$88:$C$92</definedName>
    <definedName name="нбр_пр" localSheetId="9">'Шпули 2020'!$C$83:$C$87</definedName>
    <definedName name="нбр_пр">'Шаблон (кг.)'!$C$88:$C$92</definedName>
    <definedName name="окт_кол" localSheetId="4">'Коробки 2020'!$E$70:$E$74</definedName>
    <definedName name="окт_кол" localSheetId="1">'Мастика 2020'!$E$76:$E$80</definedName>
    <definedName name="окт_кол" localSheetId="10">'Материал антиадгезионный 2020'!$E$76:$E$80</definedName>
    <definedName name="окт_кол" localSheetId="5">'Пакеты 2020'!$E$76:$E$80</definedName>
    <definedName name="окт_кол" localSheetId="2">'ПВХ 2020'!$E$70:$E$74</definedName>
    <definedName name="окт_кол" localSheetId="3">'ПВХ липкая 2020'!$E$75:$E$79</definedName>
    <definedName name="окт_кол" localSheetId="6">'Полилен 2020'!$E$79:$E$83</definedName>
    <definedName name="окт_кол" localSheetId="7">'Политерм 2020'!$E$79:$E$83</definedName>
    <definedName name="окт_кол" localSheetId="8">'Праймер и грунтовка 2020'!$E$80:$E$84</definedName>
    <definedName name="окт_кол" localSheetId="12">'Шаблон (шт.)'!$E$81:$E$85</definedName>
    <definedName name="окт_кол" localSheetId="9">'Шпули 2020'!$E$76:$E$80</definedName>
    <definedName name="окт_кол">'Шаблон (кг.)'!$E$81:$E$85</definedName>
    <definedName name="окт_пр" localSheetId="4">'Коробки 2020'!$C$70:$C$74</definedName>
    <definedName name="окт_пр" localSheetId="1">'Мастика 2020'!$C$76:$C$80</definedName>
    <definedName name="окт_пр" localSheetId="10">'Материал антиадгезионный 2020'!$C$76:$C$80</definedName>
    <definedName name="окт_пр" localSheetId="5">'Пакеты 2020'!$C$76:$C$80</definedName>
    <definedName name="окт_пр" localSheetId="2">'ПВХ 2020'!$C$70:$C$74</definedName>
    <definedName name="окт_пр" localSheetId="3">'ПВХ липкая 2020'!$C$75:$C$79</definedName>
    <definedName name="окт_пр" localSheetId="6">'Полилен 2020'!$C$79:$C$83</definedName>
    <definedName name="окт_пр" localSheetId="7">'Политерм 2020'!$C$79:$C$83</definedName>
    <definedName name="окт_пр" localSheetId="8">'Праймер и грунтовка 2020'!$C$80:$C$84</definedName>
    <definedName name="окт_пр" localSheetId="12">'Шаблон (шт.)'!$C$81:$C$85</definedName>
    <definedName name="окт_пр" localSheetId="9">'Шпули 2020'!$C$76:$C$80</definedName>
    <definedName name="окт_пр">'Шаблон (кг.)'!$C$81:$C$85</definedName>
    <definedName name="снт_кол" localSheetId="4">'Коробки 2020'!$E$59:$E$63</definedName>
    <definedName name="снт_кол" localSheetId="1">'Мастика 2020'!$E$65:$E$69</definedName>
    <definedName name="снт_кол" localSheetId="10">'Материал антиадгезионный 2020'!$E$65:$E$69</definedName>
    <definedName name="снт_кол" localSheetId="5">'Пакеты 2020'!$E$65:$E$69</definedName>
    <definedName name="снт_кол" localSheetId="2">'ПВХ 2020'!$E$59:$E$63</definedName>
    <definedName name="снт_кол" localSheetId="3">'ПВХ липкая 2020'!$E$64:$E$68</definedName>
    <definedName name="снт_кол" localSheetId="6">'Полилен 2020'!$E$68:$E$72</definedName>
    <definedName name="снт_кол" localSheetId="7">'Политерм 2020'!$E$68:$E$72</definedName>
    <definedName name="снт_кол" localSheetId="8">'Праймер и грунтовка 2020'!$E$69:$E$73</definedName>
    <definedName name="снт_кол" localSheetId="12">'Шаблон (шт.)'!$E$70:$E$74</definedName>
    <definedName name="снт_кол" localSheetId="9">'Шпули 2020'!$E$65:$E$69</definedName>
    <definedName name="снт_кол">'Шаблон (кг.)'!$E$70:$E$74</definedName>
    <definedName name="снт_пр" localSheetId="4">'Коробки 2020'!$C$59:$C$63</definedName>
    <definedName name="снт_пр" localSheetId="1">'Мастика 2020'!$C$65:$C$69</definedName>
    <definedName name="снт_пр" localSheetId="10">'Материал антиадгезионный 2020'!$C$65:$C$69</definedName>
    <definedName name="снт_пр" localSheetId="5">'Пакеты 2020'!$C$65:$C$69</definedName>
    <definedName name="снт_пр" localSheetId="2">'ПВХ 2020'!$C$59:$C$63</definedName>
    <definedName name="снт_пр" localSheetId="3">'ПВХ липкая 2020'!$C$64:$C$68</definedName>
    <definedName name="снт_пр" localSheetId="6">'Полилен 2020'!$C$68:$C$72</definedName>
    <definedName name="снт_пр" localSheetId="7">'Политерм 2020'!$C$68:$C$72</definedName>
    <definedName name="снт_пр" localSheetId="8">'Праймер и грунтовка 2020'!$C$69:$C$73</definedName>
    <definedName name="снт_пр" localSheetId="12">'Шаблон (шт.)'!$C$70:$C$74</definedName>
    <definedName name="снт_пр" localSheetId="9">'Шпули 2020'!$C$65:$C$69</definedName>
    <definedName name="снт_пр">'Шаблон (кг.)'!$C$70:$C$74</definedName>
    <definedName name="фев_кол" localSheetId="4">'Коробки 2020'!$E$14:$E$15</definedName>
    <definedName name="фев_кол" localSheetId="1">'Мастика 2020'!$E$15:$E$18</definedName>
    <definedName name="фев_кол" localSheetId="10">'Материал антиадгезионный 2020'!$E$14:$E$18</definedName>
    <definedName name="фев_кол" localSheetId="5">'Пакеты 2020'!$E$14:$E$15</definedName>
    <definedName name="фев_кол" localSheetId="2">'ПВХ 2020'!$E$11:$E$15</definedName>
    <definedName name="фев_кол" localSheetId="3">'ПВХ липкая 2020'!$E$14:$E$18</definedName>
    <definedName name="фев_кол" localSheetId="6">'Полилен 2020'!$E$14:$E$18</definedName>
    <definedName name="фев_кол" localSheetId="7">'Политерм 2020'!$E$14:$E$18</definedName>
    <definedName name="фев_кол" localSheetId="8">'Праймер и грунтовка 2020'!$E$14:$E$18</definedName>
    <definedName name="фев_кол" localSheetId="12">'Шаблон (шт.)'!$E$14:$E$18</definedName>
    <definedName name="фев_кол" localSheetId="9">'Шпули 2020'!$E$14:$E$15</definedName>
    <definedName name="фев_кол">'Шаблон (кг.)'!$E$14:$E$18</definedName>
    <definedName name="фев_пр" localSheetId="4">'Коробки 2020'!$C$14:$C$15</definedName>
    <definedName name="фев_пр" localSheetId="1">'Мастика 2020'!$C$15:$C$18</definedName>
    <definedName name="фев_пр" localSheetId="10">'Материал антиадгезионный 2020'!$C$14:$C$18</definedName>
    <definedName name="фев_пр" localSheetId="5">'Пакеты 2020'!$C$14:$C$15</definedName>
    <definedName name="фев_пр" localSheetId="2">'ПВХ 2020'!$C$11:$C$15</definedName>
    <definedName name="фев_пр" localSheetId="3">'ПВХ липкая 2020'!$C$14:$C$18</definedName>
    <definedName name="фев_пр" localSheetId="6">'Полилен 2020'!$C$14:$C$18</definedName>
    <definedName name="фев_пр" localSheetId="7">'Политерм 2020'!$C$14:$C$18</definedName>
    <definedName name="фев_пр" localSheetId="8">'Праймер и грунтовка 2020'!$C$14:$C$18</definedName>
    <definedName name="фев_пр" localSheetId="12">'Шаблон (шт.)'!$C$14:$C$18</definedName>
    <definedName name="фев_пр" localSheetId="9">'Шпули 2020'!$C$14:$C$15</definedName>
    <definedName name="фев_пр">'Шаблон (кг.)'!$C$14:$C$18</definedName>
    <definedName name="янв_кол" localSheetId="4">'Коробки 2020'!$E$7:$E$11</definedName>
    <definedName name="янв_кол" localSheetId="1">'Мастика 2020'!$E$7:$E$11</definedName>
    <definedName name="янв_кол" localSheetId="10">'Материал антиадгезионный 2020'!$E$7:$E$11</definedName>
    <definedName name="янв_кол" localSheetId="5">'Пакеты 2020'!$E$7:$E$11</definedName>
    <definedName name="янв_кол" localSheetId="2">'ПВХ 2020'!$E$7:$E$8</definedName>
    <definedName name="янв_кол" localSheetId="3">'ПВХ липкая 2020'!$E$7:$E$11</definedName>
    <definedName name="янв_кол" localSheetId="6">'Полилен 2020'!$E$7:$E$11</definedName>
    <definedName name="янв_кол" localSheetId="7">'Политерм 2020'!$E$7:$E$11</definedName>
    <definedName name="янв_кол" localSheetId="8">'Праймер и грунтовка 2020'!$E$7:$E$11</definedName>
    <definedName name="янв_кол" localSheetId="12">'Шаблон (шт.)'!$E$7:$E$11</definedName>
    <definedName name="янв_кол" localSheetId="9">'Шпули 2020'!$E$7:$E$11</definedName>
    <definedName name="янв_кол">'Шаблон (кг.)'!$E$7:$E$11</definedName>
    <definedName name="янв_пр" localSheetId="4">'Коробки 2020'!$C$7:$C$11</definedName>
    <definedName name="янв_пр" localSheetId="1">'Мастика 2020'!$C$7:$C$11</definedName>
    <definedName name="янв_пр" localSheetId="10">'Материал антиадгезионный 2020'!$C$7:$C$11</definedName>
    <definedName name="янв_пр" localSheetId="5">'Пакеты 2020'!$C$7:$C$11</definedName>
    <definedName name="янв_пр" localSheetId="2">'ПВХ 2020'!$C$7:$C$8</definedName>
    <definedName name="янв_пр" localSheetId="3">'ПВХ липкая 2020'!$C$7:$C$11</definedName>
    <definedName name="янв_пр" localSheetId="6">'Полилен 2020'!$C$7:$C$11</definedName>
    <definedName name="янв_пр" localSheetId="7">'Политерм 2020'!$C$7:$C$11</definedName>
    <definedName name="янв_пр" localSheetId="8">'Праймер и грунтовка 2020'!$C$7:$C$11</definedName>
    <definedName name="янв_пр" localSheetId="12">'Шаблон (шт.)'!$C$7:$C$11</definedName>
    <definedName name="янв_пр" localSheetId="9">'Шпули 2020'!$C$7:$C$11</definedName>
    <definedName name="янв_пр">'Шаблон (кг.)'!$C$7:$C$11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9" i="18" l="1"/>
  <c r="F9" i="20" l="1"/>
  <c r="F16" i="20" l="1"/>
  <c r="F22" i="20"/>
  <c r="F29" i="20"/>
  <c r="F35" i="20"/>
  <c r="F40" i="20"/>
  <c r="D22" i="20" l="1"/>
  <c r="C16" i="20"/>
  <c r="D16" i="20"/>
  <c r="E16" i="20"/>
  <c r="E19" i="28" l="1"/>
  <c r="J95" i="28" l="1"/>
  <c r="F95" i="28"/>
  <c r="E95" i="28"/>
  <c r="D95" i="28"/>
  <c r="C95" i="28"/>
  <c r="J88" i="28"/>
  <c r="F88" i="28"/>
  <c r="E88" i="28"/>
  <c r="D88" i="28"/>
  <c r="C88" i="28"/>
  <c r="J81" i="28"/>
  <c r="F81" i="28"/>
  <c r="F96" i="28" s="1"/>
  <c r="E81" i="28"/>
  <c r="D81" i="28"/>
  <c r="D96" i="28" s="1"/>
  <c r="C81" i="28"/>
  <c r="J70" i="28"/>
  <c r="F70" i="28"/>
  <c r="E70" i="28"/>
  <c r="D70" i="28"/>
  <c r="C70" i="28"/>
  <c r="J63" i="28"/>
  <c r="F63" i="28"/>
  <c r="E63" i="28"/>
  <c r="D63" i="28"/>
  <c r="C63" i="28"/>
  <c r="J56" i="28"/>
  <c r="J71" i="28" s="1"/>
  <c r="F56" i="28"/>
  <c r="E56" i="28"/>
  <c r="E71" i="28" s="1"/>
  <c r="D56" i="28"/>
  <c r="C56" i="28"/>
  <c r="J46" i="28"/>
  <c r="F46" i="28"/>
  <c r="E46" i="28"/>
  <c r="D46" i="28"/>
  <c r="C46" i="28"/>
  <c r="J39" i="28"/>
  <c r="F39" i="28"/>
  <c r="E39" i="28"/>
  <c r="D39" i="28"/>
  <c r="C39" i="28"/>
  <c r="J35" i="28"/>
  <c r="F35" i="28"/>
  <c r="F47" i="28" s="1"/>
  <c r="E35" i="28"/>
  <c r="D35" i="28"/>
  <c r="D47" i="28" s="1"/>
  <c r="C35" i="28"/>
  <c r="J26" i="28"/>
  <c r="F26" i="28"/>
  <c r="E26" i="28"/>
  <c r="D26" i="28"/>
  <c r="C26" i="28"/>
  <c r="J19" i="28"/>
  <c r="F19" i="28"/>
  <c r="D19" i="28"/>
  <c r="C19" i="28"/>
  <c r="J12" i="28"/>
  <c r="F12" i="28"/>
  <c r="E12" i="28"/>
  <c r="D12" i="28"/>
  <c r="C12" i="28"/>
  <c r="D29" i="20"/>
  <c r="J98" i="27"/>
  <c r="F98" i="27"/>
  <c r="E98" i="27"/>
  <c r="D98" i="27"/>
  <c r="C98" i="27"/>
  <c r="J91" i="27"/>
  <c r="F91" i="27"/>
  <c r="E91" i="27"/>
  <c r="D91" i="27"/>
  <c r="C91" i="27"/>
  <c r="J84" i="27"/>
  <c r="F84" i="27"/>
  <c r="F99" i="27" s="1"/>
  <c r="E84" i="27"/>
  <c r="D84" i="27"/>
  <c r="D99" i="27" s="1"/>
  <c r="C84" i="27"/>
  <c r="J73" i="27"/>
  <c r="F73" i="27"/>
  <c r="E73" i="27"/>
  <c r="D73" i="27"/>
  <c r="C73" i="27"/>
  <c r="J66" i="27"/>
  <c r="F66" i="27"/>
  <c r="E66" i="27"/>
  <c r="D66" i="27"/>
  <c r="C66" i="27"/>
  <c r="J59" i="27"/>
  <c r="J74" i="27" s="1"/>
  <c r="F59" i="27"/>
  <c r="E59" i="27"/>
  <c r="E74" i="27" s="1"/>
  <c r="D59" i="27"/>
  <c r="C59" i="27"/>
  <c r="J49" i="27"/>
  <c r="F49" i="27"/>
  <c r="E49" i="27"/>
  <c r="D49" i="27"/>
  <c r="C49" i="27"/>
  <c r="J42" i="27"/>
  <c r="F42" i="27"/>
  <c r="E42" i="27"/>
  <c r="D42" i="27"/>
  <c r="C42" i="27"/>
  <c r="J35" i="27"/>
  <c r="F35" i="27"/>
  <c r="F50" i="27" s="1"/>
  <c r="E35" i="27"/>
  <c r="D35" i="27"/>
  <c r="D50" i="27" s="1"/>
  <c r="C35" i="27"/>
  <c r="J26" i="27"/>
  <c r="F26" i="27"/>
  <c r="E26" i="27"/>
  <c r="D26" i="27"/>
  <c r="C26" i="27"/>
  <c r="J19" i="27"/>
  <c r="F19" i="27"/>
  <c r="E19" i="27"/>
  <c r="D19" i="27"/>
  <c r="C19" i="27"/>
  <c r="J12" i="27"/>
  <c r="J27" i="27" s="1"/>
  <c r="F12" i="27"/>
  <c r="E12" i="27"/>
  <c r="E27" i="27" s="1"/>
  <c r="D12" i="27"/>
  <c r="C12" i="27"/>
  <c r="J98" i="26"/>
  <c r="F98" i="26"/>
  <c r="E98" i="26"/>
  <c r="D98" i="26"/>
  <c r="C98" i="26"/>
  <c r="J91" i="26"/>
  <c r="F91" i="26"/>
  <c r="E91" i="26"/>
  <c r="D91" i="26"/>
  <c r="C91" i="26"/>
  <c r="J84" i="26"/>
  <c r="F84" i="26"/>
  <c r="E84" i="26"/>
  <c r="D84" i="26"/>
  <c r="C84" i="26"/>
  <c r="J73" i="26"/>
  <c r="F73" i="26"/>
  <c r="E73" i="26"/>
  <c r="D73" i="26"/>
  <c r="C73" i="26"/>
  <c r="J66" i="26"/>
  <c r="F66" i="26"/>
  <c r="E66" i="26"/>
  <c r="D66" i="26"/>
  <c r="C66" i="26"/>
  <c r="J59" i="26"/>
  <c r="F59" i="26"/>
  <c r="E59" i="26"/>
  <c r="D59" i="26"/>
  <c r="C59" i="26"/>
  <c r="J49" i="26"/>
  <c r="F49" i="26"/>
  <c r="E49" i="26"/>
  <c r="D49" i="26"/>
  <c r="C49" i="26"/>
  <c r="J42" i="26"/>
  <c r="F42" i="26"/>
  <c r="E42" i="26"/>
  <c r="D42" i="26"/>
  <c r="C42" i="26"/>
  <c r="J35" i="26"/>
  <c r="F35" i="26"/>
  <c r="E35" i="26"/>
  <c r="D35" i="26"/>
  <c r="C35" i="26"/>
  <c r="J26" i="26"/>
  <c r="F26" i="26"/>
  <c r="E26" i="26"/>
  <c r="D26" i="26"/>
  <c r="C26" i="26"/>
  <c r="J19" i="26"/>
  <c r="F19" i="26"/>
  <c r="E19" i="26"/>
  <c r="D19" i="26"/>
  <c r="C19" i="26"/>
  <c r="J12" i="26"/>
  <c r="F12" i="26"/>
  <c r="E12" i="26"/>
  <c r="D12" i="26"/>
  <c r="C12" i="26"/>
  <c r="J27" i="28" l="1"/>
  <c r="E27" i="28"/>
  <c r="F27" i="28"/>
  <c r="E47" i="28"/>
  <c r="E48" i="28" s="1"/>
  <c r="E72" i="28" s="1"/>
  <c r="J47" i="28"/>
  <c r="D71" i="28"/>
  <c r="H71" i="28" s="1"/>
  <c r="F71" i="28"/>
  <c r="E96" i="28"/>
  <c r="J96" i="28"/>
  <c r="D27" i="28"/>
  <c r="D48" i="28" s="1"/>
  <c r="D72" i="28" s="1"/>
  <c r="D97" i="28" s="1"/>
  <c r="F48" i="28"/>
  <c r="F72" i="28" s="1"/>
  <c r="H47" i="28"/>
  <c r="I71" i="28"/>
  <c r="H96" i="28"/>
  <c r="J48" i="28"/>
  <c r="I96" i="28"/>
  <c r="F27" i="27"/>
  <c r="F51" i="27" s="1"/>
  <c r="E50" i="27"/>
  <c r="J50" i="27"/>
  <c r="J51" i="27" s="1"/>
  <c r="D74" i="27"/>
  <c r="F74" i="27"/>
  <c r="E99" i="27"/>
  <c r="J99" i="27"/>
  <c r="D27" i="27"/>
  <c r="I27" i="27"/>
  <c r="I74" i="27"/>
  <c r="H99" i="27"/>
  <c r="D51" i="27"/>
  <c r="D75" i="27" s="1"/>
  <c r="D100" i="27" s="1"/>
  <c r="E51" i="27"/>
  <c r="E75" i="27" s="1"/>
  <c r="E100" i="27" s="1"/>
  <c r="E27" i="26"/>
  <c r="J27" i="26"/>
  <c r="I27" i="26" s="1"/>
  <c r="D50" i="26"/>
  <c r="F50" i="26"/>
  <c r="E74" i="26"/>
  <c r="J74" i="26"/>
  <c r="I74" i="26" s="1"/>
  <c r="D99" i="26"/>
  <c r="F99" i="26"/>
  <c r="H99" i="26" s="1"/>
  <c r="E50" i="26"/>
  <c r="E51" i="26" s="1"/>
  <c r="E75" i="26" s="1"/>
  <c r="J50" i="26"/>
  <c r="J51" i="26" s="1"/>
  <c r="D74" i="26"/>
  <c r="F74" i="26"/>
  <c r="E99" i="26"/>
  <c r="J99" i="26"/>
  <c r="D27" i="26"/>
  <c r="D51" i="26" s="1"/>
  <c r="D75" i="26" s="1"/>
  <c r="F27" i="26"/>
  <c r="F51" i="26" s="1"/>
  <c r="J89" i="25"/>
  <c r="F89" i="25"/>
  <c r="E89" i="25"/>
  <c r="D89" i="25"/>
  <c r="C89" i="25"/>
  <c r="J82" i="25"/>
  <c r="F82" i="25"/>
  <c r="E82" i="25"/>
  <c r="D82" i="25"/>
  <c r="C82" i="25"/>
  <c r="J75" i="25"/>
  <c r="F75" i="25"/>
  <c r="E75" i="25"/>
  <c r="D75" i="25"/>
  <c r="C75" i="25"/>
  <c r="J64" i="25"/>
  <c r="F64" i="25"/>
  <c r="E64" i="25"/>
  <c r="D64" i="25"/>
  <c r="C64" i="25"/>
  <c r="J57" i="25"/>
  <c r="F57" i="25"/>
  <c r="E57" i="25"/>
  <c r="D57" i="25"/>
  <c r="C57" i="25"/>
  <c r="J50" i="25"/>
  <c r="F50" i="25"/>
  <c r="E50" i="25"/>
  <c r="D50" i="25"/>
  <c r="C50" i="25"/>
  <c r="J40" i="25"/>
  <c r="F40" i="25"/>
  <c r="E40" i="25"/>
  <c r="D40" i="25"/>
  <c r="C40" i="25"/>
  <c r="J36" i="25"/>
  <c r="F36" i="25"/>
  <c r="E36" i="25"/>
  <c r="D36" i="25"/>
  <c r="C36" i="25"/>
  <c r="J29" i="25"/>
  <c r="F29" i="25"/>
  <c r="E29" i="25"/>
  <c r="D29" i="25"/>
  <c r="C29" i="25"/>
  <c r="J23" i="25"/>
  <c r="F23" i="25"/>
  <c r="E23" i="25"/>
  <c r="D23" i="25"/>
  <c r="C23" i="25"/>
  <c r="J16" i="25"/>
  <c r="F16" i="25"/>
  <c r="E16" i="25"/>
  <c r="D16" i="25"/>
  <c r="C16" i="25"/>
  <c r="J12" i="25"/>
  <c r="F12" i="25"/>
  <c r="E12" i="25"/>
  <c r="D12" i="25"/>
  <c r="C12" i="25"/>
  <c r="J95" i="24"/>
  <c r="F95" i="24"/>
  <c r="E95" i="24"/>
  <c r="D95" i="24"/>
  <c r="C95" i="24"/>
  <c r="J88" i="24"/>
  <c r="F88" i="24"/>
  <c r="E88" i="24"/>
  <c r="D88" i="24"/>
  <c r="C88" i="24"/>
  <c r="J81" i="24"/>
  <c r="F81" i="24"/>
  <c r="E81" i="24"/>
  <c r="D81" i="24"/>
  <c r="C81" i="24"/>
  <c r="J70" i="24"/>
  <c r="F70" i="24"/>
  <c r="E70" i="24"/>
  <c r="D70" i="24"/>
  <c r="C70" i="24"/>
  <c r="J63" i="24"/>
  <c r="F63" i="24"/>
  <c r="E63" i="24"/>
  <c r="D63" i="24"/>
  <c r="C63" i="24"/>
  <c r="J56" i="24"/>
  <c r="F56" i="24"/>
  <c r="E56" i="24"/>
  <c r="D56" i="24"/>
  <c r="C56" i="24"/>
  <c r="J46" i="24"/>
  <c r="F46" i="24"/>
  <c r="E46" i="24"/>
  <c r="D46" i="24"/>
  <c r="C46" i="24"/>
  <c r="J39" i="24"/>
  <c r="F39" i="24"/>
  <c r="E39" i="24"/>
  <c r="D39" i="24"/>
  <c r="C39" i="24"/>
  <c r="J32" i="24"/>
  <c r="F32" i="24"/>
  <c r="E32" i="24"/>
  <c r="D32" i="24"/>
  <c r="C32" i="24"/>
  <c r="J23" i="24"/>
  <c r="F23" i="24"/>
  <c r="E23" i="24"/>
  <c r="D23" i="24"/>
  <c r="C23" i="24"/>
  <c r="J16" i="24"/>
  <c r="F16" i="24"/>
  <c r="E16" i="24"/>
  <c r="D16" i="24"/>
  <c r="C16" i="24"/>
  <c r="J12" i="24"/>
  <c r="F12" i="24"/>
  <c r="E12" i="24"/>
  <c r="D12" i="24"/>
  <c r="C12" i="24"/>
  <c r="J95" i="23"/>
  <c r="F95" i="23"/>
  <c r="E95" i="23"/>
  <c r="D95" i="23"/>
  <c r="C95" i="23"/>
  <c r="J88" i="23"/>
  <c r="F88" i="23"/>
  <c r="E88" i="23"/>
  <c r="D88" i="23"/>
  <c r="C88" i="23"/>
  <c r="J81" i="23"/>
  <c r="F81" i="23"/>
  <c r="E81" i="23"/>
  <c r="D81" i="23"/>
  <c r="C81" i="23"/>
  <c r="J70" i="23"/>
  <c r="F70" i="23"/>
  <c r="E70" i="23"/>
  <c r="D70" i="23"/>
  <c r="C70" i="23"/>
  <c r="J63" i="23"/>
  <c r="F63" i="23"/>
  <c r="E63" i="23"/>
  <c r="D63" i="23"/>
  <c r="C63" i="23"/>
  <c r="J56" i="23"/>
  <c r="F56" i="23"/>
  <c r="E56" i="23"/>
  <c r="D56" i="23"/>
  <c r="C56" i="23"/>
  <c r="J46" i="23"/>
  <c r="F46" i="23"/>
  <c r="E46" i="23"/>
  <c r="D46" i="23"/>
  <c r="C46" i="23"/>
  <c r="J39" i="23"/>
  <c r="F39" i="23"/>
  <c r="E39" i="23"/>
  <c r="D39" i="23"/>
  <c r="C39" i="23"/>
  <c r="J32" i="23"/>
  <c r="F32" i="23"/>
  <c r="E32" i="23"/>
  <c r="D32" i="23"/>
  <c r="C32" i="23"/>
  <c r="J23" i="23"/>
  <c r="F23" i="23"/>
  <c r="E23" i="23"/>
  <c r="D23" i="23"/>
  <c r="C23" i="23"/>
  <c r="J16" i="23"/>
  <c r="F16" i="23"/>
  <c r="E16" i="23"/>
  <c r="D16" i="23"/>
  <c r="C16" i="23"/>
  <c r="J12" i="23"/>
  <c r="F12" i="23"/>
  <c r="E12" i="23"/>
  <c r="D12" i="23"/>
  <c r="C12" i="23"/>
  <c r="J99" i="22"/>
  <c r="F99" i="22"/>
  <c r="E99" i="22"/>
  <c r="D99" i="22"/>
  <c r="C99" i="22"/>
  <c r="J92" i="22"/>
  <c r="F92" i="22"/>
  <c r="E92" i="22"/>
  <c r="D92" i="22"/>
  <c r="C92" i="22"/>
  <c r="J85" i="22"/>
  <c r="F85" i="22"/>
  <c r="E85" i="22"/>
  <c r="D85" i="22"/>
  <c r="C85" i="22"/>
  <c r="J74" i="22"/>
  <c r="F74" i="22"/>
  <c r="E74" i="22"/>
  <c r="D74" i="22"/>
  <c r="C74" i="22"/>
  <c r="J67" i="22"/>
  <c r="F67" i="22"/>
  <c r="E67" i="22"/>
  <c r="D67" i="22"/>
  <c r="C67" i="22"/>
  <c r="J60" i="22"/>
  <c r="F60" i="22"/>
  <c r="E60" i="22"/>
  <c r="D60" i="22"/>
  <c r="C60" i="22"/>
  <c r="J49" i="22"/>
  <c r="F49" i="22"/>
  <c r="E49" i="22"/>
  <c r="D49" i="22"/>
  <c r="C49" i="22"/>
  <c r="J42" i="22"/>
  <c r="F42" i="22"/>
  <c r="E42" i="22"/>
  <c r="D42" i="22"/>
  <c r="C42" i="22"/>
  <c r="J35" i="22"/>
  <c r="F35" i="22"/>
  <c r="E35" i="22"/>
  <c r="D35" i="22"/>
  <c r="C35" i="22"/>
  <c r="J26" i="22"/>
  <c r="F26" i="22"/>
  <c r="E26" i="22"/>
  <c r="D26" i="22"/>
  <c r="C26" i="22"/>
  <c r="J19" i="22"/>
  <c r="F19" i="22"/>
  <c r="E19" i="22"/>
  <c r="D19" i="22"/>
  <c r="C19" i="22"/>
  <c r="J12" i="22"/>
  <c r="F12" i="22"/>
  <c r="E12" i="22"/>
  <c r="D12" i="22"/>
  <c r="C12" i="22"/>
  <c r="J94" i="21"/>
  <c r="F94" i="21"/>
  <c r="E94" i="21"/>
  <c r="D94" i="21"/>
  <c r="C94" i="21"/>
  <c r="J87" i="21"/>
  <c r="F87" i="21"/>
  <c r="E87" i="21"/>
  <c r="D87" i="21"/>
  <c r="C87" i="21"/>
  <c r="J80" i="21"/>
  <c r="F80" i="21"/>
  <c r="E80" i="21"/>
  <c r="D80" i="21"/>
  <c r="C80" i="21"/>
  <c r="J69" i="21"/>
  <c r="F69" i="21"/>
  <c r="E69" i="21"/>
  <c r="D69" i="21"/>
  <c r="C69" i="21"/>
  <c r="J62" i="21"/>
  <c r="F62" i="21"/>
  <c r="E62" i="21"/>
  <c r="D62" i="21"/>
  <c r="C62" i="21"/>
  <c r="J55" i="21"/>
  <c r="F55" i="21"/>
  <c r="E55" i="21"/>
  <c r="D55" i="21"/>
  <c r="C55" i="21"/>
  <c r="J45" i="21"/>
  <c r="F45" i="21"/>
  <c r="E45" i="21"/>
  <c r="D45" i="21"/>
  <c r="C45" i="21"/>
  <c r="J39" i="21"/>
  <c r="F39" i="21"/>
  <c r="E39" i="21"/>
  <c r="D39" i="21"/>
  <c r="C39" i="21"/>
  <c r="J35" i="21"/>
  <c r="F35" i="21"/>
  <c r="E35" i="21"/>
  <c r="D35" i="21"/>
  <c r="C35" i="21"/>
  <c r="J26" i="21"/>
  <c r="F26" i="21"/>
  <c r="E26" i="21"/>
  <c r="D26" i="21"/>
  <c r="C26" i="21"/>
  <c r="J19" i="21"/>
  <c r="F19" i="21"/>
  <c r="E19" i="21"/>
  <c r="D19" i="21"/>
  <c r="C19" i="21"/>
  <c r="J12" i="21"/>
  <c r="F12" i="21"/>
  <c r="E12" i="21"/>
  <c r="D12" i="21"/>
  <c r="C12" i="21"/>
  <c r="J89" i="20"/>
  <c r="F89" i="20"/>
  <c r="E89" i="20"/>
  <c r="D89" i="20"/>
  <c r="C89" i="20"/>
  <c r="J82" i="20"/>
  <c r="F82" i="20"/>
  <c r="E82" i="20"/>
  <c r="D82" i="20"/>
  <c r="C82" i="20"/>
  <c r="J75" i="20"/>
  <c r="F75" i="20"/>
  <c r="E75" i="20"/>
  <c r="D75" i="20"/>
  <c r="C75" i="20"/>
  <c r="J64" i="20"/>
  <c r="F64" i="20"/>
  <c r="E64" i="20"/>
  <c r="D64" i="20"/>
  <c r="C64" i="20"/>
  <c r="J57" i="20"/>
  <c r="F57" i="20"/>
  <c r="E57" i="20"/>
  <c r="D57" i="20"/>
  <c r="C57" i="20"/>
  <c r="J50" i="20"/>
  <c r="F50" i="20"/>
  <c r="E50" i="20"/>
  <c r="D50" i="20"/>
  <c r="C50" i="20"/>
  <c r="J40" i="20"/>
  <c r="E40" i="20"/>
  <c r="D40" i="20"/>
  <c r="C40" i="20"/>
  <c r="J35" i="20"/>
  <c r="E35" i="20"/>
  <c r="D35" i="20"/>
  <c r="C35" i="20"/>
  <c r="J29" i="20"/>
  <c r="E29" i="20"/>
  <c r="C29" i="20"/>
  <c r="J22" i="20"/>
  <c r="E22" i="20"/>
  <c r="C22" i="20"/>
  <c r="J16" i="20"/>
  <c r="J9" i="20"/>
  <c r="E9" i="20"/>
  <c r="D9" i="20"/>
  <c r="C9" i="20"/>
  <c r="J23" i="20" l="1"/>
  <c r="F75" i="27"/>
  <c r="I27" i="28"/>
  <c r="E97" i="28"/>
  <c r="I47" i="28"/>
  <c r="H72" i="28"/>
  <c r="I51" i="27"/>
  <c r="H75" i="27"/>
  <c r="H27" i="28"/>
  <c r="I48" i="28"/>
  <c r="F97" i="28"/>
  <c r="H97" i="28" s="1"/>
  <c r="H48" i="28"/>
  <c r="E41" i="25"/>
  <c r="J41" i="25"/>
  <c r="I41" i="25" s="1"/>
  <c r="D65" i="25"/>
  <c r="F65" i="25"/>
  <c r="H65" i="25" s="1"/>
  <c r="E90" i="25"/>
  <c r="J90" i="25"/>
  <c r="I90" i="25" s="1"/>
  <c r="H74" i="26"/>
  <c r="E100" i="26"/>
  <c r="D100" i="26"/>
  <c r="H27" i="27"/>
  <c r="I99" i="27"/>
  <c r="H74" i="27"/>
  <c r="J72" i="28"/>
  <c r="D24" i="25"/>
  <c r="F24" i="25"/>
  <c r="F100" i="27"/>
  <c r="H100" i="27" s="1"/>
  <c r="H51" i="27"/>
  <c r="E23" i="20"/>
  <c r="D41" i="20"/>
  <c r="F41" i="20"/>
  <c r="E65" i="20"/>
  <c r="J65" i="20"/>
  <c r="D90" i="20"/>
  <c r="F90" i="20"/>
  <c r="J27" i="21"/>
  <c r="D46" i="21"/>
  <c r="F46" i="21"/>
  <c r="E70" i="21"/>
  <c r="J70" i="21"/>
  <c r="D95" i="21"/>
  <c r="F95" i="21"/>
  <c r="E27" i="22"/>
  <c r="J27" i="22"/>
  <c r="D50" i="22"/>
  <c r="F50" i="22"/>
  <c r="E75" i="22"/>
  <c r="J75" i="22"/>
  <c r="D100" i="22"/>
  <c r="F100" i="22"/>
  <c r="E24" i="23"/>
  <c r="J24" i="23"/>
  <c r="D47" i="23"/>
  <c r="F47" i="23"/>
  <c r="E71" i="23"/>
  <c r="J71" i="23"/>
  <c r="D96" i="23"/>
  <c r="F96" i="23"/>
  <c r="E24" i="24"/>
  <c r="J24" i="24"/>
  <c r="D47" i="24"/>
  <c r="F47" i="24"/>
  <c r="E71" i="24"/>
  <c r="J71" i="24"/>
  <c r="D96" i="24"/>
  <c r="F96" i="24"/>
  <c r="E24" i="25"/>
  <c r="E42" i="25" s="1"/>
  <c r="J24" i="25"/>
  <c r="D41" i="25"/>
  <c r="F41" i="25"/>
  <c r="F42" i="25" s="1"/>
  <c r="F66" i="25" s="1"/>
  <c r="E65" i="25"/>
  <c r="J65" i="25"/>
  <c r="D90" i="25"/>
  <c r="F90" i="25"/>
  <c r="H51" i="26"/>
  <c r="I99" i="26"/>
  <c r="J75" i="27"/>
  <c r="I51" i="26"/>
  <c r="F75" i="26"/>
  <c r="H75" i="26" s="1"/>
  <c r="H27" i="26"/>
  <c r="J75" i="26"/>
  <c r="E27" i="21"/>
  <c r="I27" i="21" s="1"/>
  <c r="D24" i="24"/>
  <c r="F24" i="24"/>
  <c r="E47" i="24"/>
  <c r="J47" i="24"/>
  <c r="D71" i="24"/>
  <c r="F71" i="24"/>
  <c r="H71" i="24" s="1"/>
  <c r="E96" i="24"/>
  <c r="J96" i="24"/>
  <c r="D48" i="24"/>
  <c r="D72" i="24" s="1"/>
  <c r="D97" i="24" s="1"/>
  <c r="D24" i="23"/>
  <c r="F24" i="23"/>
  <c r="E47" i="23"/>
  <c r="E48" i="23" s="1"/>
  <c r="E72" i="23" s="1"/>
  <c r="J47" i="23"/>
  <c r="D71" i="23"/>
  <c r="F71" i="23"/>
  <c r="E96" i="23"/>
  <c r="I96" i="23" s="1"/>
  <c r="J96" i="23"/>
  <c r="I71" i="23"/>
  <c r="D27" i="22"/>
  <c r="D51" i="22" s="1"/>
  <c r="F27" i="22"/>
  <c r="E50" i="22"/>
  <c r="E51" i="22" s="1"/>
  <c r="E76" i="22" s="1"/>
  <c r="J50" i="22"/>
  <c r="D75" i="22"/>
  <c r="F75" i="22"/>
  <c r="E100" i="22"/>
  <c r="J100" i="22"/>
  <c r="D23" i="20"/>
  <c r="F23" i="20"/>
  <c r="E41" i="20"/>
  <c r="E42" i="20" s="1"/>
  <c r="E66" i="20" s="1"/>
  <c r="J41" i="20"/>
  <c r="D65" i="20"/>
  <c r="F65" i="20"/>
  <c r="E90" i="20"/>
  <c r="J90" i="20"/>
  <c r="D27" i="21"/>
  <c r="D47" i="21" s="1"/>
  <c r="F27" i="21"/>
  <c r="E46" i="21"/>
  <c r="J46" i="21"/>
  <c r="D70" i="21"/>
  <c r="F70" i="21"/>
  <c r="E95" i="21"/>
  <c r="J95" i="21"/>
  <c r="I27" i="22" l="1"/>
  <c r="J42" i="20"/>
  <c r="J66" i="20" s="1"/>
  <c r="J91" i="20" s="1"/>
  <c r="H90" i="20"/>
  <c r="H95" i="21"/>
  <c r="H46" i="21"/>
  <c r="D48" i="23"/>
  <c r="H41" i="20"/>
  <c r="I75" i="22"/>
  <c r="D72" i="23"/>
  <c r="D97" i="23" s="1"/>
  <c r="J47" i="21"/>
  <c r="J71" i="21" s="1"/>
  <c r="F47" i="21"/>
  <c r="H47" i="21" s="1"/>
  <c r="I47" i="23"/>
  <c r="J48" i="23"/>
  <c r="J72" i="23" s="1"/>
  <c r="F48" i="23"/>
  <c r="H48" i="23" s="1"/>
  <c r="H90" i="25"/>
  <c r="I65" i="25"/>
  <c r="H41" i="25"/>
  <c r="H47" i="24"/>
  <c r="H96" i="23"/>
  <c r="H47" i="23"/>
  <c r="H100" i="22"/>
  <c r="H50" i="22"/>
  <c r="I70" i="21"/>
  <c r="I65" i="20"/>
  <c r="I23" i="20"/>
  <c r="H24" i="25"/>
  <c r="I72" i="28"/>
  <c r="J97" i="28"/>
  <c r="I97" i="28" s="1"/>
  <c r="E66" i="25"/>
  <c r="E91" i="25" s="1"/>
  <c r="I24" i="25"/>
  <c r="J42" i="25"/>
  <c r="J66" i="25" s="1"/>
  <c r="J91" i="25" s="1"/>
  <c r="I91" i="25" s="1"/>
  <c r="I71" i="24"/>
  <c r="J48" i="24"/>
  <c r="J72" i="24" s="1"/>
  <c r="J97" i="24" s="1"/>
  <c r="I96" i="24"/>
  <c r="I47" i="24"/>
  <c r="F48" i="24"/>
  <c r="F72" i="24" s="1"/>
  <c r="F97" i="24" s="1"/>
  <c r="H97" i="24" s="1"/>
  <c r="H96" i="24"/>
  <c r="I24" i="24"/>
  <c r="I24" i="23"/>
  <c r="E97" i="23"/>
  <c r="I97" i="23" s="1"/>
  <c r="D42" i="20"/>
  <c r="D66" i="20" s="1"/>
  <c r="D91" i="20" s="1"/>
  <c r="I75" i="27"/>
  <c r="J100" i="27"/>
  <c r="I100" i="27" s="1"/>
  <c r="I95" i="21"/>
  <c r="F42" i="20"/>
  <c r="F66" i="20" s="1"/>
  <c r="H75" i="22"/>
  <c r="I50" i="22"/>
  <c r="H71" i="23"/>
  <c r="E48" i="24"/>
  <c r="E72" i="24" s="1"/>
  <c r="E97" i="24" s="1"/>
  <c r="H24" i="24"/>
  <c r="D42" i="25"/>
  <c r="D66" i="25" s="1"/>
  <c r="D91" i="25" s="1"/>
  <c r="F100" i="26"/>
  <c r="H100" i="26" s="1"/>
  <c r="J97" i="23"/>
  <c r="F72" i="23"/>
  <c r="I75" i="26"/>
  <c r="J100" i="26"/>
  <c r="I100" i="26" s="1"/>
  <c r="H27" i="22"/>
  <c r="E47" i="21"/>
  <c r="E71" i="21" s="1"/>
  <c r="E96" i="21" s="1"/>
  <c r="J51" i="22"/>
  <c r="J76" i="22" s="1"/>
  <c r="I76" i="22" s="1"/>
  <c r="H24" i="23"/>
  <c r="F91" i="25"/>
  <c r="I97" i="24"/>
  <c r="H70" i="21"/>
  <c r="I90" i="20"/>
  <c r="H65" i="20"/>
  <c r="E91" i="20"/>
  <c r="H23" i="20"/>
  <c r="F51" i="22"/>
  <c r="H51" i="22" s="1"/>
  <c r="I100" i="22"/>
  <c r="E101" i="22"/>
  <c r="H72" i="24"/>
  <c r="H48" i="24"/>
  <c r="D76" i="22"/>
  <c r="D101" i="22" s="1"/>
  <c r="I72" i="23"/>
  <c r="I41" i="20"/>
  <c r="H27" i="21"/>
  <c r="I48" i="23"/>
  <c r="D71" i="21"/>
  <c r="D96" i="21" s="1"/>
  <c r="I46" i="21"/>
  <c r="I42" i="20"/>
  <c r="H66" i="20" l="1"/>
  <c r="I66" i="20"/>
  <c r="F71" i="21"/>
  <c r="F96" i="21" s="1"/>
  <c r="H96" i="21" s="1"/>
  <c r="H72" i="23"/>
  <c r="I42" i="25"/>
  <c r="I66" i="25"/>
  <c r="I91" i="20"/>
  <c r="H91" i="25"/>
  <c r="H66" i="25"/>
  <c r="F97" i="23"/>
  <c r="H97" i="23" s="1"/>
  <c r="H42" i="20"/>
  <c r="I47" i="21"/>
  <c r="I48" i="24"/>
  <c r="I72" i="24"/>
  <c r="H42" i="25"/>
  <c r="J101" i="22"/>
  <c r="I101" i="22" s="1"/>
  <c r="I51" i="22"/>
  <c r="F91" i="20"/>
  <c r="H91" i="20" s="1"/>
  <c r="F76" i="22"/>
  <c r="F101" i="22" s="1"/>
  <c r="H101" i="22" s="1"/>
  <c r="I71" i="21"/>
  <c r="J96" i="21"/>
  <c r="I96" i="21" s="1"/>
  <c r="H71" i="21" l="1"/>
  <c r="H76" i="22"/>
  <c r="J95" i="18"/>
  <c r="F95" i="18"/>
  <c r="E95" i="18"/>
  <c r="D95" i="18"/>
  <c r="C95" i="18"/>
  <c r="J88" i="18"/>
  <c r="F88" i="18"/>
  <c r="E88" i="18"/>
  <c r="D88" i="18"/>
  <c r="C88" i="18"/>
  <c r="J81" i="18"/>
  <c r="F81" i="18"/>
  <c r="E81" i="18"/>
  <c r="D81" i="18"/>
  <c r="C81" i="18"/>
  <c r="J70" i="18"/>
  <c r="F70" i="18"/>
  <c r="E70" i="18"/>
  <c r="D70" i="18"/>
  <c r="C70" i="18"/>
  <c r="J63" i="18"/>
  <c r="F63" i="18"/>
  <c r="E63" i="18"/>
  <c r="D63" i="18"/>
  <c r="C63" i="18"/>
  <c r="J56" i="18"/>
  <c r="F56" i="18"/>
  <c r="E56" i="18"/>
  <c r="D56" i="18"/>
  <c r="C56" i="18"/>
  <c r="J46" i="18"/>
  <c r="F46" i="18"/>
  <c r="E46" i="18"/>
  <c r="D46" i="18"/>
  <c r="C46" i="18"/>
  <c r="J41" i="18"/>
  <c r="F41" i="18"/>
  <c r="E41" i="18"/>
  <c r="D41" i="18"/>
  <c r="C41" i="18"/>
  <c r="J34" i="18"/>
  <c r="F34" i="18"/>
  <c r="E34" i="18"/>
  <c r="D34" i="18"/>
  <c r="C34" i="18"/>
  <c r="J26" i="18"/>
  <c r="F26" i="18"/>
  <c r="D26" i="18"/>
  <c r="C26" i="18"/>
  <c r="J19" i="18"/>
  <c r="F19" i="18"/>
  <c r="C19" i="18"/>
  <c r="J12" i="18"/>
  <c r="F12" i="18"/>
  <c r="E12" i="18"/>
  <c r="D12" i="18"/>
  <c r="C12" i="18"/>
  <c r="D47" i="18" l="1"/>
  <c r="F47" i="18"/>
  <c r="E71" i="18"/>
  <c r="J71" i="18"/>
  <c r="D96" i="18"/>
  <c r="F96" i="18"/>
  <c r="J27" i="18"/>
  <c r="D27" i="18"/>
  <c r="F27" i="18"/>
  <c r="E47" i="18"/>
  <c r="J47" i="18"/>
  <c r="J48" i="18" s="1"/>
  <c r="D71" i="18"/>
  <c r="F71" i="18"/>
  <c r="E96" i="18"/>
  <c r="J96" i="18"/>
  <c r="J100" i="17"/>
  <c r="F100" i="17"/>
  <c r="E100" i="17"/>
  <c r="D100" i="17"/>
  <c r="C100" i="17"/>
  <c r="J93" i="17"/>
  <c r="F93" i="17"/>
  <c r="E93" i="17"/>
  <c r="D93" i="17"/>
  <c r="C93" i="17"/>
  <c r="J86" i="17"/>
  <c r="F86" i="17"/>
  <c r="E86" i="17"/>
  <c r="D86" i="17"/>
  <c r="C86" i="17"/>
  <c r="J75" i="17"/>
  <c r="F75" i="17"/>
  <c r="E75" i="17"/>
  <c r="D75" i="17"/>
  <c r="C75" i="17"/>
  <c r="J68" i="17"/>
  <c r="F68" i="17"/>
  <c r="E68" i="17"/>
  <c r="D68" i="17"/>
  <c r="C68" i="17"/>
  <c r="J61" i="17"/>
  <c r="F61" i="17"/>
  <c r="E61" i="17"/>
  <c r="D61" i="17"/>
  <c r="C61" i="17"/>
  <c r="J50" i="17"/>
  <c r="F50" i="17"/>
  <c r="E50" i="17"/>
  <c r="D50" i="17"/>
  <c r="C50" i="17"/>
  <c r="J43" i="17"/>
  <c r="F43" i="17"/>
  <c r="E43" i="17"/>
  <c r="D43" i="17"/>
  <c r="C43" i="17"/>
  <c r="J36" i="17"/>
  <c r="F36" i="17"/>
  <c r="E36" i="17"/>
  <c r="D36" i="17"/>
  <c r="C36" i="17"/>
  <c r="J26" i="17"/>
  <c r="F26" i="17"/>
  <c r="E26" i="17"/>
  <c r="D26" i="17"/>
  <c r="C26" i="17"/>
  <c r="J19" i="17"/>
  <c r="F19" i="17"/>
  <c r="E19" i="17"/>
  <c r="D19" i="17"/>
  <c r="C19" i="17"/>
  <c r="J12" i="17"/>
  <c r="F12" i="17"/>
  <c r="E12" i="17"/>
  <c r="D12" i="17"/>
  <c r="C12" i="17"/>
  <c r="D48" i="18" l="1"/>
  <c r="D72" i="18" s="1"/>
  <c r="D97" i="18" s="1"/>
  <c r="F48" i="18"/>
  <c r="H96" i="18"/>
  <c r="E27" i="17"/>
  <c r="J27" i="17"/>
  <c r="D51" i="17"/>
  <c r="F51" i="17"/>
  <c r="H51" i="17" s="1"/>
  <c r="E76" i="17"/>
  <c r="J76" i="17"/>
  <c r="I76" i="17" s="1"/>
  <c r="D101" i="17"/>
  <c r="F101" i="17"/>
  <c r="H101" i="17" s="1"/>
  <c r="H47" i="18"/>
  <c r="I71" i="18"/>
  <c r="I96" i="18"/>
  <c r="H71" i="18"/>
  <c r="F72" i="18"/>
  <c r="F97" i="18" s="1"/>
  <c r="H27" i="18"/>
  <c r="I47" i="18"/>
  <c r="J72" i="18"/>
  <c r="D27" i="17"/>
  <c r="H27" i="17" s="1"/>
  <c r="F27" i="17"/>
  <c r="E51" i="17"/>
  <c r="E52" i="17" s="1"/>
  <c r="E77" i="17" s="1"/>
  <c r="J51" i="17"/>
  <c r="D76" i="17"/>
  <c r="F76" i="17"/>
  <c r="E101" i="17"/>
  <c r="J101" i="17"/>
  <c r="I27" i="17"/>
  <c r="H48" i="18" l="1"/>
  <c r="E102" i="17"/>
  <c r="D52" i="17"/>
  <c r="D77" i="17" s="1"/>
  <c r="D102" i="17" s="1"/>
  <c r="J52" i="17"/>
  <c r="J77" i="17" s="1"/>
  <c r="J102" i="17" s="1"/>
  <c r="I101" i="17"/>
  <c r="H76" i="17"/>
  <c r="I51" i="17"/>
  <c r="F52" i="17"/>
  <c r="F77" i="17" s="1"/>
  <c r="H72" i="18"/>
  <c r="H97" i="18"/>
  <c r="J97" i="18"/>
  <c r="I102" i="17"/>
  <c r="I77" i="17"/>
  <c r="I52" i="17"/>
  <c r="H52" i="17" l="1"/>
  <c r="H77" i="17"/>
  <c r="F102" i="17"/>
  <c r="H102" i="17" s="1"/>
  <c r="J100" i="1"/>
  <c r="F100" i="1"/>
  <c r="E100" i="1"/>
  <c r="D100" i="1"/>
  <c r="C100" i="1"/>
  <c r="J93" i="1"/>
  <c r="F93" i="1"/>
  <c r="E93" i="1"/>
  <c r="D93" i="1"/>
  <c r="C93" i="1"/>
  <c r="E86" i="1"/>
  <c r="D86" i="1"/>
  <c r="C86" i="1"/>
  <c r="J86" i="1"/>
  <c r="F86" i="1"/>
  <c r="J75" i="1"/>
  <c r="F75" i="1"/>
  <c r="E75" i="1"/>
  <c r="D75" i="1"/>
  <c r="C75" i="1"/>
  <c r="F68" i="1"/>
  <c r="J68" i="1"/>
  <c r="E68" i="1"/>
  <c r="D68" i="1"/>
  <c r="C68" i="1"/>
  <c r="J61" i="1"/>
  <c r="F61" i="1"/>
  <c r="F76" i="1" s="1"/>
  <c r="E61" i="1"/>
  <c r="D61" i="1"/>
  <c r="C61" i="1"/>
  <c r="J50" i="1"/>
  <c r="F50" i="1"/>
  <c r="E50" i="1"/>
  <c r="D50" i="1"/>
  <c r="C50" i="1"/>
  <c r="D101" i="1" l="1"/>
  <c r="J101" i="1"/>
  <c r="F101" i="1"/>
  <c r="E101" i="1"/>
  <c r="D76" i="1"/>
  <c r="E76" i="1"/>
  <c r="J76" i="1"/>
  <c r="J43" i="1"/>
  <c r="I101" i="1" l="1"/>
  <c r="I76" i="1"/>
  <c r="H101" i="1"/>
  <c r="H76" i="1"/>
  <c r="F43" i="1"/>
  <c r="E43" i="1"/>
  <c r="D43" i="1"/>
  <c r="C43" i="1"/>
  <c r="J36" i="1"/>
  <c r="J51" i="1" s="1"/>
  <c r="F36" i="1"/>
  <c r="E36" i="1"/>
  <c r="F51" i="1" l="1"/>
  <c r="E51" i="1"/>
  <c r="I51" i="1" s="1"/>
  <c r="D36" i="1"/>
  <c r="D51" i="1" s="1"/>
  <c r="C36" i="1"/>
  <c r="H51" i="1" l="1"/>
  <c r="F26" i="1"/>
  <c r="J26" i="1"/>
  <c r="E26" i="1"/>
  <c r="D26" i="1"/>
  <c r="J19" i="1"/>
  <c r="J12" i="1"/>
  <c r="F19" i="1"/>
  <c r="F12" i="1"/>
  <c r="D19" i="1"/>
  <c r="J27" i="1" l="1"/>
  <c r="F27" i="1"/>
  <c r="F52" i="1" s="1"/>
  <c r="F77" i="1" s="1"/>
  <c r="F102" i="1" s="1"/>
  <c r="J52" i="1" l="1"/>
  <c r="E12" i="1"/>
  <c r="C12" i="1"/>
  <c r="E19" i="1"/>
  <c r="D12" i="1"/>
  <c r="D27" i="1" s="1"/>
  <c r="J77" i="1" l="1"/>
  <c r="H27" i="1"/>
  <c r="D52" i="1"/>
  <c r="E27" i="1"/>
  <c r="I27" i="1" s="1"/>
  <c r="C26" i="1"/>
  <c r="C19" i="1"/>
  <c r="J102" i="1" l="1"/>
  <c r="H52" i="1"/>
  <c r="D77" i="1"/>
  <c r="E52" i="1"/>
  <c r="I52" i="1" s="1"/>
  <c r="H77" i="1" l="1"/>
  <c r="D102" i="1"/>
  <c r="H102" i="1" s="1"/>
  <c r="E77" i="1"/>
  <c r="I77" i="1" s="1"/>
  <c r="E102" i="1" l="1"/>
  <c r="I102" i="1" s="1"/>
  <c r="E26" i="18"/>
  <c r="E27" i="18" s="1"/>
  <c r="E48" i="18" l="1"/>
  <c r="I27" i="18"/>
  <c r="I48" i="18" l="1"/>
  <c r="E72" i="18"/>
  <c r="E97" i="18" l="1"/>
  <c r="I97" i="18" s="1"/>
  <c r="I72" i="18"/>
</calcChain>
</file>

<file path=xl/sharedStrings.xml><?xml version="1.0" encoding="utf-8"?>
<sst xmlns="http://schemas.openxmlformats.org/spreadsheetml/2006/main" count="1304" uniqueCount="248">
  <si>
    <t>№</t>
  </si>
  <si>
    <t xml:space="preserve">Номера партий </t>
  </si>
  <si>
    <t xml:space="preserve">Акт отбраковки </t>
  </si>
  <si>
    <t>Акт входного контроля</t>
  </si>
  <si>
    <t>Причина,%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</si>
  <si>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</si>
  <si>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</si>
  <si>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</si>
  <si>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</si>
  <si>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</si>
  <si>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</si>
  <si>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</si>
  <si>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Сентябрь</t>
  </si>
  <si>
    <t>Август</t>
  </si>
  <si>
    <t>Октябрь</t>
  </si>
  <si>
    <t>Ноябрь</t>
  </si>
  <si>
    <t>Декабрь</t>
  </si>
  <si>
    <t>Итого</t>
  </si>
  <si>
    <t>за 1 квартал</t>
  </si>
  <si>
    <t>Начальник отдела контроля и качества</t>
  </si>
  <si>
    <t>Инженер по качеству</t>
  </si>
  <si>
    <t>А.Г. Беззубов</t>
  </si>
  <si>
    <t>Г.И. Данилова</t>
  </si>
  <si>
    <t>Дата 
поступления</t>
  </si>
  <si>
    <t>№ Партии</t>
  </si>
  <si>
    <t>Дата</t>
  </si>
  <si>
    <t>Журнал входного контроля</t>
  </si>
  <si>
    <t>Акты</t>
  </si>
  <si>
    <t>Отбраковка</t>
  </si>
  <si>
    <t>Входной 
контроль</t>
  </si>
  <si>
    <t>Количество 
отбракованной продукции, кг</t>
  </si>
  <si>
    <t>Материал антиадгезионный на основе ПЭТ</t>
  </si>
  <si>
    <t>Материл антиадгезионный на основе бумаги</t>
  </si>
  <si>
    <t>Материал антиадгезионный на основе пленки</t>
  </si>
  <si>
    <t>Лента ПВХ марка "Б" ООО "Сэларон"</t>
  </si>
  <si>
    <t>Лента ПВХ марка "Б" ОАО "БСК"</t>
  </si>
  <si>
    <t>Лента ПВХ ООО "Сибтрубизол"</t>
  </si>
  <si>
    <t>ID</t>
  </si>
  <si>
    <t>Наименование</t>
  </si>
  <si>
    <t>Другое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</si>
  <si>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</si>
  <si>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</si>
  <si>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</si>
  <si>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</si>
  <si>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</si>
  <si>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</si>
  <si>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</si>
  <si>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</si>
  <si>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</si>
  <si>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</si>
  <si>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Лента ПВХ (новый поставщик)</t>
  </si>
  <si>
    <t>Пакеты</t>
  </si>
  <si>
    <t>Коробки</t>
  </si>
  <si>
    <t>Коробки "Гофралюкс"</t>
  </si>
  <si>
    <t>ПЭКОМ</t>
  </si>
  <si>
    <t>Полилен 40-ОБ-63</t>
  </si>
  <si>
    <t>Полилен 40-ЛИ-63</t>
  </si>
  <si>
    <t>Полилен 40-ЛИ-45</t>
  </si>
  <si>
    <t>Политерм</t>
  </si>
  <si>
    <t>Грунтовка "Транскор" №1</t>
  </si>
  <si>
    <t>Праймер ПЛ-М</t>
  </si>
  <si>
    <t>Праймер ПЛ-Л</t>
  </si>
  <si>
    <t>Праймер НК-50</t>
  </si>
  <si>
    <t>Грунтовка "Транскор" №2</t>
  </si>
  <si>
    <t>Мастика Транскор - Л</t>
  </si>
  <si>
    <t>Мастика Транскор - З</t>
  </si>
  <si>
    <t>Мастика Биткор - Р</t>
  </si>
  <si>
    <t>Мастика МБПР - З</t>
  </si>
  <si>
    <t>Мастика МБПР - Л</t>
  </si>
  <si>
    <t>Мастика Биткор - Р(У)</t>
  </si>
  <si>
    <t>Шпули</t>
  </si>
  <si>
    <t>011</t>
  </si>
  <si>
    <t>012</t>
  </si>
  <si>
    <t>013</t>
  </si>
  <si>
    <t>014</t>
  </si>
  <si>
    <t>015</t>
  </si>
  <si>
    <t>016</t>
  </si>
  <si>
    <t>017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</si>
  <si>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</si>
  <si>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</si>
  <si>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</si>
  <si>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</si>
  <si>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</si>
  <si>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</si>
  <si>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</si>
  <si>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</si>
  <si>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</si>
  <si>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</si>
  <si>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</si>
  <si>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</si>
  <si>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</si>
  <si>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</si>
  <si>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</si>
  <si>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Количество 
отбракованной
 продукции, кг</t>
  </si>
  <si>
    <t>Ф(8.2)005.001</t>
  </si>
  <si>
    <t>Справка о поступлениях __________________ за 20___год</t>
  </si>
  <si>
    <t>Количество, кг</t>
  </si>
  <si>
    <t>Наименование продукции</t>
  </si>
  <si>
    <t>Выборка/Наименование</t>
  </si>
  <si>
    <t>/Дата</t>
  </si>
  <si>
    <t>/Кол-во</t>
  </si>
  <si>
    <t>/Партии</t>
  </si>
  <si>
    <t>/Вх.контроль</t>
  </si>
  <si>
    <t>/Отбраковка</t>
  </si>
  <si>
    <t>/Кол-во,отб-ки</t>
  </si>
  <si>
    <t>Причина</t>
  </si>
  <si>
    <t>Причина/отб</t>
  </si>
  <si>
    <t>Причина/вх</t>
  </si>
  <si>
    <t>Количество,кг(шт)</t>
  </si>
  <si>
    <t>за 2 квартал</t>
  </si>
  <si>
    <t>за 1 п/г</t>
  </si>
  <si>
    <t>за 3 квартал</t>
  </si>
  <si>
    <t>за 4 квартал</t>
  </si>
  <si>
    <t>за 1,2,3 квартал</t>
  </si>
  <si>
    <t>за год</t>
  </si>
  <si>
    <t>Количество, шт</t>
  </si>
  <si>
    <t>Количество 
отбракованной
 продукции, шт</t>
  </si>
  <si>
    <t>Муфта термоусаживающаяся ИЗТМ</t>
  </si>
  <si>
    <t>22/01/20</t>
  </si>
  <si>
    <t>509,1,2</t>
  </si>
  <si>
    <t>№1 от 20.01.20</t>
  </si>
  <si>
    <t>1,2</t>
  </si>
  <si>
    <t>№2 от 24.01.20</t>
  </si>
  <si>
    <t>202000001</t>
  </si>
  <si>
    <t>№3 от 31.01.20</t>
  </si>
  <si>
    <t>508,509</t>
  </si>
  <si>
    <t>6</t>
  </si>
  <si>
    <t>Паспорт не соответствует данным ТУ</t>
  </si>
  <si>
    <r>
      <t xml:space="preserve">Адгезия, толщина, ширина, </t>
    </r>
    <r>
      <rPr>
        <b/>
        <sz val="11"/>
        <color theme="1"/>
        <rFont val="Calibri"/>
        <family val="2"/>
        <charset val="204"/>
      </rPr>
      <t>Ø</t>
    </r>
    <r>
      <rPr>
        <b/>
        <i/>
        <sz val="11"/>
        <color theme="1"/>
        <rFont val="Calibri"/>
        <family val="2"/>
        <charset val="204"/>
      </rPr>
      <t xml:space="preserve"> шпули не соответствует ТУ</t>
    </r>
  </si>
  <si>
    <t>Торцевой сдвиг, паспорт не соответствует данным ТУ</t>
  </si>
  <si>
    <t>033</t>
  </si>
  <si>
    <t>ПВХ липкая ООО "НПО Промхимтехнология"</t>
  </si>
  <si>
    <t>ПВХ липкая АО "БСК"</t>
  </si>
  <si>
    <t>ПВХ липкая ООО "СибТрубизол"</t>
  </si>
  <si>
    <t>ПВХ липкая (новый поставщик)</t>
  </si>
  <si>
    <t>509,19,20</t>
  </si>
  <si>
    <t>137/02/20      184/02/20</t>
  </si>
  <si>
    <t>452</t>
  </si>
  <si>
    <t>8</t>
  </si>
  <si>
    <t>201900010</t>
  </si>
  <si>
    <t>101900231     101900230</t>
  </si>
  <si>
    <t>19,20,37,38</t>
  </si>
  <si>
    <t>426,447,448</t>
  </si>
  <si>
    <t>359,2</t>
  </si>
  <si>
    <t>1</t>
  </si>
  <si>
    <t>36,38,46,47</t>
  </si>
  <si>
    <t>260/02/20</t>
  </si>
  <si>
    <t>34,35</t>
  </si>
  <si>
    <t>597</t>
  </si>
  <si>
    <t>2,11</t>
  </si>
  <si>
    <t>№ 4 от 10.02.20</t>
  </si>
  <si>
    <t>20,35,36</t>
  </si>
  <si>
    <t>№ 5от 13.02.20</t>
  </si>
  <si>
    <t>паспорт не соответствует данным ТУ</t>
  </si>
  <si>
    <t>№ 6 от 18.02.20</t>
  </si>
  <si>
    <t>№ 7 от 20.02.20</t>
  </si>
  <si>
    <t>№ 8 от 26.02.20</t>
  </si>
  <si>
    <t>показатель качества " адгезия"</t>
  </si>
  <si>
    <t>47,58,59</t>
  </si>
  <si>
    <t>№ 9 от 28.02.20</t>
  </si>
  <si>
    <t>3,4</t>
  </si>
  <si>
    <t>2,3</t>
  </si>
  <si>
    <t>363/03/20</t>
  </si>
  <si>
    <t>10</t>
  </si>
  <si>
    <t>68,69</t>
  </si>
  <si>
    <t>4,5,6</t>
  </si>
  <si>
    <t>447</t>
  </si>
  <si>
    <t>76,77,79,80</t>
  </si>
  <si>
    <t>6,7</t>
  </si>
  <si>
    <t>7,9</t>
  </si>
  <si>
    <t>9,10</t>
  </si>
  <si>
    <t>80,91,92</t>
  </si>
  <si>
    <t>902</t>
  </si>
  <si>
    <t>23/04/20</t>
  </si>
  <si>
    <t>1312</t>
  </si>
  <si>
    <t>106,107</t>
  </si>
  <si>
    <t>10,11</t>
  </si>
  <si>
    <t>11,12,14</t>
  </si>
  <si>
    <t>364/04/20</t>
  </si>
  <si>
    <t>107,133,134</t>
  </si>
  <si>
    <t>14,10,23,24</t>
  </si>
  <si>
    <t>139,140</t>
  </si>
  <si>
    <t>100</t>
  </si>
  <si>
    <t>154</t>
  </si>
  <si>
    <t>151,152</t>
  </si>
  <si>
    <t>20</t>
  </si>
  <si>
    <t>3</t>
  </si>
  <si>
    <t>1641</t>
  </si>
  <si>
    <t>155,156</t>
  </si>
  <si>
    <t>23,24,45,46</t>
  </si>
  <si>
    <t>155,156,158</t>
  </si>
  <si>
    <t>№__</t>
  </si>
  <si>
    <t>Итого*</t>
  </si>
  <si>
    <t>* - без учёта материала проходящего транзитом</t>
  </si>
  <si>
    <t>76</t>
  </si>
  <si>
    <t>77</t>
  </si>
  <si>
    <t>№ 10 от 12.03.20</t>
  </si>
  <si>
    <t>358,359</t>
  </si>
  <si>
    <t>10,6,3</t>
  </si>
  <si>
    <t>158,159</t>
  </si>
  <si>
    <t>№ 15 от 27.05.20</t>
  </si>
  <si>
    <t>159,160,161</t>
  </si>
  <si>
    <t>50,51,45</t>
  </si>
  <si>
    <t>51,54</t>
  </si>
  <si>
    <t>165,166,167</t>
  </si>
  <si>
    <t>№14 от 27.05.20</t>
  </si>
  <si>
    <t>54,55,56</t>
  </si>
  <si>
    <t>179,180</t>
  </si>
  <si>
    <t>829/06/20</t>
  </si>
  <si>
    <t>17</t>
  </si>
  <si>
    <t>56,57,58</t>
  </si>
  <si>
    <t>180,183,184</t>
  </si>
  <si>
    <t>№16 от 10.06.20</t>
  </si>
  <si>
    <t>248</t>
  </si>
  <si>
    <t>58,84,88</t>
  </si>
  <si>
    <t>184,193,194</t>
  </si>
  <si>
    <t>№17 от 17.06.20</t>
  </si>
  <si>
    <t>№2 от 30.06.20</t>
  </si>
  <si>
    <t>Начальные витки с замятыми краями</t>
  </si>
  <si>
    <t>953/06/20</t>
  </si>
  <si>
    <t>2224</t>
  </si>
  <si>
    <t>91,94,101</t>
  </si>
  <si>
    <t>180,203</t>
  </si>
  <si>
    <t>55</t>
  </si>
  <si>
    <t>9500</t>
  </si>
  <si>
    <t>1045/07/20</t>
  </si>
  <si>
    <t>Справка о поступлениях материала антиадгезионного за первое полугодие 2020 года</t>
  </si>
  <si>
    <t>Справка о поступлениях коробок за первое полугодие 2020 года</t>
  </si>
  <si>
    <t>Справка о поступлениях пакетов за первое полугодие 2020 года</t>
  </si>
  <si>
    <t>Справка о поступлениях Шпули за первое полугодие 2020 года</t>
  </si>
  <si>
    <t>Справка о поступлениях праймера и грунтовки за первое полугодие 2020 года</t>
  </si>
  <si>
    <t>Справка о поступлениях Полилен за первое полугодие 2020 года</t>
  </si>
  <si>
    <t>№11 от 20.03.20</t>
  </si>
  <si>
    <t>№ 12 от 23.03.20</t>
  </si>
  <si>
    <t>№ 13 от 20.05.20</t>
  </si>
  <si>
    <t>№ 5 от 13.02.20</t>
  </si>
  <si>
    <t>Показатель качества " адгезия"</t>
  </si>
  <si>
    <t>Справка о поступлениях ПВХ липкая за первое полугодие 2020 года</t>
  </si>
  <si>
    <t>Справка о поступлениях ПВХ за первое полугодие за 2020 года</t>
  </si>
  <si>
    <t>Справка о поступлениях мастики за первое полугодие 2020 года</t>
  </si>
  <si>
    <t>№_</t>
  </si>
  <si>
    <t>б/н</t>
  </si>
  <si>
    <t>Кп= 0%</t>
  </si>
  <si>
    <t>Км= 0%</t>
  </si>
  <si>
    <t>Справка о поступлениях политерм за первое полугодие 2020 года</t>
  </si>
  <si>
    <t>Кп = 0%</t>
  </si>
  <si>
    <t>№ 1 от 12.02.20</t>
  </si>
  <si>
    <t>От 189828 кг отбраковано 243 кг срезов с рулонов (начальные витки с замятыми краями)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</si>
</sst>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&quot; пр&quot;"/>
    <numFmt numFmtId="165" formatCode="#&quot; кг&quot;"/>
    <numFmt numFmtId="166" formatCode="#&quot; акт(ов)&quot;"/>
    <numFmt numFmtId="167" formatCode="#&quot; шт&quot;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i/>
      <sz val="11"/>
      <color theme="1"/>
      <name val="Times New Roman"/>
      <family val="1"/>
      <charset val="204"/>
    </font>
    <font>
      <i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b/>
      <sz val="11"/>
      <color theme="1"/>
      <name val="Calibri"/>
      <family val="2"/>
      <charset val="204"/>
    </font>
    <font>
      <b/>
      <i/>
      <sz val="11"/>
      <color theme="1"/>
      <name val="Calibri"/>
      <family val="2"/>
      <charset val="204"/>
    </font>
    <font>
      <sz val="8"/>
      <name val="Calibri"/>
      <family val="2"/>
      <scheme val="minor"/>
    </font>
    <font>
      <b/>
      <i/>
      <sz val="11"/>
      <color theme="1"/>
      <name val="Times New Roman"/>
      <family val="1"/>
      <charset val="204"/>
    </font>
    <font>
      <b/>
      <i/>
      <sz val="11"/>
      <name val="Calibri"/>
      <family val="2"/>
      <charset val="204"/>
      <scheme val="minor"/>
    </font>
    <font>
      <b/>
      <i/>
      <sz val="11"/>
      <name val="Times New Roman"/>
      <family val="1"/>
      <charset val="204"/>
    </font>
    <font>
      <b/>
      <sz val="11"/>
      <name val="Times New Roman"/>
      <family val="1"/>
      <charset val="204"/>
    </font>
    <font>
      <sz val="11"/>
      <name val="Times New Roman"/>
      <family val="1"/>
      <charset val="204"/>
    </font>
    <font>
      <sz val="11"/>
      <name val="Calibri"/>
      <family val="2"/>
      <charset val="204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 tint="-0.14999847407452621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</borders>
  <cellStyleXfs count="1">
    <xf numFmtId="0" fontId="0" fillId="0" borderId="0"/>
  </cellStyleXfs>
  <cellXfs count="334">
    <xf numFmtId="0" fontId="0" fillId="0" borderId="0" xfId="0"/>
    <xf numFmtId="0" fontId="3" fillId="0" borderId="0" xfId="0" applyFont="1"/>
    <xf numFmtId="0" fontId="5" fillId="2" borderId="1" xfId="0" applyFont="1" applyFill="1" applyBorder="1"/>
    <xf numFmtId="14" fontId="5" fillId="2" borderId="1" xfId="0" applyNumberFormat="1" applyFont="1" applyFill="1" applyBorder="1"/>
    <xf numFmtId="0" fontId="5" fillId="2" borderId="1" xfId="0" applyFont="1" applyFill="1" applyBorder="1" applyAlignment="1">
      <alignment horizontal="right"/>
    </xf>
    <xf numFmtId="0" fontId="6" fillId="2" borderId="1" xfId="0" applyFont="1" applyFill="1" applyBorder="1" applyAlignment="1">
      <alignment horizontal="center"/>
    </xf>
    <xf numFmtId="0" fontId="6" fillId="3" borderId="3" xfId="0" applyFont="1" applyFill="1" applyBorder="1"/>
    <xf numFmtId="0" fontId="6" fillId="3" borderId="4" xfId="0" applyFont="1" applyFill="1" applyBorder="1"/>
    <xf numFmtId="0" fontId="6" fillId="0" borderId="0" xfId="0" applyFont="1"/>
    <xf numFmtId="0" fontId="6" fillId="0" borderId="0" xfId="0" applyFont="1" applyAlignment="1">
      <alignment horizontal="right"/>
    </xf>
    <xf numFmtId="49" fontId="6" fillId="4" borderId="1" xfId="0" applyNumberFormat="1" applyFont="1" applyFill="1" applyBorder="1" applyAlignment="1">
      <alignment horizontal="center" vertical="center"/>
    </xf>
    <xf numFmtId="0" fontId="5" fillId="3" borderId="4" xfId="0" applyFont="1" applyFill="1" applyBorder="1"/>
    <xf numFmtId="0" fontId="7" fillId="2" borderId="1" xfId="0" applyFont="1" applyFill="1" applyBorder="1"/>
    <xf numFmtId="14" fontId="7" fillId="2" borderId="1" xfId="0" applyNumberFormat="1" applyFont="1" applyFill="1" applyBorder="1"/>
    <xf numFmtId="0" fontId="7" fillId="2" borderId="1" xfId="0" applyFont="1" applyFill="1" applyBorder="1" applyAlignment="1">
      <alignment horizontal="right"/>
    </xf>
    <xf numFmtId="0" fontId="6" fillId="4" borderId="1" xfId="0" applyFont="1" applyFill="1" applyBorder="1" applyAlignment="1">
      <alignment horizontal="center"/>
    </xf>
    <xf numFmtId="49" fontId="7" fillId="2" borderId="1" xfId="0" applyNumberFormat="1" applyFont="1" applyFill="1" applyBorder="1"/>
    <xf numFmtId="49" fontId="5" fillId="2" borderId="1" xfId="0" applyNumberFormat="1" applyFont="1" applyFill="1" applyBorder="1"/>
    <xf numFmtId="0" fontId="6" fillId="0" borderId="0" xfId="0" applyFont="1" applyAlignment="1">
      <alignment horizontal="center"/>
    </xf>
    <xf numFmtId="0" fontId="8" fillId="7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0" fillId="0" borderId="0" xfId="0" applyNumberFormat="1"/>
    <xf numFmtId="0" fontId="2" fillId="0" borderId="0" xfId="0" applyFont="1" applyAlignment="1">
      <alignment horizontal="left"/>
    </xf>
    <xf numFmtId="165" fontId="6" fillId="3" borderId="4" xfId="0" applyNumberFormat="1" applyFont="1" applyFill="1" applyBorder="1" applyAlignment="1">
      <alignment horizontal="right"/>
    </xf>
    <xf numFmtId="166" fontId="6" fillId="3" borderId="4" xfId="0" applyNumberFormat="1" applyFont="1" applyFill="1" applyBorder="1" applyAlignment="1">
      <alignment horizontal="right"/>
    </xf>
    <xf numFmtId="165" fontId="6" fillId="3" borderId="5" xfId="0" applyNumberFormat="1" applyFont="1" applyFill="1" applyBorder="1"/>
    <xf numFmtId="49" fontId="7" fillId="2" borderId="1" xfId="0" applyNumberFormat="1" applyFont="1" applyFill="1" applyBorder="1" applyAlignment="1">
      <alignment horizontal="right"/>
    </xf>
    <xf numFmtId="49" fontId="5" fillId="2" borderId="1" xfId="0" applyNumberFormat="1" applyFont="1" applyFill="1" applyBorder="1" applyAlignment="1">
      <alignment horizontal="right"/>
    </xf>
    <xf numFmtId="164" fontId="6" fillId="3" borderId="4" xfId="0" applyNumberFormat="1" applyFont="1" applyFill="1" applyBorder="1" applyAlignment="1">
      <alignment horizontal="right"/>
    </xf>
    <xf numFmtId="0" fontId="6" fillId="2" borderId="2" xfId="0" applyFont="1" applyFill="1" applyBorder="1" applyAlignment="1">
      <alignment horizontal="center"/>
    </xf>
    <xf numFmtId="0" fontId="0" fillId="2" borderId="1" xfId="0" applyFill="1" applyBorder="1"/>
    <xf numFmtId="14" fontId="0" fillId="2" borderId="1" xfId="0" applyNumberFormat="1" applyFill="1" applyBorder="1"/>
    <xf numFmtId="0" fontId="0" fillId="4" borderId="0" xfId="0" applyFill="1"/>
    <xf numFmtId="0" fontId="0" fillId="2" borderId="8" xfId="0" applyFill="1" applyBorder="1"/>
    <xf numFmtId="14" fontId="0" fillId="2" borderId="8" xfId="0" applyNumberFormat="1" applyFill="1" applyBorder="1"/>
    <xf numFmtId="0" fontId="6" fillId="2" borderId="8" xfId="0" applyFont="1" applyFill="1" applyBorder="1" applyAlignment="1">
      <alignment horizontal="center"/>
    </xf>
    <xf numFmtId="0" fontId="9" fillId="8" borderId="2" xfId="0" applyFont="1" applyFill="1" applyBorder="1" applyAlignment="1">
      <alignment horizontal="center" vertical="center" wrapText="1"/>
    </xf>
    <xf numFmtId="0" fontId="6" fillId="5" borderId="3" xfId="0" applyFont="1" applyFill="1" applyBorder="1" applyAlignment="1">
      <alignment horizontal="left" vertical="center"/>
    </xf>
    <xf numFmtId="0" fontId="6" fillId="5" borderId="4" xfId="0" applyFont="1" applyFill="1" applyBorder="1" applyAlignment="1">
      <alignment horizontal="left" vertical="center"/>
    </xf>
    <xf numFmtId="164" fontId="6" fillId="5" borderId="4" xfId="0" applyNumberFormat="1" applyFont="1" applyFill="1" applyBorder="1" applyAlignment="1">
      <alignment horizontal="right" vertical="center"/>
    </xf>
    <xf numFmtId="165" fontId="6" fillId="5" borderId="4" xfId="0" applyNumberFormat="1" applyFont="1" applyFill="1" applyBorder="1" applyAlignment="1">
      <alignment horizontal="right" vertical="center"/>
    </xf>
    <xf numFmtId="166" fontId="6" fillId="5" borderId="4" xfId="0" applyNumberFormat="1" applyFont="1" applyFill="1" applyBorder="1" applyAlignment="1">
      <alignment horizontal="right" vertical="center"/>
    </xf>
    <xf numFmtId="165" fontId="6" fillId="5" borderId="5" xfId="0" applyNumberFormat="1" applyFont="1" applyFill="1" applyBorder="1" applyAlignment="1">
      <alignment horizontal="right" vertical="center"/>
    </xf>
    <xf numFmtId="0" fontId="3" fillId="3" borderId="4" xfId="0" applyFont="1" applyFill="1" applyBorder="1"/>
    <xf numFmtId="0" fontId="11" fillId="4" borderId="0" xfId="0" applyFont="1" applyFill="1" applyAlignment="1">
      <alignment horizontal="right"/>
    </xf>
    <xf numFmtId="0" fontId="9" fillId="6" borderId="2" xfId="0" applyFont="1" applyFill="1" applyBorder="1" applyAlignment="1">
      <alignment horizontal="center" vertical="center"/>
    </xf>
    <xf numFmtId="0" fontId="9" fillId="7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 shrinkToFit="1"/>
    </xf>
    <xf numFmtId="0" fontId="8" fillId="6" borderId="1" xfId="0" applyFont="1" applyFill="1" applyBorder="1" applyAlignment="1">
      <alignment horizontal="center" vertical="center" wrapText="1" shrinkToFit="1"/>
    </xf>
    <xf numFmtId="0" fontId="9" fillId="0" borderId="0" xfId="0" applyFont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9" fillId="6" borderId="2" xfId="0" applyFont="1" applyFill="1" applyBorder="1" applyAlignment="1">
      <alignment horizontal="center" vertical="center" wrapText="1"/>
    </xf>
    <xf numFmtId="0" fontId="8" fillId="6" borderId="1" xfId="0" applyFont="1" applyFill="1" applyBorder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 wrapText="1"/>
    </xf>
    <xf numFmtId="14" fontId="0" fillId="0" borderId="0" xfId="0" applyNumberFormat="1" applyAlignment="1">
      <alignment horizontal="center" vertical="center" wrapText="1"/>
    </xf>
    <xf numFmtId="49" fontId="9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9" fillId="8" borderId="1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 shrinkToFit="1"/>
    </xf>
    <xf numFmtId="14" fontId="9" fillId="0" borderId="1" xfId="0" applyNumberFormat="1" applyFont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9" fillId="0" borderId="8" xfId="0" applyFont="1" applyBorder="1" applyAlignment="1">
      <alignment horizontal="center" vertical="center" wrapText="1" shrinkToFit="1"/>
    </xf>
    <xf numFmtId="14" fontId="9" fillId="0" borderId="8" xfId="0" applyNumberFormat="1" applyFont="1" applyBorder="1" applyAlignment="1">
      <alignment horizontal="center" vertical="center" wrapText="1"/>
    </xf>
    <xf numFmtId="49" fontId="9" fillId="0" borderId="8" xfId="0" applyNumberFormat="1" applyFont="1" applyBorder="1" applyAlignment="1">
      <alignment horizontal="center" vertical="center" wrapText="1"/>
    </xf>
    <xf numFmtId="0" fontId="9" fillId="0" borderId="8" xfId="0" applyNumberFormat="1" applyFont="1" applyBorder="1" applyAlignment="1">
      <alignment horizontal="center" vertical="center" wrapText="1" shrinkToFit="1"/>
    </xf>
    <xf numFmtId="0" fontId="9" fillId="0" borderId="1" xfId="0" applyNumberFormat="1" applyFont="1" applyBorder="1" applyAlignment="1">
      <alignment horizontal="center" vertical="center" wrapText="1" shrinkToFit="1"/>
    </xf>
    <xf numFmtId="49" fontId="6" fillId="4" borderId="1" xfId="0" applyNumberFormat="1" applyFont="1" applyFill="1" applyBorder="1" applyAlignment="1">
      <alignment horizontal="center" vertical="center"/>
    </xf>
    <xf numFmtId="167" fontId="6" fillId="3" borderId="4" xfId="0" applyNumberFormat="1" applyFont="1" applyFill="1" applyBorder="1" applyAlignment="1">
      <alignment horizontal="right"/>
    </xf>
    <xf numFmtId="167" fontId="6" fillId="3" borderId="5" xfId="0" applyNumberFormat="1" applyFont="1" applyFill="1" applyBorder="1"/>
    <xf numFmtId="167" fontId="6" fillId="5" borderId="4" xfId="0" applyNumberFormat="1" applyFont="1" applyFill="1" applyBorder="1" applyAlignment="1">
      <alignment horizontal="right" vertical="center"/>
    </xf>
    <xf numFmtId="167" fontId="6" fillId="5" borderId="5" xfId="0" applyNumberFormat="1" applyFont="1" applyFill="1" applyBorder="1" applyAlignment="1">
      <alignment horizontal="right" vertical="center"/>
    </xf>
    <xf numFmtId="14" fontId="9" fillId="0" borderId="8" xfId="0" applyNumberFormat="1" applyFont="1" applyBorder="1" applyAlignment="1">
      <alignment horizontal="center" vertical="center" wrapText="1" shrinkToFit="1"/>
    </xf>
    <xf numFmtId="0" fontId="0" fillId="0" borderId="0" xfId="0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7" borderId="12" xfId="0" applyFont="1" applyFill="1" applyBorder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49" fontId="9" fillId="6" borderId="2" xfId="0" applyNumberFormat="1" applyFont="1" applyFill="1" applyBorder="1" applyAlignment="1">
      <alignment horizontal="center" vertical="center" wrapText="1" shrinkToFit="1"/>
    </xf>
    <xf numFmtId="49" fontId="8" fillId="6" borderId="1" xfId="0" applyNumberFormat="1" applyFont="1" applyFill="1" applyBorder="1" applyAlignment="1">
      <alignment horizontal="center" vertical="center" wrapText="1" shrinkToFit="1"/>
    </xf>
    <xf numFmtId="49" fontId="9" fillId="0" borderId="8" xfId="0" applyNumberFormat="1" applyFont="1" applyBorder="1" applyAlignment="1">
      <alignment horizontal="center" vertical="center" wrapText="1" shrinkToFit="1"/>
    </xf>
    <xf numFmtId="49" fontId="9" fillId="0" borderId="0" xfId="0" applyNumberFormat="1" applyFont="1" applyAlignment="1">
      <alignment horizontal="center" vertical="center" wrapText="1" shrinkToFit="1"/>
    </xf>
    <xf numFmtId="49" fontId="0" fillId="0" borderId="0" xfId="0" applyNumberFormat="1" applyAlignment="1">
      <alignment horizontal="center" vertical="center" wrapText="1" shrinkToFit="1"/>
    </xf>
    <xf numFmtId="49" fontId="9" fillId="7" borderId="0" xfId="0" applyNumberFormat="1" applyFont="1" applyFill="1" applyAlignment="1">
      <alignment horizontal="center" vertical="center" wrapText="1" shrinkToFit="1"/>
    </xf>
    <xf numFmtId="49" fontId="9" fillId="7" borderId="2" xfId="0" applyNumberFormat="1" applyFont="1" applyFill="1" applyBorder="1" applyAlignment="1">
      <alignment horizontal="center" vertical="center" wrapText="1" shrinkToFit="1"/>
    </xf>
    <xf numFmtId="49" fontId="8" fillId="7" borderId="1" xfId="0" applyNumberFormat="1" applyFont="1" applyFill="1" applyBorder="1" applyAlignment="1">
      <alignment horizontal="center" vertical="center" wrapText="1" shrinkToFit="1"/>
    </xf>
    <xf numFmtId="0" fontId="4" fillId="9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10" borderId="0" xfId="0" applyFill="1"/>
    <xf numFmtId="0" fontId="11" fillId="10" borderId="0" xfId="0" applyFont="1" applyFill="1" applyAlignment="1">
      <alignment horizontal="right"/>
    </xf>
    <xf numFmtId="49" fontId="6" fillId="1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/>
    </xf>
    <xf numFmtId="0" fontId="7" fillId="10" borderId="1" xfId="0" applyFont="1" applyFill="1" applyBorder="1"/>
    <xf numFmtId="49" fontId="7" fillId="10" borderId="1" xfId="0" applyNumberFormat="1" applyFont="1" applyFill="1" applyBorder="1"/>
    <xf numFmtId="14" fontId="7" fillId="10" borderId="1" xfId="0" applyNumberFormat="1" applyFont="1" applyFill="1" applyBorder="1"/>
    <xf numFmtId="0" fontId="7" fillId="10" borderId="1" xfId="0" applyFont="1" applyFill="1" applyBorder="1" applyAlignment="1">
      <alignment horizontal="right"/>
    </xf>
    <xf numFmtId="0" fontId="5" fillId="10" borderId="1" xfId="0" applyFont="1" applyFill="1" applyBorder="1"/>
    <xf numFmtId="49" fontId="5" fillId="10" borderId="1" xfId="0" applyNumberFormat="1" applyFont="1" applyFill="1" applyBorder="1"/>
    <xf numFmtId="14" fontId="5" fillId="10" borderId="1" xfId="0" applyNumberFormat="1" applyFont="1" applyFill="1" applyBorder="1"/>
    <xf numFmtId="0" fontId="5" fillId="10" borderId="1" xfId="0" applyFont="1" applyFill="1" applyBorder="1" applyAlignment="1">
      <alignment horizontal="right"/>
    </xf>
    <xf numFmtId="0" fontId="6" fillId="10" borderId="3" xfId="0" applyFont="1" applyFill="1" applyBorder="1"/>
    <xf numFmtId="0" fontId="6" fillId="10" borderId="4" xfId="0" applyFont="1" applyFill="1" applyBorder="1"/>
    <xf numFmtId="164" fontId="6" fillId="10" borderId="4" xfId="0" applyNumberFormat="1" applyFont="1" applyFill="1" applyBorder="1" applyAlignment="1">
      <alignment horizontal="right"/>
    </xf>
    <xf numFmtId="165" fontId="6" fillId="10" borderId="4" xfId="0" applyNumberFormat="1" applyFont="1" applyFill="1" applyBorder="1" applyAlignment="1">
      <alignment horizontal="right"/>
    </xf>
    <xf numFmtId="166" fontId="6" fillId="10" borderId="4" xfId="0" applyNumberFormat="1" applyFont="1" applyFill="1" applyBorder="1" applyAlignment="1">
      <alignment horizontal="right"/>
    </xf>
    <xf numFmtId="0" fontId="5" fillId="10" borderId="4" xfId="0" applyFont="1" applyFill="1" applyBorder="1"/>
    <xf numFmtId="165" fontId="6" fillId="10" borderId="5" xfId="0" applyNumberFormat="1" applyFont="1" applyFill="1" applyBorder="1"/>
    <xf numFmtId="49" fontId="9" fillId="11" borderId="1" xfId="0" applyNumberFormat="1" applyFont="1" applyFill="1" applyBorder="1" applyAlignment="1">
      <alignment horizontal="center" vertical="center" wrapText="1" shrinkToFit="1"/>
    </xf>
    <xf numFmtId="14" fontId="9" fillId="11" borderId="1" xfId="0" applyNumberFormat="1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 shrinkToFit="1"/>
    </xf>
    <xf numFmtId="49" fontId="9" fillId="10" borderId="1" xfId="0" applyNumberFormat="1" applyFont="1" applyFill="1" applyBorder="1" applyAlignment="1">
      <alignment horizontal="center" vertical="center" wrapText="1" shrinkToFit="1"/>
    </xf>
    <xf numFmtId="14" fontId="9" fillId="10" borderId="1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 shrinkToFit="1"/>
    </xf>
    <xf numFmtId="49" fontId="9" fillId="11" borderId="8" xfId="0" applyNumberFormat="1" applyFont="1" applyFill="1" applyBorder="1" applyAlignment="1">
      <alignment horizontal="center" vertical="center" wrapText="1" shrinkToFit="1"/>
    </xf>
    <xf numFmtId="14" fontId="9" fillId="11" borderId="8" xfId="0" applyNumberFormat="1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 shrinkToFit="1"/>
    </xf>
    <xf numFmtId="49" fontId="9" fillId="10" borderId="8" xfId="0" applyNumberFormat="1" applyFont="1" applyFill="1" applyBorder="1" applyAlignment="1">
      <alignment horizontal="center" vertical="center" wrapText="1" shrinkToFit="1"/>
    </xf>
    <xf numFmtId="14" fontId="9" fillId="10" borderId="8" xfId="0" applyNumberFormat="1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 wrapText="1" shrinkToFit="1"/>
    </xf>
    <xf numFmtId="0" fontId="3" fillId="10" borderId="4" xfId="0" applyFont="1" applyFill="1" applyBorder="1"/>
    <xf numFmtId="0" fontId="15" fillId="10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49" fontId="9" fillId="11" borderId="1" xfId="0" applyNumberFormat="1" applyFont="1" applyFill="1" applyBorder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/>
    </xf>
    <xf numFmtId="49" fontId="9" fillId="10" borderId="1" xfId="0" applyNumberFormat="1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0" fontId="9" fillId="10" borderId="8" xfId="0" applyFont="1" applyFill="1" applyBorder="1" applyAlignment="1">
      <alignment horizontal="center" vertical="center" wrapText="1"/>
    </xf>
    <xf numFmtId="49" fontId="9" fillId="10" borderId="8" xfId="0" applyNumberFormat="1" applyFont="1" applyFill="1" applyBorder="1" applyAlignment="1">
      <alignment horizontal="center" vertical="center" wrapText="1"/>
    </xf>
    <xf numFmtId="0" fontId="9" fillId="11" borderId="8" xfId="0" applyFont="1" applyFill="1" applyBorder="1" applyAlignment="1">
      <alignment horizontal="center" vertical="center" wrapText="1"/>
    </xf>
    <xf numFmtId="49" fontId="9" fillId="11" borderId="8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11" fillId="0" borderId="0" xfId="0" applyFont="1" applyFill="1" applyAlignment="1">
      <alignment horizontal="right"/>
    </xf>
    <xf numFmtId="49" fontId="6" fillId="0" borderId="1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5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49" fontId="9" fillId="0" borderId="1" xfId="0" applyNumberFormat="1" applyFont="1" applyFill="1" applyBorder="1" applyAlignment="1">
      <alignment horizontal="center" vertical="center" wrapText="1" shrinkToFit="1"/>
    </xf>
    <xf numFmtId="14" fontId="9" fillId="0" borderId="1" xfId="0" applyNumberFormat="1" applyFont="1" applyFill="1" applyBorder="1" applyAlignment="1">
      <alignment horizontal="center" vertical="center" wrapText="1"/>
    </xf>
    <xf numFmtId="0" fontId="9" fillId="0" borderId="1" xfId="0" applyFont="1" applyFill="1" applyBorder="1" applyAlignment="1">
      <alignment horizontal="center" vertical="center" wrapText="1" shrinkToFit="1"/>
    </xf>
    <xf numFmtId="49" fontId="9" fillId="0" borderId="1" xfId="0" applyNumberFormat="1" applyFont="1" applyFill="1" applyBorder="1" applyAlignment="1">
      <alignment horizontal="center" vertical="center" wrapText="1"/>
    </xf>
    <xf numFmtId="0" fontId="5" fillId="0" borderId="1" xfId="0" applyFont="1" applyFill="1" applyBorder="1"/>
    <xf numFmtId="49" fontId="5" fillId="0" borderId="1" xfId="0" applyNumberFormat="1" applyFont="1" applyFill="1" applyBorder="1"/>
    <xf numFmtId="14" fontId="5" fillId="0" borderId="1" xfId="0" applyNumberFormat="1" applyFont="1" applyFill="1" applyBorder="1"/>
    <xf numFmtId="0" fontId="5" fillId="0" borderId="1" xfId="0" applyFont="1" applyFill="1" applyBorder="1" applyAlignment="1">
      <alignment horizontal="right"/>
    </xf>
    <xf numFmtId="0" fontId="6" fillId="0" borderId="3" xfId="0" applyFont="1" applyFill="1" applyBorder="1"/>
    <xf numFmtId="0" fontId="6" fillId="0" borderId="4" xfId="0" applyFont="1" applyFill="1" applyBorder="1"/>
    <xf numFmtId="164" fontId="6" fillId="0" borderId="4" xfId="0" applyNumberFormat="1" applyFont="1" applyFill="1" applyBorder="1" applyAlignment="1">
      <alignment horizontal="right"/>
    </xf>
    <xf numFmtId="165" fontId="6" fillId="0" borderId="4" xfId="0" applyNumberFormat="1" applyFont="1" applyFill="1" applyBorder="1" applyAlignment="1">
      <alignment horizontal="right"/>
    </xf>
    <xf numFmtId="166" fontId="6" fillId="0" borderId="4" xfId="0" applyNumberFormat="1" applyFont="1" applyFill="1" applyBorder="1" applyAlignment="1">
      <alignment horizontal="right"/>
    </xf>
    <xf numFmtId="0" fontId="5" fillId="0" borderId="4" xfId="0" applyFont="1" applyFill="1" applyBorder="1"/>
    <xf numFmtId="165" fontId="6" fillId="0" borderId="5" xfId="0" applyNumberFormat="1" applyFont="1" applyFill="1" applyBorder="1"/>
    <xf numFmtId="0" fontId="9" fillId="0" borderId="1" xfId="0" applyFont="1" applyFill="1" applyBorder="1" applyAlignment="1">
      <alignment horizontal="center" vertical="center" wrapText="1"/>
    </xf>
    <xf numFmtId="49" fontId="5" fillId="0" borderId="1" xfId="0" applyNumberFormat="1" applyFont="1" applyFill="1" applyBorder="1" applyAlignment="1">
      <alignment horizontal="right"/>
    </xf>
    <xf numFmtId="0" fontId="9" fillId="0" borderId="13" xfId="0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center" vertical="center" wrapText="1" shrinkToFit="1"/>
    </xf>
    <xf numFmtId="14" fontId="9" fillId="0" borderId="13" xfId="0" applyNumberFormat="1" applyFont="1" applyFill="1" applyBorder="1" applyAlignment="1">
      <alignment horizontal="center" vertical="center" wrapText="1"/>
    </xf>
    <xf numFmtId="0" fontId="9" fillId="0" borderId="13" xfId="0" applyNumberFormat="1" applyFont="1" applyFill="1" applyBorder="1" applyAlignment="1">
      <alignment horizontal="center" vertical="center" wrapText="1" shrinkToFit="1"/>
    </xf>
    <xf numFmtId="49" fontId="9" fillId="0" borderId="13" xfId="0" applyNumberFormat="1" applyFont="1" applyFill="1" applyBorder="1" applyAlignment="1">
      <alignment horizontal="center" vertical="center" wrapText="1"/>
    </xf>
    <xf numFmtId="0" fontId="3" fillId="0" borderId="4" xfId="0" applyFont="1" applyFill="1" applyBorder="1"/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164" fontId="6" fillId="0" borderId="4" xfId="0" applyNumberFormat="1" applyFont="1" applyFill="1" applyBorder="1" applyAlignment="1">
      <alignment horizontal="right" vertical="center"/>
    </xf>
    <xf numFmtId="165" fontId="6" fillId="0" borderId="4" xfId="0" applyNumberFormat="1" applyFont="1" applyFill="1" applyBorder="1" applyAlignment="1">
      <alignment horizontal="right" vertical="center"/>
    </xf>
    <xf numFmtId="166" fontId="6" fillId="0" borderId="4" xfId="0" applyNumberFormat="1" applyFont="1" applyFill="1" applyBorder="1" applyAlignment="1">
      <alignment horizontal="right" vertical="center"/>
    </xf>
    <xf numFmtId="165" fontId="6" fillId="0" borderId="5" xfId="0" applyNumberFormat="1" applyFont="1" applyFill="1" applyBorder="1" applyAlignment="1">
      <alignment horizontal="right" vertical="center"/>
    </xf>
    <xf numFmtId="0" fontId="6" fillId="0" borderId="4" xfId="0" applyFont="1" applyFill="1" applyBorder="1" applyAlignment="1">
      <alignment horizontal="right"/>
    </xf>
    <xf numFmtId="0" fontId="6" fillId="0" borderId="5" xfId="0" applyFont="1" applyFill="1" applyBorder="1"/>
    <xf numFmtId="0" fontId="7" fillId="0" borderId="1" xfId="0" applyFont="1" applyFill="1" applyBorder="1"/>
    <xf numFmtId="49" fontId="7" fillId="0" borderId="1" xfId="0" applyNumberFormat="1" applyFont="1" applyFill="1" applyBorder="1"/>
    <xf numFmtId="14" fontId="7" fillId="0" borderId="1" xfId="0" applyNumberFormat="1" applyFont="1" applyFill="1" applyBorder="1"/>
    <xf numFmtId="0" fontId="7" fillId="0" borderId="1" xfId="0" applyFont="1" applyFill="1" applyBorder="1" applyAlignment="1">
      <alignment horizontal="right"/>
    </xf>
    <xf numFmtId="0" fontId="9" fillId="0" borderId="8" xfId="0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 shrinkToFit="1"/>
    </xf>
    <xf numFmtId="14" fontId="9" fillId="0" borderId="8" xfId="0" applyNumberFormat="1" applyFont="1" applyFill="1" applyBorder="1" applyAlignment="1">
      <alignment horizontal="center" vertical="center" wrapText="1"/>
    </xf>
    <xf numFmtId="0" fontId="9" fillId="0" borderId="8" xfId="0" applyFont="1" applyFill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0" borderId="13" xfId="0" applyFont="1" applyFill="1" applyBorder="1" applyAlignment="1">
      <alignment horizontal="center" vertical="center" wrapText="1" shrinkToFit="1"/>
    </xf>
    <xf numFmtId="49" fontId="9" fillId="0" borderId="5" xfId="0" applyNumberFormat="1" applyFont="1" applyBorder="1" applyAlignment="1">
      <alignment horizontal="center" vertical="center" wrapText="1" shrinkToFit="1"/>
    </xf>
    <xf numFmtId="49" fontId="9" fillId="0" borderId="5" xfId="0" applyNumberFormat="1" applyFont="1" applyFill="1" applyBorder="1" applyAlignment="1">
      <alignment horizontal="center" vertical="center" wrapText="1" shrinkToFit="1"/>
    </xf>
    <xf numFmtId="0" fontId="9" fillId="0" borderId="1" xfId="0" applyNumberFormat="1" applyFont="1" applyFill="1" applyBorder="1" applyAlignment="1">
      <alignment horizontal="center" vertical="center" wrapText="1" shrinkToFit="1"/>
    </xf>
    <xf numFmtId="0" fontId="9" fillId="0" borderId="8" xfId="0" applyNumberFormat="1" applyFont="1" applyFill="1" applyBorder="1" applyAlignment="1">
      <alignment horizontal="center" vertical="center" wrapText="1" shrinkToFit="1"/>
    </xf>
    <xf numFmtId="49" fontId="9" fillId="0" borderId="8" xfId="0" applyNumberFormat="1" applyFont="1" applyFill="1" applyBorder="1" applyAlignment="1">
      <alignment horizontal="center" vertical="center" wrapText="1"/>
    </xf>
    <xf numFmtId="0" fontId="16" fillId="11" borderId="8" xfId="0" applyFont="1" applyFill="1" applyBorder="1" applyAlignment="1">
      <alignment horizontal="left" vertical="top" wrapText="1"/>
    </xf>
    <xf numFmtId="49" fontId="16" fillId="11" borderId="8" xfId="0" applyNumberFormat="1" applyFont="1" applyFill="1" applyBorder="1" applyAlignment="1">
      <alignment horizontal="center" vertical="center" wrapText="1" shrinkToFit="1"/>
    </xf>
    <xf numFmtId="14" fontId="16" fillId="11" borderId="8" xfId="0" applyNumberFormat="1" applyFont="1" applyFill="1" applyBorder="1" applyAlignment="1">
      <alignment horizontal="center" vertical="center" wrapText="1"/>
    </xf>
    <xf numFmtId="0" fontId="16" fillId="11" borderId="8" xfId="0" applyNumberFormat="1" applyFont="1" applyFill="1" applyBorder="1" applyAlignment="1">
      <alignment horizontal="center" vertical="center" wrapText="1" shrinkToFit="1"/>
    </xf>
    <xf numFmtId="0" fontId="17" fillId="10" borderId="1" xfId="0" applyFont="1" applyFill="1" applyBorder="1" applyAlignment="1">
      <alignment horizontal="center" vertical="center"/>
    </xf>
    <xf numFmtId="0" fontId="17" fillId="10" borderId="2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left" vertical="center"/>
    </xf>
    <xf numFmtId="49" fontId="16" fillId="0" borderId="5" xfId="0" applyNumberFormat="1" applyFont="1" applyFill="1" applyBorder="1" applyAlignment="1">
      <alignment horizontal="center" vertical="center" wrapText="1" shrinkToFit="1"/>
    </xf>
    <xf numFmtId="14" fontId="16" fillId="0" borderId="1" xfId="0" applyNumberFormat="1" applyFont="1" applyFill="1" applyBorder="1" applyAlignment="1">
      <alignment horizontal="center" vertical="center" wrapText="1"/>
    </xf>
    <xf numFmtId="0" fontId="16" fillId="0" borderId="1" xfId="0" applyNumberFormat="1" applyFont="1" applyFill="1" applyBorder="1" applyAlignment="1">
      <alignment horizontal="center" vertical="center" wrapText="1" shrinkToFit="1"/>
    </xf>
    <xf numFmtId="0" fontId="18" fillId="10" borderId="2" xfId="0" applyFont="1" applyFill="1" applyBorder="1" applyAlignment="1">
      <alignment horizontal="center"/>
    </xf>
    <xf numFmtId="0" fontId="16" fillId="11" borderId="1" xfId="0" applyFont="1" applyFill="1" applyBorder="1" applyAlignment="1">
      <alignment horizontal="left" vertical="center" wrapText="1"/>
    </xf>
    <xf numFmtId="49" fontId="16" fillId="11" borderId="1" xfId="0" applyNumberFormat="1" applyFont="1" applyFill="1" applyBorder="1" applyAlignment="1">
      <alignment horizontal="center" vertical="center" wrapText="1" shrinkToFit="1"/>
    </xf>
    <xf numFmtId="14" fontId="16" fillId="11" borderId="1" xfId="0" applyNumberFormat="1" applyFont="1" applyFill="1" applyBorder="1" applyAlignment="1">
      <alignment horizontal="center" vertical="center" wrapText="1"/>
    </xf>
    <xf numFmtId="0" fontId="16" fillId="11" borderId="1" xfId="0" applyFont="1" applyFill="1" applyBorder="1" applyAlignment="1">
      <alignment horizontal="center" vertical="center" wrapText="1" shrinkToFit="1"/>
    </xf>
    <xf numFmtId="0" fontId="19" fillId="10" borderId="1" xfId="0" applyFont="1" applyFill="1" applyBorder="1"/>
    <xf numFmtId="0" fontId="16" fillId="10" borderId="1" xfId="0" applyFont="1" applyFill="1" applyBorder="1" applyAlignment="1">
      <alignment horizontal="left" vertical="center" wrapText="1"/>
    </xf>
    <xf numFmtId="49" fontId="16" fillId="10" borderId="1" xfId="0" applyNumberFormat="1" applyFont="1" applyFill="1" applyBorder="1" applyAlignment="1">
      <alignment horizontal="center" vertical="center" wrapText="1" shrinkToFit="1"/>
    </xf>
    <xf numFmtId="14" fontId="16" fillId="10" borderId="1" xfId="0" applyNumberFormat="1" applyFont="1" applyFill="1" applyBorder="1" applyAlignment="1">
      <alignment horizontal="center" vertical="center" wrapText="1"/>
    </xf>
    <xf numFmtId="0" fontId="16" fillId="10" borderId="1" xfId="0" applyFont="1" applyFill="1" applyBorder="1" applyAlignment="1">
      <alignment horizontal="center" vertical="center" wrapText="1" shrinkToFit="1"/>
    </xf>
    <xf numFmtId="0" fontId="16" fillId="11" borderId="8" xfId="0" applyFont="1" applyFill="1" applyBorder="1" applyAlignment="1">
      <alignment horizontal="left" vertical="center" wrapText="1"/>
    </xf>
    <xf numFmtId="0" fontId="16" fillId="11" borderId="8" xfId="0" applyFont="1" applyFill="1" applyBorder="1" applyAlignment="1">
      <alignment horizontal="center" vertical="center" wrapText="1" shrinkToFit="1"/>
    </xf>
    <xf numFmtId="0" fontId="16" fillId="10" borderId="8" xfId="0" applyFont="1" applyFill="1" applyBorder="1" applyAlignment="1">
      <alignment horizontal="left" vertical="center" wrapText="1"/>
    </xf>
    <xf numFmtId="49" fontId="16" fillId="10" borderId="8" xfId="0" applyNumberFormat="1" applyFont="1" applyFill="1" applyBorder="1" applyAlignment="1">
      <alignment horizontal="center" vertical="center" wrapText="1" shrinkToFit="1"/>
    </xf>
    <xf numFmtId="14" fontId="16" fillId="10" borderId="8" xfId="0" applyNumberFormat="1" applyFont="1" applyFill="1" applyBorder="1" applyAlignment="1">
      <alignment horizontal="center" vertical="center" wrapText="1"/>
    </xf>
    <xf numFmtId="0" fontId="16" fillId="10" borderId="8" xfId="0" applyFont="1" applyFill="1" applyBorder="1" applyAlignment="1">
      <alignment horizontal="center" vertical="center" wrapText="1" shrinkToFit="1"/>
    </xf>
    <xf numFmtId="0" fontId="18" fillId="10" borderId="3" xfId="0" applyFont="1" applyFill="1" applyBorder="1"/>
    <xf numFmtId="0" fontId="18" fillId="10" borderId="4" xfId="0" applyFont="1" applyFill="1" applyBorder="1"/>
    <xf numFmtId="164" fontId="18" fillId="10" borderId="4" xfId="0" applyNumberFormat="1" applyFont="1" applyFill="1" applyBorder="1" applyAlignment="1">
      <alignment horizontal="right"/>
    </xf>
    <xf numFmtId="165" fontId="18" fillId="10" borderId="4" xfId="0" applyNumberFormat="1" applyFont="1" applyFill="1" applyBorder="1" applyAlignment="1">
      <alignment horizontal="right"/>
    </xf>
    <xf numFmtId="166" fontId="18" fillId="10" borderId="4" xfId="0" applyNumberFormat="1" applyFont="1" applyFill="1" applyBorder="1" applyAlignment="1">
      <alignment horizontal="right"/>
    </xf>
    <xf numFmtId="0" fontId="19" fillId="10" borderId="4" xfId="0" applyFont="1" applyFill="1" applyBorder="1"/>
    <xf numFmtId="165" fontId="18" fillId="10" borderId="5" xfId="0" applyNumberFormat="1" applyFont="1" applyFill="1" applyBorder="1"/>
    <xf numFmtId="0" fontId="16" fillId="10" borderId="8" xfId="0" applyFont="1" applyFill="1" applyBorder="1" applyAlignment="1">
      <alignment horizontal="left" vertical="top" wrapText="1"/>
    </xf>
    <xf numFmtId="0" fontId="16" fillId="10" borderId="1" xfId="0" applyNumberFormat="1" applyFont="1" applyFill="1" applyBorder="1" applyAlignment="1">
      <alignment horizontal="center" vertical="center" wrapText="1" shrinkToFit="1"/>
    </xf>
    <xf numFmtId="0" fontId="16" fillId="10" borderId="8" xfId="0" applyNumberFormat="1" applyFont="1" applyFill="1" applyBorder="1" applyAlignment="1">
      <alignment horizontal="center" vertical="center" wrapText="1" shrinkToFit="1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3" fillId="0" borderId="0" xfId="0" applyFont="1" applyFill="1"/>
    <xf numFmtId="0" fontId="6" fillId="0" borderId="8" xfId="0" applyFont="1" applyFill="1" applyBorder="1" applyAlignment="1">
      <alignment horizontal="center"/>
    </xf>
    <xf numFmtId="0" fontId="0" fillId="0" borderId="1" xfId="0" applyFill="1" applyBorder="1"/>
    <xf numFmtId="14" fontId="9" fillId="0" borderId="13" xfId="0" applyNumberFormat="1" applyFont="1" applyFill="1" applyBorder="1" applyAlignment="1">
      <alignment horizontal="center" vertical="center" wrapText="1" shrinkToFit="1"/>
    </xf>
    <xf numFmtId="0" fontId="15" fillId="0" borderId="8" xfId="0" applyFont="1" applyFill="1" applyBorder="1" applyAlignment="1">
      <alignment horizontal="center" vertical="center"/>
    </xf>
    <xf numFmtId="0" fontId="0" fillId="0" borderId="8" xfId="0" applyFill="1" applyBorder="1"/>
    <xf numFmtId="14" fontId="0" fillId="0" borderId="8" xfId="0" applyNumberFormat="1" applyFill="1" applyBorder="1"/>
    <xf numFmtId="14" fontId="0" fillId="0" borderId="1" xfId="0" applyNumberFormat="1" applyFill="1" applyBorder="1"/>
    <xf numFmtId="0" fontId="6" fillId="0" borderId="0" xfId="0" applyFont="1" applyFill="1"/>
    <xf numFmtId="0" fontId="6" fillId="0" borderId="0" xfId="0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 vertic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 wrapText="1" shrinkToFit="1"/>
    </xf>
    <xf numFmtId="0" fontId="16" fillId="0" borderId="13" xfId="0" applyNumberFormat="1" applyFont="1" applyFill="1" applyBorder="1" applyAlignment="1">
      <alignment horizontal="center" vertical="center" wrapText="1" shrinkToFit="1"/>
    </xf>
    <xf numFmtId="0" fontId="16" fillId="0" borderId="8" xfId="0" applyNumberFormat="1" applyFont="1" applyFill="1" applyBorder="1" applyAlignment="1">
      <alignment horizontal="center" vertical="center" wrapText="1" shrinkToFit="1"/>
    </xf>
    <xf numFmtId="0" fontId="16" fillId="0" borderId="13" xfId="0" applyFont="1" applyFill="1" applyBorder="1" applyAlignment="1">
      <alignment horizontal="center" vertical="center" wrapText="1"/>
    </xf>
    <xf numFmtId="0" fontId="6" fillId="0" borderId="0" xfId="0" applyFont="1" applyFill="1" applyBorder="1" applyAlignment="1">
      <alignment horizontal="left" vertical="center"/>
    </xf>
    <xf numFmtId="164" fontId="6" fillId="0" borderId="0" xfId="0" applyNumberFormat="1" applyFont="1" applyFill="1" applyBorder="1" applyAlignment="1">
      <alignment horizontal="right" vertical="center"/>
    </xf>
    <xf numFmtId="165" fontId="6" fillId="0" borderId="0" xfId="0" applyNumberFormat="1" applyFont="1" applyFill="1" applyBorder="1" applyAlignment="1">
      <alignment horizontal="right" vertical="center"/>
    </xf>
    <xf numFmtId="166" fontId="6" fillId="0" borderId="0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left" vertical="center"/>
    </xf>
    <xf numFmtId="0" fontId="20" fillId="10" borderId="4" xfId="0" applyFont="1" applyFill="1" applyBorder="1"/>
    <xf numFmtId="0" fontId="18" fillId="10" borderId="6" xfId="0" applyFont="1" applyFill="1" applyBorder="1" applyAlignment="1">
      <alignment horizontal="left" vertical="center"/>
    </xf>
    <xf numFmtId="0" fontId="18" fillId="10" borderId="7" xfId="0" applyFont="1" applyFill="1" applyBorder="1" applyAlignment="1">
      <alignment horizontal="left" vertical="center"/>
    </xf>
    <xf numFmtId="164" fontId="18" fillId="10" borderId="7" xfId="0" applyNumberFormat="1" applyFont="1" applyFill="1" applyBorder="1" applyAlignment="1">
      <alignment horizontal="right" vertical="center"/>
    </xf>
    <xf numFmtId="165" fontId="18" fillId="10" borderId="7" xfId="0" applyNumberFormat="1" applyFont="1" applyFill="1" applyBorder="1" applyAlignment="1">
      <alignment horizontal="right" vertical="center"/>
    </xf>
    <xf numFmtId="166" fontId="18" fillId="10" borderId="7" xfId="0" applyNumberFormat="1" applyFont="1" applyFill="1" applyBorder="1" applyAlignment="1">
      <alignment horizontal="right" vertical="center"/>
    </xf>
    <xf numFmtId="165" fontId="18" fillId="10" borderId="11" xfId="0" applyNumberFormat="1" applyFont="1" applyFill="1" applyBorder="1" applyAlignment="1">
      <alignment horizontal="right" vertical="center"/>
    </xf>
    <xf numFmtId="0" fontId="18" fillId="10" borderId="4" xfId="0" applyFont="1" applyFill="1" applyBorder="1" applyAlignment="1">
      <alignment horizontal="right"/>
    </xf>
    <xf numFmtId="0" fontId="18" fillId="10" borderId="5" xfId="0" applyFont="1" applyFill="1" applyBorder="1"/>
    <xf numFmtId="0" fontId="17" fillId="0" borderId="2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/>
    </xf>
    <xf numFmtId="49" fontId="16" fillId="0" borderId="8" xfId="0" applyNumberFormat="1" applyFont="1" applyFill="1" applyBorder="1" applyAlignment="1">
      <alignment horizontal="center" vertical="center" wrapText="1" shrinkToFit="1"/>
    </xf>
    <xf numFmtId="14" fontId="16" fillId="0" borderId="8" xfId="0" applyNumberFormat="1" applyFont="1" applyFill="1" applyBorder="1" applyAlignment="1">
      <alignment horizontal="center" vertical="center" wrapText="1"/>
    </xf>
    <xf numFmtId="0" fontId="18" fillId="0" borderId="2" xfId="0" applyFont="1" applyFill="1" applyBorder="1" applyAlignment="1">
      <alignment horizontal="center"/>
    </xf>
    <xf numFmtId="0" fontId="18" fillId="0" borderId="3" xfId="0" applyFont="1" applyFill="1" applyBorder="1"/>
    <xf numFmtId="0" fontId="18" fillId="0" borderId="4" xfId="0" applyFont="1" applyFill="1" applyBorder="1"/>
    <xf numFmtId="164" fontId="18" fillId="0" borderId="4" xfId="0" applyNumberFormat="1" applyFont="1" applyFill="1" applyBorder="1" applyAlignment="1">
      <alignment horizontal="right"/>
    </xf>
    <xf numFmtId="165" fontId="18" fillId="0" borderId="4" xfId="0" applyNumberFormat="1" applyFont="1" applyFill="1" applyBorder="1" applyAlignment="1">
      <alignment horizontal="right"/>
    </xf>
    <xf numFmtId="166" fontId="18" fillId="0" borderId="4" xfId="0" applyNumberFormat="1" applyFont="1" applyFill="1" applyBorder="1" applyAlignment="1">
      <alignment horizontal="right"/>
    </xf>
    <xf numFmtId="0" fontId="20" fillId="0" borderId="4" xfId="0" applyFont="1" applyFill="1" applyBorder="1"/>
    <xf numFmtId="165" fontId="18" fillId="0" borderId="5" xfId="0" applyNumberFormat="1" applyFont="1" applyFill="1" applyBorder="1"/>
    <xf numFmtId="0" fontId="17" fillId="0" borderId="1" xfId="0" applyFont="1" applyFill="1" applyBorder="1" applyAlignment="1">
      <alignment horizontal="center"/>
    </xf>
    <xf numFmtId="0" fontId="18" fillId="0" borderId="1" xfId="0" applyFont="1" applyFill="1" applyBorder="1" applyAlignment="1">
      <alignment horizontal="center"/>
    </xf>
    <xf numFmtId="0" fontId="17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 wrapText="1" shrinkToFit="1"/>
    </xf>
    <xf numFmtId="0" fontId="18" fillId="0" borderId="8" xfId="0" applyFont="1" applyFill="1" applyBorder="1" applyAlignment="1">
      <alignment horizontal="center"/>
    </xf>
    <xf numFmtId="0" fontId="16" fillId="0" borderId="8" xfId="0" applyFont="1" applyFill="1" applyBorder="1" applyAlignment="1">
      <alignment horizontal="center" vertical="center"/>
    </xf>
    <xf numFmtId="0" fontId="21" fillId="0" borderId="8" xfId="0" applyFont="1" applyFill="1" applyBorder="1"/>
    <xf numFmtId="0" fontId="17" fillId="0" borderId="1" xfId="0" applyFont="1" applyFill="1" applyBorder="1" applyAlignment="1">
      <alignment horizontal="center" vertical="center"/>
    </xf>
    <xf numFmtId="0" fontId="21" fillId="0" borderId="1" xfId="0" applyFont="1" applyFill="1" applyBorder="1"/>
    <xf numFmtId="49" fontId="16" fillId="0" borderId="13" xfId="0" applyNumberFormat="1" applyFont="1" applyFill="1" applyBorder="1" applyAlignment="1">
      <alignment horizontal="center" vertical="center" wrapText="1"/>
    </xf>
    <xf numFmtId="14" fontId="16" fillId="0" borderId="13" xfId="0" applyNumberFormat="1" applyFont="1" applyFill="1" applyBorder="1" applyAlignment="1">
      <alignment horizontal="center" vertical="center" wrapText="1"/>
    </xf>
    <xf numFmtId="0" fontId="16" fillId="0" borderId="13" xfId="0" applyFont="1" applyFill="1" applyBorder="1" applyAlignment="1">
      <alignment horizontal="center" vertical="center" wrapText="1" shrinkToFit="1"/>
    </xf>
    <xf numFmtId="0" fontId="18" fillId="0" borderId="3" xfId="0" applyFont="1" applyFill="1" applyBorder="1" applyAlignment="1">
      <alignment horizontal="left" vertical="center"/>
    </xf>
    <xf numFmtId="0" fontId="18" fillId="0" borderId="4" xfId="0" applyFont="1" applyFill="1" applyBorder="1" applyAlignment="1">
      <alignment horizontal="left" vertical="center"/>
    </xf>
    <xf numFmtId="164" fontId="18" fillId="0" borderId="4" xfId="0" applyNumberFormat="1" applyFont="1" applyFill="1" applyBorder="1" applyAlignment="1">
      <alignment horizontal="right" vertical="center"/>
    </xf>
    <xf numFmtId="165" fontId="18" fillId="0" borderId="4" xfId="0" applyNumberFormat="1" applyFont="1" applyFill="1" applyBorder="1" applyAlignment="1">
      <alignment horizontal="right" vertical="center"/>
    </xf>
    <xf numFmtId="166" fontId="18" fillId="0" borderId="4" xfId="0" applyNumberFormat="1" applyFont="1" applyFill="1" applyBorder="1" applyAlignment="1">
      <alignment horizontal="right" vertical="center"/>
    </xf>
    <xf numFmtId="165" fontId="18" fillId="0" borderId="5" xfId="0" applyNumberFormat="1" applyFont="1" applyFill="1" applyBorder="1" applyAlignment="1">
      <alignment horizontal="right" vertical="center"/>
    </xf>
    <xf numFmtId="0" fontId="18" fillId="0" borderId="0" xfId="0" applyFont="1" applyFill="1"/>
    <xf numFmtId="0" fontId="18" fillId="0" borderId="0" xfId="0" applyFont="1" applyFill="1" applyAlignment="1">
      <alignment horizontal="right"/>
    </xf>
    <xf numFmtId="49" fontId="0" fillId="0" borderId="1" xfId="0" applyNumberFormat="1" applyBorder="1" applyAlignment="1">
      <alignment horizontal="center" vertical="center" wrapText="1" shrinkToFit="1"/>
    </xf>
    <xf numFmtId="14" fontId="4" fillId="0" borderId="1" xfId="0" applyNumberFormat="1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9" fillId="6" borderId="6" xfId="0" applyFont="1" applyFill="1" applyBorder="1" applyAlignment="1">
      <alignment horizontal="center" vertical="center"/>
    </xf>
    <xf numFmtId="0" fontId="9" fillId="6" borderId="7" xfId="0" applyFont="1" applyFill="1" applyBorder="1" applyAlignment="1">
      <alignment horizontal="center" vertical="center"/>
    </xf>
    <xf numFmtId="0" fontId="9" fillId="6" borderId="1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0" fontId="18" fillId="10" borderId="2" xfId="0" applyFont="1" applyFill="1" applyBorder="1" applyAlignment="1">
      <alignment horizontal="center"/>
    </xf>
    <xf numFmtId="0" fontId="18" fillId="10" borderId="1" xfId="0" applyFont="1" applyFill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10" fillId="10" borderId="9" xfId="0" applyFont="1" applyFill="1" applyBorder="1" applyAlignment="1">
      <alignment horizontal="center"/>
    </xf>
    <xf numFmtId="49" fontId="6" fillId="10" borderId="1" xfId="0" applyNumberFormat="1" applyFont="1" applyFill="1" applyBorder="1" applyAlignment="1">
      <alignment horizontal="center" vertical="center"/>
    </xf>
    <xf numFmtId="49" fontId="6" fillId="10" borderId="8" xfId="0" applyNumberFormat="1" applyFont="1" applyFill="1" applyBorder="1" applyAlignment="1">
      <alignment horizontal="center" vertical="center" wrapText="1"/>
    </xf>
    <xf numFmtId="49" fontId="6" fillId="10" borderId="2" xfId="0" applyNumberFormat="1" applyFont="1" applyFill="1" applyBorder="1" applyAlignment="1">
      <alignment horizontal="center" vertical="center" wrapText="1"/>
    </xf>
    <xf numFmtId="49" fontId="6" fillId="10" borderId="1" xfId="0" applyNumberFormat="1" applyFont="1" applyFill="1" applyBorder="1" applyAlignment="1">
      <alignment horizontal="center" vertical="center" wrapText="1"/>
    </xf>
    <xf numFmtId="49" fontId="6" fillId="10" borderId="3" xfId="0" applyNumberFormat="1" applyFont="1" applyFill="1" applyBorder="1" applyAlignment="1">
      <alignment horizontal="center" vertical="center"/>
    </xf>
    <xf numFmtId="49" fontId="6" fillId="10" borderId="5" xfId="0" applyNumberFormat="1" applyFont="1" applyFill="1" applyBorder="1" applyAlignment="1">
      <alignment horizontal="center" vertical="center"/>
    </xf>
    <xf numFmtId="0" fontId="6" fillId="10" borderId="2" xfId="0" applyFont="1" applyFill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/>
    </xf>
    <xf numFmtId="0" fontId="10" fillId="0" borderId="9" xfId="0" applyFont="1" applyFill="1" applyBorder="1" applyAlignment="1">
      <alignment horizontal="center"/>
    </xf>
    <xf numFmtId="49" fontId="6" fillId="0" borderId="1" xfId="0" applyNumberFormat="1" applyFont="1" applyFill="1" applyBorder="1" applyAlignment="1">
      <alignment horizontal="center" vertical="center"/>
    </xf>
    <xf numFmtId="49" fontId="6" fillId="0" borderId="8" xfId="0" applyNumberFormat="1" applyFont="1" applyFill="1" applyBorder="1" applyAlignment="1">
      <alignment horizontal="center" vertical="center" wrapText="1"/>
    </xf>
    <xf numFmtId="49" fontId="6" fillId="0" borderId="2" xfId="0" applyNumberFormat="1" applyFont="1" applyFill="1" applyBorder="1" applyAlignment="1">
      <alignment horizontal="center" vertical="center" wrapText="1"/>
    </xf>
    <xf numFmtId="49" fontId="6" fillId="0" borderId="1" xfId="0" applyNumberFormat="1" applyFont="1" applyFill="1" applyBorder="1" applyAlignment="1">
      <alignment horizontal="center" vertical="center" wrapText="1"/>
    </xf>
    <xf numFmtId="49" fontId="6" fillId="0" borderId="3" xfId="0" applyNumberFormat="1" applyFont="1" applyFill="1" applyBorder="1" applyAlignment="1">
      <alignment horizontal="center" vertical="center"/>
    </xf>
    <xf numFmtId="49" fontId="6" fillId="0" borderId="5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0" fontId="10" fillId="4" borderId="9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 vertical="center" wrapText="1"/>
    </xf>
    <xf numFmtId="49" fontId="6" fillId="4" borderId="1" xfId="0" applyNumberFormat="1" applyFont="1" applyFill="1" applyBorder="1" applyAlignment="1">
      <alignment horizontal="center" vertical="center"/>
    </xf>
    <xf numFmtId="49" fontId="6" fillId="4" borderId="3" xfId="0" applyNumberFormat="1" applyFont="1" applyFill="1" applyBorder="1" applyAlignment="1">
      <alignment horizontal="center" vertical="center"/>
    </xf>
    <xf numFmtId="49" fontId="6" fillId="4" borderId="5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 wrapText="1"/>
    </xf>
    <xf numFmtId="49" fontId="6" fillId="4" borderId="2" xfId="0" applyNumberFormat="1" applyFont="1" applyFill="1" applyBorder="1" applyAlignment="1">
      <alignment horizontal="center" vertical="center" wrapText="1"/>
    </xf>
  </cellXfs>
  <cellStyles count="1">
    <cellStyle name="Обычный" xfId="0" builtinId="0"/>
  </cellStyles>
  <dxfs count="14"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bottom" textRotation="0" wrapText="0" indent="0" justifyLastLine="0" shrinkToFit="0" readingOrder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center" vertical="center" textRotation="0" wrapText="1" indent="0" justifyLastLine="0" shrinkToFit="1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center" vertical="center" textRotation="0" wrapText="1" indent="0" justifyLastLine="0" shrinkToFit="1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charset val="204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CFF5F51-900D-4DE1-AC88-5A594CADDFCE}" name="Таблица2" displayName="Таблица2" ref="A2:I298" totalsRowShown="0" headerRowDxfId="13" headerRowBorderDxfId="12" tableBorderDxfId="11">
  <autoFilter ref="A2:I298" xr:uid="{706EF4E5-8C70-4D3E-BBBC-9800AAA6C39A}"/>
  <tableColumns count="9">
    <tableColumn id="1" xr3:uid="{EA1E1B4B-9A26-4EB3-B51B-84AEFF233EF5}" name="Выборка/Наименование" dataDxfId="10"/>
    <tableColumn id="2" xr3:uid="{D9ABFFA8-8AFA-4BF2-88EF-F501A1749921}" name="/Партии" dataDxfId="9"/>
    <tableColumn id="3" xr3:uid="{931A0C37-FA8C-45DC-AEAA-62BA7D397266}" name="/Дата" dataDxfId="8"/>
    <tableColumn id="4" xr3:uid="{239C2BCB-D81C-4AAE-A75B-7B6016DA9090}" name="/Кол-во" dataDxfId="7"/>
    <tableColumn id="5" xr3:uid="{205DF198-B67E-4EB8-BC84-11680164FDA3}" name="/Вх.контроль" dataDxfId="6"/>
    <tableColumn id="9" xr3:uid="{0DCF45F5-7294-4B46-B758-A3E70CF35F62}" name="Причина/вх" dataDxfId="5"/>
    <tableColumn id="6" xr3:uid="{2D8E564A-A0B8-45DA-B638-FAB72CC0B39A}" name="/Отбраковка" dataDxfId="4"/>
    <tableColumn id="10" xr3:uid="{F938144E-EADD-4C9C-A468-DA68E8933979}" name="Причина/отб" dataDxfId="3"/>
    <tableColumn id="7" xr3:uid="{C641D73E-A6F8-4F0E-88CF-E6DE043C44CA}" name="/Кол-во,отб-ки" dataDxfId="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2EA1D25-F1D3-40CA-AF18-13F9FB1BD49B}" name="Вид" displayName="Вид" ref="A1:B34" totalsRowShown="0" headerRowDxfId="1">
  <autoFilter ref="A1:B34" xr:uid="{3B847936-9E41-4848-889F-1A28276FF736}"/>
  <sortState xmlns:xlrd2="http://schemas.microsoft.com/office/spreadsheetml/2017/richdata2" ref="A2:A7">
    <sortCondition ref="A1:A7"/>
  </sortState>
  <tableColumns count="2">
    <tableColumn id="1" xr3:uid="{2C862E00-383B-4DF9-BA89-D357D6107182}" name="Наименование"/>
    <tableColumn id="3" xr3:uid="{FFDED820-E247-4B34-9DCD-60DEECCF60B3}" name="ID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2A0D-EE2D-4A70-B58F-87BD645346C9}">
  <sheetPr codeName="Лист1">
    <pageSetUpPr fitToPage="1"/>
  </sheetPr>
  <dimension ref="A1:K337"/>
  <sheetViews>
    <sheetView tabSelected="1" zoomScaleNormal="100" workbookViewId="0">
      <pane ySplit="3" topLeftCell="A4" activePane="bottomLeft" state="frozen"/>
      <selection pane="bottomLeft" activeCell="B42" sqref="B42"/>
    </sheetView>
  </sheetViews>
  <sheetFormatPr defaultRowHeight="15" x14ac:dyDescent="0.25"/>
  <cols>
    <col min="1" max="1" width="44" style="93" customWidth="1"/>
    <col min="2" max="2" width="13.5703125" style="88" customWidth="1"/>
    <col min="3" max="3" width="17.7109375" style="56" customWidth="1"/>
    <col min="4" max="4" width="12.85546875" style="52" customWidth="1"/>
    <col min="5" max="5" width="16.5703125" style="58" customWidth="1"/>
    <col min="6" max="6" width="16.5703125" style="88" customWidth="1"/>
    <col min="7" max="7" width="17.140625" style="58" customWidth="1"/>
    <col min="8" max="8" width="14.7109375" style="58" customWidth="1"/>
    <col min="9" max="9" width="17.5703125" style="75" customWidth="1"/>
    <col min="10" max="10" width="20.42578125" customWidth="1"/>
    <col min="11" max="11" width="22.28515625" customWidth="1"/>
  </cols>
  <sheetData>
    <row r="1" spans="1:11" x14ac:dyDescent="0.25">
      <c r="A1" s="301" t="s">
        <v>26</v>
      </c>
      <c r="B1" s="302"/>
      <c r="C1" s="302"/>
      <c r="D1" s="303"/>
      <c r="E1" s="82" t="s">
        <v>27</v>
      </c>
      <c r="F1" s="89"/>
      <c r="G1" s="76"/>
      <c r="H1" s="76"/>
      <c r="I1" s="77"/>
      <c r="J1" s="299"/>
      <c r="K1" s="300"/>
    </row>
    <row r="2" spans="1:11" x14ac:dyDescent="0.25">
      <c r="A2" s="46" t="s">
        <v>98</v>
      </c>
      <c r="B2" s="84" t="s">
        <v>101</v>
      </c>
      <c r="C2" s="53" t="s">
        <v>99</v>
      </c>
      <c r="D2" s="49" t="s">
        <v>100</v>
      </c>
      <c r="E2" s="47" t="s">
        <v>102</v>
      </c>
      <c r="F2" s="90" t="s">
        <v>107</v>
      </c>
      <c r="G2" s="47" t="s">
        <v>103</v>
      </c>
      <c r="H2" s="47" t="s">
        <v>106</v>
      </c>
      <c r="I2" s="37" t="s">
        <v>104</v>
      </c>
      <c r="J2" s="299"/>
      <c r="K2" s="300"/>
    </row>
    <row r="3" spans="1:11" ht="45" x14ac:dyDescent="0.25">
      <c r="A3" s="92"/>
      <c r="B3" s="85" t="s">
        <v>24</v>
      </c>
      <c r="C3" s="54" t="s">
        <v>25</v>
      </c>
      <c r="D3" s="50" t="s">
        <v>108</v>
      </c>
      <c r="E3" s="19" t="s">
        <v>29</v>
      </c>
      <c r="F3" s="91" t="s">
        <v>105</v>
      </c>
      <c r="G3" s="19" t="s">
        <v>28</v>
      </c>
      <c r="H3" s="19" t="s">
        <v>105</v>
      </c>
      <c r="I3" s="59" t="s">
        <v>30</v>
      </c>
      <c r="J3" s="299"/>
      <c r="K3" s="300"/>
    </row>
    <row r="4" spans="1:11" s="83" customFormat="1" x14ac:dyDescent="0.25">
      <c r="A4" s="184" t="s">
        <v>51</v>
      </c>
      <c r="B4" s="78">
        <v>5</v>
      </c>
      <c r="C4" s="61">
        <v>43839</v>
      </c>
      <c r="D4" s="60">
        <v>5500</v>
      </c>
      <c r="E4" s="62"/>
      <c r="F4" s="62"/>
      <c r="G4" s="62"/>
      <c r="H4" s="62"/>
      <c r="I4" s="79"/>
    </row>
    <row r="5" spans="1:11" s="83" customFormat="1" x14ac:dyDescent="0.25">
      <c r="A5" s="94" t="s">
        <v>70</v>
      </c>
      <c r="B5" s="78">
        <v>57</v>
      </c>
      <c r="C5" s="61">
        <v>43845</v>
      </c>
      <c r="D5" s="60">
        <v>2016</v>
      </c>
      <c r="E5" s="62"/>
      <c r="F5" s="62"/>
      <c r="G5" s="62"/>
      <c r="H5" s="62"/>
      <c r="I5" s="79"/>
    </row>
    <row r="6" spans="1:11" s="83" customFormat="1" x14ac:dyDescent="0.25">
      <c r="A6" s="94" t="s">
        <v>53</v>
      </c>
      <c r="B6" s="78" t="s">
        <v>118</v>
      </c>
      <c r="C6" s="61">
        <v>43845</v>
      </c>
      <c r="D6" s="60">
        <v>3722</v>
      </c>
      <c r="E6" s="62"/>
      <c r="F6" s="62"/>
      <c r="G6" s="62"/>
      <c r="H6" s="62"/>
      <c r="I6" s="79"/>
    </row>
    <row r="7" spans="1:11" s="83" customFormat="1" ht="45" x14ac:dyDescent="0.25">
      <c r="A7" s="94" t="s">
        <v>34</v>
      </c>
      <c r="B7" s="78" t="s">
        <v>119</v>
      </c>
      <c r="C7" s="61">
        <v>43847</v>
      </c>
      <c r="D7" s="60">
        <v>10000</v>
      </c>
      <c r="E7" s="62" t="s">
        <v>120</v>
      </c>
      <c r="F7" s="78" t="s">
        <v>127</v>
      </c>
      <c r="G7" s="78"/>
      <c r="H7" s="62"/>
      <c r="I7" s="79"/>
    </row>
    <row r="8" spans="1:11" s="83" customFormat="1" ht="90" x14ac:dyDescent="0.25">
      <c r="A8" s="94" t="s">
        <v>131</v>
      </c>
      <c r="B8" s="78" t="s">
        <v>121</v>
      </c>
      <c r="C8" s="61">
        <v>43850</v>
      </c>
      <c r="D8" s="60">
        <v>20000</v>
      </c>
      <c r="E8" s="62" t="s">
        <v>122</v>
      </c>
      <c r="F8" s="78" t="s">
        <v>128</v>
      </c>
      <c r="G8" s="62"/>
      <c r="H8" s="62"/>
      <c r="I8" s="79"/>
    </row>
    <row r="9" spans="1:11" s="83" customFormat="1" x14ac:dyDescent="0.25">
      <c r="A9" s="94" t="s">
        <v>58</v>
      </c>
      <c r="B9" s="78" t="s">
        <v>123</v>
      </c>
      <c r="C9" s="61">
        <v>43860</v>
      </c>
      <c r="D9" s="60">
        <v>2954</v>
      </c>
      <c r="E9" s="62"/>
      <c r="F9" s="78"/>
      <c r="G9" s="62"/>
      <c r="H9" s="62"/>
      <c r="I9" s="79"/>
    </row>
    <row r="10" spans="1:11" s="83" customFormat="1" ht="60" x14ac:dyDescent="0.25">
      <c r="A10" s="94" t="s">
        <v>34</v>
      </c>
      <c r="B10" s="78" t="s">
        <v>125</v>
      </c>
      <c r="C10" s="61">
        <v>43860</v>
      </c>
      <c r="D10" s="60">
        <v>9894</v>
      </c>
      <c r="E10" s="62" t="s">
        <v>124</v>
      </c>
      <c r="F10" s="78" t="s">
        <v>129</v>
      </c>
      <c r="G10" s="62"/>
      <c r="H10" s="62"/>
      <c r="I10" s="79"/>
    </row>
    <row r="11" spans="1:11" s="83" customFormat="1" x14ac:dyDescent="0.25">
      <c r="A11" s="94" t="s">
        <v>66</v>
      </c>
      <c r="B11" s="187" t="s">
        <v>197</v>
      </c>
      <c r="C11" s="61">
        <v>43864</v>
      </c>
      <c r="D11" s="68">
        <v>17944</v>
      </c>
      <c r="E11" s="62"/>
      <c r="F11" s="78"/>
      <c r="G11" s="62"/>
      <c r="H11" s="62"/>
      <c r="I11" s="79"/>
    </row>
    <row r="12" spans="1:11" s="83" customFormat="1" x14ac:dyDescent="0.25">
      <c r="A12" s="184" t="s">
        <v>51</v>
      </c>
      <c r="B12" s="78" t="s">
        <v>126</v>
      </c>
      <c r="C12" s="61">
        <v>43866</v>
      </c>
      <c r="D12" s="60">
        <v>7000</v>
      </c>
      <c r="E12" s="62"/>
      <c r="F12" s="78"/>
      <c r="G12" s="62"/>
      <c r="H12" s="62"/>
      <c r="I12" s="79"/>
    </row>
    <row r="13" spans="1:11" s="83" customFormat="1" ht="60" x14ac:dyDescent="0.25">
      <c r="A13" s="94" t="s">
        <v>34</v>
      </c>
      <c r="B13" s="78" t="s">
        <v>135</v>
      </c>
      <c r="C13" s="61">
        <v>43867</v>
      </c>
      <c r="D13" s="60">
        <v>9898</v>
      </c>
      <c r="E13" s="62" t="s">
        <v>150</v>
      </c>
      <c r="F13" s="78" t="s">
        <v>129</v>
      </c>
      <c r="G13" s="62"/>
      <c r="H13" s="62"/>
      <c r="I13" s="79"/>
    </row>
    <row r="14" spans="1:11" s="83" customFormat="1" ht="30" x14ac:dyDescent="0.25">
      <c r="A14" s="94" t="s">
        <v>53</v>
      </c>
      <c r="B14" s="78" t="s">
        <v>136</v>
      </c>
      <c r="C14" s="61">
        <v>43872</v>
      </c>
      <c r="D14" s="60">
        <v>13761</v>
      </c>
      <c r="E14" s="62"/>
      <c r="F14" s="78"/>
      <c r="G14" s="62"/>
      <c r="H14" s="62"/>
      <c r="I14" s="79"/>
    </row>
    <row r="15" spans="1:11" s="83" customFormat="1" x14ac:dyDescent="0.25">
      <c r="A15" s="79" t="s">
        <v>70</v>
      </c>
      <c r="B15" s="78" t="s">
        <v>137</v>
      </c>
      <c r="C15" s="61">
        <v>43873</v>
      </c>
      <c r="D15" s="60">
        <v>2034</v>
      </c>
      <c r="E15" s="62"/>
      <c r="F15" s="78"/>
      <c r="G15" s="62"/>
      <c r="H15" s="62"/>
      <c r="I15" s="79"/>
    </row>
    <row r="16" spans="1:11" s="83" customFormat="1" x14ac:dyDescent="0.25">
      <c r="A16" s="79" t="s">
        <v>51</v>
      </c>
      <c r="B16" s="78" t="s">
        <v>138</v>
      </c>
      <c r="C16" s="61">
        <v>43873</v>
      </c>
      <c r="D16" s="60">
        <v>1500</v>
      </c>
      <c r="E16" s="62"/>
      <c r="F16" s="78"/>
      <c r="G16" s="62"/>
      <c r="H16" s="62"/>
      <c r="I16" s="79"/>
    </row>
    <row r="17" spans="1:9" s="83" customFormat="1" x14ac:dyDescent="0.25">
      <c r="A17" s="79" t="s">
        <v>66</v>
      </c>
      <c r="B17" s="78" t="s">
        <v>121</v>
      </c>
      <c r="C17" s="61">
        <v>43875</v>
      </c>
      <c r="D17" s="60">
        <v>18085</v>
      </c>
      <c r="E17" s="62"/>
      <c r="F17" s="78"/>
      <c r="G17" s="62"/>
      <c r="H17" s="62"/>
      <c r="I17" s="79"/>
    </row>
    <row r="18" spans="1:9" s="83" customFormat="1" x14ac:dyDescent="0.25">
      <c r="A18" s="79" t="s">
        <v>58</v>
      </c>
      <c r="B18" s="78" t="s">
        <v>139</v>
      </c>
      <c r="C18" s="61">
        <v>43875</v>
      </c>
      <c r="D18" s="60">
        <v>237</v>
      </c>
      <c r="E18" s="62"/>
      <c r="F18" s="78"/>
      <c r="G18" s="62"/>
      <c r="H18" s="62"/>
      <c r="I18" s="79"/>
    </row>
    <row r="19" spans="1:9" s="83" customFormat="1" ht="30" x14ac:dyDescent="0.25">
      <c r="A19" s="79" t="s">
        <v>55</v>
      </c>
      <c r="B19" s="78" t="s">
        <v>140</v>
      </c>
      <c r="C19" s="61">
        <v>43875</v>
      </c>
      <c r="D19" s="60">
        <v>1888</v>
      </c>
      <c r="E19" s="62"/>
      <c r="F19" s="78"/>
      <c r="G19" s="62"/>
      <c r="H19" s="62"/>
      <c r="I19" s="79"/>
    </row>
    <row r="20" spans="1:9" s="83" customFormat="1" ht="60" x14ac:dyDescent="0.25">
      <c r="A20" s="79" t="s">
        <v>34</v>
      </c>
      <c r="B20" s="78" t="s">
        <v>141</v>
      </c>
      <c r="C20" s="61">
        <v>43875</v>
      </c>
      <c r="D20" s="60">
        <v>9910</v>
      </c>
      <c r="E20" s="62" t="s">
        <v>154</v>
      </c>
      <c r="F20" s="78" t="s">
        <v>129</v>
      </c>
      <c r="G20" s="62"/>
      <c r="H20" s="62"/>
      <c r="I20" s="79"/>
    </row>
    <row r="21" spans="1:9" s="83" customFormat="1" x14ac:dyDescent="0.25">
      <c r="A21" s="79" t="s">
        <v>31</v>
      </c>
      <c r="B21" s="78" t="s">
        <v>142</v>
      </c>
      <c r="C21" s="61">
        <v>43879</v>
      </c>
      <c r="D21" s="60">
        <v>2037</v>
      </c>
      <c r="E21" s="62"/>
      <c r="F21" s="78"/>
      <c r="G21" s="62"/>
      <c r="H21" s="62"/>
      <c r="I21" s="79"/>
    </row>
    <row r="22" spans="1:9" s="83" customFormat="1" x14ac:dyDescent="0.25">
      <c r="A22" s="79" t="s">
        <v>66</v>
      </c>
      <c r="B22" s="78" t="s">
        <v>143</v>
      </c>
      <c r="C22" s="61">
        <v>43880</v>
      </c>
      <c r="D22" s="60">
        <v>18150</v>
      </c>
      <c r="E22" s="62"/>
      <c r="F22" s="78"/>
      <c r="G22" s="62"/>
      <c r="H22" s="62"/>
      <c r="I22" s="79"/>
    </row>
    <row r="23" spans="1:9" s="83" customFormat="1" x14ac:dyDescent="0.25">
      <c r="A23" s="79" t="s">
        <v>60</v>
      </c>
      <c r="B23" s="78" t="s">
        <v>144</v>
      </c>
      <c r="C23" s="61">
        <v>43880</v>
      </c>
      <c r="D23" s="60">
        <v>3000</v>
      </c>
      <c r="E23" s="62"/>
      <c r="F23" s="78"/>
      <c r="G23" s="62"/>
      <c r="H23" s="62"/>
      <c r="I23" s="79"/>
    </row>
    <row r="24" spans="1:9" s="83" customFormat="1" ht="60" x14ac:dyDescent="0.25">
      <c r="A24" s="79" t="s">
        <v>34</v>
      </c>
      <c r="B24" s="78" t="s">
        <v>145</v>
      </c>
      <c r="C24" s="61">
        <v>43880</v>
      </c>
      <c r="D24" s="60">
        <v>9900</v>
      </c>
      <c r="E24" s="62" t="s">
        <v>155</v>
      </c>
      <c r="F24" s="78" t="s">
        <v>129</v>
      </c>
      <c r="G24" s="62"/>
      <c r="H24" s="62"/>
      <c r="I24" s="79"/>
    </row>
    <row r="25" spans="1:9" s="83" customFormat="1" x14ac:dyDescent="0.25">
      <c r="A25" s="79" t="s">
        <v>53</v>
      </c>
      <c r="B25" s="78" t="s">
        <v>146</v>
      </c>
      <c r="C25" s="61">
        <v>43881</v>
      </c>
      <c r="D25" s="60">
        <v>1000</v>
      </c>
      <c r="E25" s="62"/>
      <c r="F25" s="78"/>
      <c r="G25" s="62"/>
      <c r="H25" s="62"/>
      <c r="I25" s="79"/>
    </row>
    <row r="26" spans="1:9" s="83" customFormat="1" ht="45" x14ac:dyDescent="0.25">
      <c r="A26" s="79" t="s">
        <v>131</v>
      </c>
      <c r="B26" s="78" t="s">
        <v>147</v>
      </c>
      <c r="C26" s="61">
        <v>43882</v>
      </c>
      <c r="D26" s="60">
        <v>20000</v>
      </c>
      <c r="E26" s="62" t="s">
        <v>156</v>
      </c>
      <c r="F26" s="78" t="s">
        <v>157</v>
      </c>
      <c r="G26" s="62"/>
      <c r="H26" s="62"/>
      <c r="I26" s="79"/>
    </row>
    <row r="27" spans="1:9" s="83" customFormat="1" x14ac:dyDescent="0.25">
      <c r="A27" s="80" t="s">
        <v>70</v>
      </c>
      <c r="B27" s="86" t="s">
        <v>148</v>
      </c>
      <c r="C27" s="65">
        <v>43882</v>
      </c>
      <c r="D27" s="64">
        <v>2016</v>
      </c>
      <c r="E27" s="66"/>
      <c r="F27" s="86"/>
      <c r="G27" s="66"/>
      <c r="H27" s="66"/>
      <c r="I27" s="80"/>
    </row>
    <row r="28" spans="1:9" s="83" customFormat="1" x14ac:dyDescent="0.25">
      <c r="A28" s="80" t="s">
        <v>66</v>
      </c>
      <c r="B28" s="86" t="s">
        <v>149</v>
      </c>
      <c r="C28" s="65">
        <v>43887</v>
      </c>
      <c r="D28" s="64">
        <v>19500</v>
      </c>
      <c r="E28" s="66"/>
      <c r="F28" s="86"/>
      <c r="G28" s="66"/>
      <c r="H28" s="66"/>
      <c r="I28" s="80"/>
    </row>
    <row r="29" spans="1:9" s="83" customFormat="1" ht="45" x14ac:dyDescent="0.25">
      <c r="A29" s="80" t="s">
        <v>34</v>
      </c>
      <c r="B29" s="86" t="s">
        <v>151</v>
      </c>
      <c r="C29" s="65">
        <v>43873</v>
      </c>
      <c r="D29" s="64">
        <v>9900</v>
      </c>
      <c r="E29" s="66" t="s">
        <v>235</v>
      </c>
      <c r="F29" s="86" t="s">
        <v>153</v>
      </c>
      <c r="G29" s="66"/>
      <c r="H29" s="66"/>
      <c r="I29" s="80"/>
    </row>
    <row r="30" spans="1:9" s="83" customFormat="1" ht="60" x14ac:dyDescent="0.25">
      <c r="A30" s="80" t="s">
        <v>34</v>
      </c>
      <c r="B30" s="86" t="s">
        <v>158</v>
      </c>
      <c r="C30" s="65">
        <v>43888</v>
      </c>
      <c r="D30" s="64">
        <v>10248</v>
      </c>
      <c r="E30" s="66" t="s">
        <v>159</v>
      </c>
      <c r="F30" s="86" t="s">
        <v>129</v>
      </c>
      <c r="G30" s="66"/>
      <c r="H30" s="66"/>
      <c r="I30" s="80"/>
    </row>
    <row r="31" spans="1:9" s="83" customFormat="1" x14ac:dyDescent="0.25">
      <c r="A31" s="80" t="s">
        <v>66</v>
      </c>
      <c r="B31" s="86" t="s">
        <v>160</v>
      </c>
      <c r="C31" s="65">
        <v>43889</v>
      </c>
      <c r="D31" s="64">
        <v>18079</v>
      </c>
      <c r="E31" s="66"/>
      <c r="F31" s="86"/>
      <c r="G31" s="66"/>
      <c r="H31" s="66"/>
      <c r="I31" s="80"/>
    </row>
    <row r="32" spans="1:9" s="83" customFormat="1" x14ac:dyDescent="0.25">
      <c r="A32" s="80" t="s">
        <v>67</v>
      </c>
      <c r="B32" s="86" t="s">
        <v>161</v>
      </c>
      <c r="C32" s="65">
        <v>43896</v>
      </c>
      <c r="D32" s="64">
        <v>19500</v>
      </c>
      <c r="E32" s="66"/>
      <c r="F32" s="78"/>
      <c r="G32" s="66"/>
      <c r="H32" s="66"/>
      <c r="I32" s="80"/>
    </row>
    <row r="33" spans="1:9" s="83" customFormat="1" ht="45" x14ac:dyDescent="0.25">
      <c r="A33" s="184" t="s">
        <v>34</v>
      </c>
      <c r="B33" s="187" t="s">
        <v>194</v>
      </c>
      <c r="C33" s="61">
        <v>43896</v>
      </c>
      <c r="D33" s="68">
        <v>4056</v>
      </c>
      <c r="E33" s="62" t="s">
        <v>196</v>
      </c>
      <c r="F33" s="86" t="s">
        <v>153</v>
      </c>
      <c r="G33" s="62"/>
      <c r="H33" s="62"/>
      <c r="I33" s="79"/>
    </row>
    <row r="34" spans="1:9" s="83" customFormat="1" ht="45" x14ac:dyDescent="0.25">
      <c r="A34" s="184" t="s">
        <v>34</v>
      </c>
      <c r="B34" s="187" t="s">
        <v>195</v>
      </c>
      <c r="C34" s="61">
        <v>43897</v>
      </c>
      <c r="D34" s="68">
        <v>5850</v>
      </c>
      <c r="E34" s="62" t="s">
        <v>196</v>
      </c>
      <c r="F34" s="86" t="s">
        <v>153</v>
      </c>
      <c r="G34" s="62"/>
      <c r="H34" s="62"/>
      <c r="I34" s="79"/>
    </row>
    <row r="35" spans="1:9" s="83" customFormat="1" x14ac:dyDescent="0.25">
      <c r="A35" s="80" t="s">
        <v>53</v>
      </c>
      <c r="B35" s="86" t="s">
        <v>162</v>
      </c>
      <c r="C35" s="65">
        <v>43900</v>
      </c>
      <c r="D35" s="64">
        <v>5035</v>
      </c>
      <c r="E35" s="66"/>
      <c r="F35" s="86"/>
      <c r="G35" s="66"/>
      <c r="H35" s="66"/>
      <c r="I35" s="80"/>
    </row>
    <row r="36" spans="1:9" s="83" customFormat="1" x14ac:dyDescent="0.25">
      <c r="A36" s="80" t="s">
        <v>51</v>
      </c>
      <c r="B36" s="86" t="s">
        <v>163</v>
      </c>
      <c r="C36" s="65">
        <v>43901</v>
      </c>
      <c r="D36" s="64">
        <v>6000</v>
      </c>
      <c r="E36" s="66"/>
      <c r="F36" s="78"/>
      <c r="G36" s="66"/>
      <c r="H36" s="66"/>
      <c r="I36" s="80"/>
    </row>
    <row r="37" spans="1:9" s="83" customFormat="1" ht="45" x14ac:dyDescent="0.25">
      <c r="A37" s="80" t="s">
        <v>131</v>
      </c>
      <c r="B37" s="86" t="s">
        <v>164</v>
      </c>
      <c r="C37" s="65">
        <v>43906</v>
      </c>
      <c r="D37" s="67">
        <v>20000</v>
      </c>
      <c r="E37" s="66" t="s">
        <v>233</v>
      </c>
      <c r="F37" s="78" t="s">
        <v>157</v>
      </c>
      <c r="G37" s="66"/>
      <c r="H37" s="66"/>
      <c r="I37" s="80"/>
    </row>
    <row r="38" spans="1:9" s="83" customFormat="1" x14ac:dyDescent="0.25">
      <c r="A38" s="80" t="s">
        <v>66</v>
      </c>
      <c r="B38" s="78" t="s">
        <v>165</v>
      </c>
      <c r="C38" s="61">
        <v>43906</v>
      </c>
      <c r="D38" s="68">
        <v>18143</v>
      </c>
      <c r="E38" s="66"/>
      <c r="F38" s="86"/>
      <c r="G38" s="66"/>
      <c r="H38" s="66"/>
      <c r="I38" s="80"/>
    </row>
    <row r="39" spans="1:9" s="83" customFormat="1" x14ac:dyDescent="0.25">
      <c r="A39" s="80" t="s">
        <v>31</v>
      </c>
      <c r="B39" s="86" t="s">
        <v>166</v>
      </c>
      <c r="C39" s="65">
        <v>43908</v>
      </c>
      <c r="D39" s="67">
        <v>1665</v>
      </c>
      <c r="E39" s="66"/>
      <c r="F39" s="86"/>
      <c r="G39" s="66"/>
      <c r="H39" s="66"/>
      <c r="I39" s="80"/>
    </row>
    <row r="40" spans="1:9" s="83" customFormat="1" ht="60" x14ac:dyDescent="0.25">
      <c r="A40" s="80" t="s">
        <v>34</v>
      </c>
      <c r="B40" s="86" t="s">
        <v>167</v>
      </c>
      <c r="C40" s="65">
        <v>43909</v>
      </c>
      <c r="D40" s="67">
        <v>9898</v>
      </c>
      <c r="E40" s="66" t="s">
        <v>232</v>
      </c>
      <c r="F40" s="86" t="s">
        <v>129</v>
      </c>
      <c r="G40" s="66"/>
      <c r="H40" s="66"/>
      <c r="I40" s="80"/>
    </row>
    <row r="41" spans="1:9" s="83" customFormat="1" x14ac:dyDescent="0.25">
      <c r="A41" s="80" t="s">
        <v>66</v>
      </c>
      <c r="B41" s="86" t="s">
        <v>168</v>
      </c>
      <c r="C41" s="65">
        <v>43909</v>
      </c>
      <c r="D41" s="67">
        <v>18261</v>
      </c>
      <c r="E41" s="66"/>
      <c r="F41" s="86"/>
      <c r="G41" s="66"/>
      <c r="H41" s="66"/>
      <c r="I41" s="80"/>
    </row>
    <row r="42" spans="1:9" s="83" customFormat="1" x14ac:dyDescent="0.25">
      <c r="A42" s="80" t="s">
        <v>66</v>
      </c>
      <c r="B42" s="86" t="s">
        <v>169</v>
      </c>
      <c r="C42" s="65">
        <v>43913</v>
      </c>
      <c r="D42" s="67">
        <v>17945</v>
      </c>
      <c r="E42" s="66"/>
      <c r="F42" s="86"/>
      <c r="G42" s="66"/>
      <c r="H42" s="66"/>
      <c r="I42" s="80"/>
    </row>
    <row r="43" spans="1:9" s="83" customFormat="1" x14ac:dyDescent="0.25">
      <c r="A43" s="80" t="s">
        <v>66</v>
      </c>
      <c r="B43" s="86" t="s">
        <v>170</v>
      </c>
      <c r="C43" s="65">
        <v>43915</v>
      </c>
      <c r="D43" s="67">
        <v>17580</v>
      </c>
      <c r="E43" s="66"/>
      <c r="F43" s="86"/>
      <c r="G43" s="66"/>
      <c r="H43" s="66"/>
      <c r="I43" s="80"/>
    </row>
    <row r="44" spans="1:9" s="83" customFormat="1" x14ac:dyDescent="0.25">
      <c r="A44" s="80" t="s">
        <v>34</v>
      </c>
      <c r="B44" s="86" t="s">
        <v>171</v>
      </c>
      <c r="C44" s="65">
        <v>43915</v>
      </c>
      <c r="D44" s="67">
        <v>10254</v>
      </c>
      <c r="E44" s="66" t="s">
        <v>191</v>
      </c>
      <c r="F44" s="78"/>
      <c r="G44" s="66"/>
      <c r="H44" s="66"/>
      <c r="I44" s="80"/>
    </row>
    <row r="45" spans="1:9" s="83" customFormat="1" x14ac:dyDescent="0.25">
      <c r="A45" s="80" t="s">
        <v>70</v>
      </c>
      <c r="B45" s="86" t="s">
        <v>172</v>
      </c>
      <c r="C45" s="65">
        <v>43908</v>
      </c>
      <c r="D45" s="67">
        <v>2520</v>
      </c>
      <c r="E45" s="66"/>
      <c r="F45" s="86"/>
      <c r="G45" s="66"/>
      <c r="H45" s="66"/>
      <c r="I45" s="80"/>
    </row>
    <row r="46" spans="1:9" s="83" customFormat="1" x14ac:dyDescent="0.25">
      <c r="A46" s="184" t="s">
        <v>51</v>
      </c>
      <c r="B46" s="187" t="s">
        <v>241</v>
      </c>
      <c r="C46" s="61">
        <v>43927</v>
      </c>
      <c r="D46" s="68">
        <v>9500</v>
      </c>
      <c r="E46" s="62"/>
      <c r="F46" s="78"/>
      <c r="G46" s="62"/>
      <c r="H46" s="62"/>
      <c r="I46" s="79"/>
    </row>
    <row r="47" spans="1:9" s="83" customFormat="1" x14ac:dyDescent="0.25">
      <c r="A47" s="80" t="s">
        <v>53</v>
      </c>
      <c r="B47" s="86" t="s">
        <v>173</v>
      </c>
      <c r="C47" s="65">
        <v>43935</v>
      </c>
      <c r="D47" s="67">
        <v>4474</v>
      </c>
      <c r="E47" s="66"/>
      <c r="F47" s="86"/>
      <c r="G47" s="66"/>
      <c r="H47" s="66"/>
      <c r="I47" s="80"/>
    </row>
    <row r="48" spans="1:9" s="83" customFormat="1" x14ac:dyDescent="0.25">
      <c r="A48" s="80" t="s">
        <v>70</v>
      </c>
      <c r="B48" s="86" t="s">
        <v>174</v>
      </c>
      <c r="C48" s="65">
        <v>43936</v>
      </c>
      <c r="D48" s="67">
        <v>2563</v>
      </c>
      <c r="E48" s="66"/>
      <c r="F48" s="86"/>
      <c r="G48" s="66"/>
      <c r="H48" s="66"/>
      <c r="I48" s="80"/>
    </row>
    <row r="49" spans="1:9" s="83" customFormat="1" x14ac:dyDescent="0.25">
      <c r="A49" s="80" t="s">
        <v>34</v>
      </c>
      <c r="B49" s="86" t="s">
        <v>175</v>
      </c>
      <c r="C49" s="65">
        <v>43937</v>
      </c>
      <c r="D49" s="67">
        <v>10000</v>
      </c>
      <c r="E49" s="66" t="s">
        <v>191</v>
      </c>
      <c r="F49" s="86"/>
      <c r="G49" s="66"/>
      <c r="H49" s="66"/>
      <c r="I49" s="80"/>
    </row>
    <row r="50" spans="1:9" s="83" customFormat="1" x14ac:dyDescent="0.25">
      <c r="A50" s="80" t="s">
        <v>66</v>
      </c>
      <c r="B50" s="86" t="s">
        <v>176</v>
      </c>
      <c r="C50" s="65">
        <v>43938</v>
      </c>
      <c r="D50" s="67">
        <v>17916</v>
      </c>
      <c r="E50" s="66"/>
      <c r="F50" s="78"/>
      <c r="G50" s="66"/>
      <c r="H50" s="66"/>
      <c r="I50" s="80"/>
    </row>
    <row r="51" spans="1:9" s="83" customFormat="1" x14ac:dyDescent="0.25">
      <c r="A51" s="80" t="s">
        <v>66</v>
      </c>
      <c r="B51" s="86" t="s">
        <v>177</v>
      </c>
      <c r="C51" s="65">
        <v>43943</v>
      </c>
      <c r="D51" s="67">
        <v>18494</v>
      </c>
      <c r="E51" s="66"/>
      <c r="F51" s="86"/>
      <c r="G51" s="66"/>
      <c r="H51" s="66"/>
      <c r="I51" s="80"/>
    </row>
    <row r="52" spans="1:9" s="83" customFormat="1" x14ac:dyDescent="0.25">
      <c r="A52" s="80" t="s">
        <v>67</v>
      </c>
      <c r="B52" s="86" t="s">
        <v>126</v>
      </c>
      <c r="C52" s="65">
        <v>43943</v>
      </c>
      <c r="D52" s="67">
        <v>19500</v>
      </c>
      <c r="E52" s="66"/>
      <c r="F52" s="86"/>
      <c r="G52" s="66"/>
      <c r="H52" s="66"/>
      <c r="I52" s="80"/>
    </row>
    <row r="53" spans="1:9" s="83" customFormat="1" x14ac:dyDescent="0.25">
      <c r="A53" s="80" t="s">
        <v>53</v>
      </c>
      <c r="B53" s="86" t="s">
        <v>178</v>
      </c>
      <c r="C53" s="65">
        <v>43943</v>
      </c>
      <c r="D53" s="67">
        <v>7960</v>
      </c>
      <c r="E53" s="66"/>
      <c r="F53" s="86"/>
      <c r="G53" s="66"/>
      <c r="H53" s="66"/>
      <c r="I53" s="80"/>
    </row>
    <row r="54" spans="1:9" s="83" customFormat="1" x14ac:dyDescent="0.25">
      <c r="A54" s="80" t="s">
        <v>34</v>
      </c>
      <c r="B54" s="86" t="s">
        <v>179</v>
      </c>
      <c r="C54" s="65">
        <v>43944</v>
      </c>
      <c r="D54" s="67">
        <v>10294</v>
      </c>
      <c r="E54" s="66" t="s">
        <v>191</v>
      </c>
      <c r="F54" s="78"/>
      <c r="G54" s="66"/>
      <c r="H54" s="66"/>
      <c r="I54" s="80"/>
    </row>
    <row r="55" spans="1:9" s="83" customFormat="1" x14ac:dyDescent="0.25">
      <c r="A55" s="80" t="s">
        <v>66</v>
      </c>
      <c r="B55" s="86" t="s">
        <v>180</v>
      </c>
      <c r="C55" s="65">
        <v>43951</v>
      </c>
      <c r="D55" s="67">
        <v>18360</v>
      </c>
      <c r="E55" s="66"/>
      <c r="F55" s="86"/>
      <c r="G55" s="66"/>
      <c r="H55" s="66"/>
      <c r="I55" s="80"/>
    </row>
    <row r="56" spans="1:9" s="83" customFormat="1" x14ac:dyDescent="0.25">
      <c r="A56" s="80" t="s">
        <v>34</v>
      </c>
      <c r="B56" s="86" t="s">
        <v>181</v>
      </c>
      <c r="C56" s="65">
        <v>43951</v>
      </c>
      <c r="D56" s="67">
        <v>10004</v>
      </c>
      <c r="E56" s="66" t="s">
        <v>191</v>
      </c>
      <c r="F56" s="86"/>
      <c r="G56" s="66"/>
      <c r="H56" s="66"/>
      <c r="I56" s="80"/>
    </row>
    <row r="57" spans="1:9" s="83" customFormat="1" x14ac:dyDescent="0.25">
      <c r="A57" s="80" t="s">
        <v>31</v>
      </c>
      <c r="B57" s="86" t="s">
        <v>182</v>
      </c>
      <c r="C57" s="65">
        <v>43958</v>
      </c>
      <c r="D57" s="67">
        <v>2920</v>
      </c>
      <c r="E57" s="66"/>
      <c r="F57" s="86"/>
      <c r="G57" s="66"/>
      <c r="H57" s="66"/>
      <c r="I57" s="80"/>
    </row>
    <row r="58" spans="1:9" s="83" customFormat="1" ht="30" x14ac:dyDescent="0.25">
      <c r="A58" s="80" t="s">
        <v>32</v>
      </c>
      <c r="B58" s="86" t="s">
        <v>183</v>
      </c>
      <c r="C58" s="65">
        <v>43958</v>
      </c>
      <c r="D58" s="67">
        <v>534</v>
      </c>
      <c r="E58" s="66"/>
      <c r="F58" s="78"/>
      <c r="G58" s="66"/>
      <c r="H58" s="66"/>
      <c r="I58" s="80"/>
    </row>
    <row r="59" spans="1:9" s="83" customFormat="1" x14ac:dyDescent="0.25">
      <c r="A59" s="80" t="s">
        <v>34</v>
      </c>
      <c r="B59" s="86" t="s">
        <v>184</v>
      </c>
      <c r="C59" s="65">
        <v>43963</v>
      </c>
      <c r="D59" s="67">
        <v>9768</v>
      </c>
      <c r="E59" s="66" t="s">
        <v>191</v>
      </c>
      <c r="F59" s="86"/>
      <c r="G59" s="66"/>
      <c r="H59" s="66"/>
      <c r="I59" s="80"/>
    </row>
    <row r="60" spans="1:9" s="83" customFormat="1" x14ac:dyDescent="0.25">
      <c r="A60" s="80" t="s">
        <v>51</v>
      </c>
      <c r="B60" s="86" t="s">
        <v>185</v>
      </c>
      <c r="C60" s="65">
        <v>43963</v>
      </c>
      <c r="D60" s="67">
        <v>6000</v>
      </c>
      <c r="E60" s="66"/>
      <c r="F60" s="78"/>
      <c r="G60" s="66"/>
      <c r="H60" s="66"/>
      <c r="I60" s="80"/>
    </row>
    <row r="61" spans="1:9" s="83" customFormat="1" x14ac:dyDescent="0.25">
      <c r="A61" s="80" t="s">
        <v>59</v>
      </c>
      <c r="B61" s="86" t="s">
        <v>186</v>
      </c>
      <c r="C61" s="65">
        <v>43964</v>
      </c>
      <c r="D61" s="67">
        <v>216</v>
      </c>
      <c r="E61" s="66"/>
      <c r="F61" s="86"/>
      <c r="G61" s="66"/>
      <c r="H61" s="66"/>
      <c r="I61" s="80"/>
    </row>
    <row r="62" spans="1:9" s="83" customFormat="1" x14ac:dyDescent="0.25">
      <c r="A62" s="80" t="s">
        <v>70</v>
      </c>
      <c r="B62" s="86" t="s">
        <v>187</v>
      </c>
      <c r="C62" s="65">
        <v>43964</v>
      </c>
      <c r="D62" s="67">
        <v>4536</v>
      </c>
      <c r="E62" s="66"/>
      <c r="F62" s="86"/>
      <c r="G62" s="66"/>
      <c r="H62" s="66"/>
      <c r="I62" s="80"/>
    </row>
    <row r="63" spans="1:9" s="83" customFormat="1" x14ac:dyDescent="0.25">
      <c r="A63" s="80" t="s">
        <v>34</v>
      </c>
      <c r="B63" s="86" t="s">
        <v>188</v>
      </c>
      <c r="C63" s="65">
        <v>43964</v>
      </c>
      <c r="D63" s="67">
        <v>10098</v>
      </c>
      <c r="E63" s="66" t="s">
        <v>191</v>
      </c>
      <c r="F63" s="86"/>
      <c r="G63" s="66"/>
      <c r="H63" s="66"/>
      <c r="I63" s="80"/>
    </row>
    <row r="64" spans="1:9" s="83" customFormat="1" x14ac:dyDescent="0.25">
      <c r="A64" s="80" t="s">
        <v>66</v>
      </c>
      <c r="B64" s="86" t="s">
        <v>189</v>
      </c>
      <c r="C64" s="65">
        <v>43965</v>
      </c>
      <c r="D64" s="67">
        <v>18212</v>
      </c>
      <c r="E64" s="66"/>
      <c r="F64" s="86"/>
      <c r="G64" s="66"/>
      <c r="H64" s="66"/>
      <c r="I64" s="80"/>
    </row>
    <row r="65" spans="1:9" s="83" customFormat="1" x14ac:dyDescent="0.25">
      <c r="A65" s="184" t="s">
        <v>52</v>
      </c>
      <c r="B65" s="187" t="s">
        <v>241</v>
      </c>
      <c r="C65" s="61">
        <v>43965</v>
      </c>
      <c r="D65" s="68">
        <v>2985</v>
      </c>
      <c r="E65" s="62"/>
      <c r="F65" s="78"/>
      <c r="G65" s="62"/>
      <c r="H65" s="62"/>
      <c r="I65" s="79"/>
    </row>
    <row r="66" spans="1:9" s="83" customFormat="1" ht="45" x14ac:dyDescent="0.25">
      <c r="A66" s="80" t="s">
        <v>131</v>
      </c>
      <c r="B66" s="86" t="s">
        <v>190</v>
      </c>
      <c r="C66" s="65">
        <v>43966</v>
      </c>
      <c r="D66" s="67">
        <v>17754</v>
      </c>
      <c r="E66" s="66" t="s">
        <v>234</v>
      </c>
      <c r="F66" s="78" t="s">
        <v>157</v>
      </c>
      <c r="G66" s="66"/>
      <c r="H66" s="66"/>
      <c r="I66" s="80"/>
    </row>
    <row r="67" spans="1:9" s="83" customFormat="1" x14ac:dyDescent="0.25">
      <c r="A67" s="80" t="s">
        <v>67</v>
      </c>
      <c r="B67" s="86" t="s">
        <v>198</v>
      </c>
      <c r="C67" s="65">
        <v>43971</v>
      </c>
      <c r="D67" s="64">
        <v>19500</v>
      </c>
      <c r="E67" s="66"/>
      <c r="F67" s="86"/>
      <c r="G67" s="66"/>
      <c r="H67" s="66"/>
      <c r="I67" s="80"/>
    </row>
    <row r="68" spans="1:9" s="83" customFormat="1" x14ac:dyDescent="0.25">
      <c r="A68" s="80" t="s">
        <v>34</v>
      </c>
      <c r="B68" s="86" t="s">
        <v>199</v>
      </c>
      <c r="C68" s="65">
        <v>43973</v>
      </c>
      <c r="D68" s="64">
        <v>9750</v>
      </c>
      <c r="E68" s="62" t="s">
        <v>191</v>
      </c>
      <c r="F68" s="296"/>
      <c r="G68" s="66"/>
      <c r="H68" s="66"/>
      <c r="I68" s="80"/>
    </row>
    <row r="69" spans="1:9" s="83" customFormat="1" ht="45" x14ac:dyDescent="0.25">
      <c r="A69" s="80" t="s">
        <v>131</v>
      </c>
      <c r="B69" s="86" t="s">
        <v>201</v>
      </c>
      <c r="C69" s="65">
        <v>43973</v>
      </c>
      <c r="D69" s="64">
        <v>19999</v>
      </c>
      <c r="E69" s="66" t="s">
        <v>200</v>
      </c>
      <c r="F69" s="86" t="s">
        <v>157</v>
      </c>
      <c r="G69" s="66"/>
      <c r="H69" s="66"/>
      <c r="I69" s="80"/>
    </row>
    <row r="70" spans="1:9" s="83" customFormat="1" x14ac:dyDescent="0.25">
      <c r="A70" s="80" t="s">
        <v>66</v>
      </c>
      <c r="B70" s="86" t="s">
        <v>202</v>
      </c>
      <c r="C70" s="65">
        <v>43974</v>
      </c>
      <c r="D70" s="64">
        <v>18670</v>
      </c>
      <c r="E70" s="66"/>
      <c r="F70" s="78"/>
      <c r="G70" s="66"/>
      <c r="H70" s="66"/>
      <c r="I70" s="80"/>
    </row>
    <row r="71" spans="1:9" s="83" customFormat="1" x14ac:dyDescent="0.25">
      <c r="A71" s="80" t="s">
        <v>66</v>
      </c>
      <c r="B71" s="86" t="s">
        <v>203</v>
      </c>
      <c r="C71" s="65">
        <v>43978</v>
      </c>
      <c r="D71" s="64">
        <v>19061</v>
      </c>
      <c r="E71" s="66"/>
      <c r="F71" s="86"/>
      <c r="G71" s="66"/>
      <c r="H71" s="66"/>
      <c r="I71" s="80"/>
    </row>
    <row r="72" spans="1:9" s="83" customFormat="1" ht="60" x14ac:dyDescent="0.25">
      <c r="A72" s="80" t="s">
        <v>34</v>
      </c>
      <c r="B72" s="86" t="s">
        <v>204</v>
      </c>
      <c r="C72" s="65">
        <v>43978</v>
      </c>
      <c r="D72" s="64">
        <v>10036</v>
      </c>
      <c r="E72" s="66" t="s">
        <v>205</v>
      </c>
      <c r="F72" s="86" t="s">
        <v>129</v>
      </c>
      <c r="G72" s="66"/>
      <c r="H72" s="66"/>
      <c r="I72" s="80"/>
    </row>
    <row r="73" spans="1:9" s="83" customFormat="1" x14ac:dyDescent="0.25">
      <c r="A73" s="80" t="s">
        <v>66</v>
      </c>
      <c r="B73" s="86" t="s">
        <v>206</v>
      </c>
      <c r="C73" s="65">
        <v>43979</v>
      </c>
      <c r="D73" s="64">
        <v>19052</v>
      </c>
      <c r="E73" s="66"/>
      <c r="F73" s="86"/>
      <c r="G73" s="66"/>
      <c r="H73" s="66"/>
      <c r="I73" s="80"/>
    </row>
    <row r="74" spans="1:9" s="83" customFormat="1" x14ac:dyDescent="0.25">
      <c r="A74" s="80" t="s">
        <v>34</v>
      </c>
      <c r="B74" s="86" t="s">
        <v>207</v>
      </c>
      <c r="C74" s="65">
        <v>43985</v>
      </c>
      <c r="D74" s="64">
        <v>10006</v>
      </c>
      <c r="E74" s="66" t="s">
        <v>240</v>
      </c>
      <c r="F74" s="86"/>
      <c r="G74" s="66"/>
      <c r="H74" s="66"/>
      <c r="I74" s="80"/>
    </row>
    <row r="75" spans="1:9" s="83" customFormat="1" x14ac:dyDescent="0.25">
      <c r="A75" s="80" t="s">
        <v>53</v>
      </c>
      <c r="B75" s="86" t="s">
        <v>208</v>
      </c>
      <c r="C75" s="65">
        <v>43986</v>
      </c>
      <c r="D75" s="64">
        <v>4226</v>
      </c>
      <c r="E75" s="66"/>
      <c r="F75" s="86"/>
      <c r="G75" s="66"/>
      <c r="H75" s="66"/>
      <c r="I75" s="80"/>
    </row>
    <row r="76" spans="1:9" s="83" customFormat="1" x14ac:dyDescent="0.25">
      <c r="A76" s="80" t="s">
        <v>51</v>
      </c>
      <c r="B76" s="86" t="s">
        <v>209</v>
      </c>
      <c r="C76" s="65">
        <v>43986</v>
      </c>
      <c r="D76" s="64">
        <v>8000</v>
      </c>
      <c r="E76" s="66"/>
      <c r="F76" s="86"/>
      <c r="G76" s="66"/>
      <c r="H76" s="66"/>
      <c r="I76" s="80"/>
    </row>
    <row r="77" spans="1:9" s="83" customFormat="1" x14ac:dyDescent="0.25">
      <c r="A77" s="80" t="s">
        <v>66</v>
      </c>
      <c r="B77" s="86" t="s">
        <v>210</v>
      </c>
      <c r="C77" s="65">
        <v>43990</v>
      </c>
      <c r="D77" s="64">
        <v>18564</v>
      </c>
      <c r="E77" s="66"/>
      <c r="F77" s="78"/>
      <c r="G77" s="66"/>
      <c r="H77" s="66"/>
      <c r="I77" s="80"/>
    </row>
    <row r="78" spans="1:9" s="83" customFormat="1" ht="60" x14ac:dyDescent="0.25">
      <c r="A78" s="80" t="s">
        <v>34</v>
      </c>
      <c r="B78" s="86" t="s">
        <v>211</v>
      </c>
      <c r="C78" s="65">
        <v>43991</v>
      </c>
      <c r="D78" s="64">
        <v>10000</v>
      </c>
      <c r="E78" s="66" t="s">
        <v>212</v>
      </c>
      <c r="F78" s="86" t="s">
        <v>129</v>
      </c>
      <c r="G78" s="66"/>
      <c r="H78" s="66"/>
      <c r="I78" s="80"/>
    </row>
    <row r="79" spans="1:9" s="83" customFormat="1" ht="30" x14ac:dyDescent="0.25">
      <c r="A79" s="80" t="s">
        <v>131</v>
      </c>
      <c r="B79" s="86" t="s">
        <v>213</v>
      </c>
      <c r="C79" s="65">
        <v>43997</v>
      </c>
      <c r="D79" s="64">
        <v>66</v>
      </c>
      <c r="E79" s="66"/>
      <c r="F79" s="86"/>
      <c r="G79" s="66"/>
      <c r="H79" s="66"/>
      <c r="I79" s="80"/>
    </row>
    <row r="80" spans="1:9" s="83" customFormat="1" x14ac:dyDescent="0.25">
      <c r="A80" s="80" t="s">
        <v>66</v>
      </c>
      <c r="B80" s="86" t="s">
        <v>214</v>
      </c>
      <c r="C80" s="65">
        <v>43998</v>
      </c>
      <c r="D80" s="64">
        <v>18631</v>
      </c>
      <c r="E80" s="66"/>
      <c r="F80" s="86"/>
      <c r="G80" s="66"/>
      <c r="H80" s="66"/>
      <c r="I80" s="80"/>
    </row>
    <row r="81" spans="1:9" s="83" customFormat="1" ht="60" x14ac:dyDescent="0.25">
      <c r="A81" s="80" t="s">
        <v>34</v>
      </c>
      <c r="B81" s="86" t="s">
        <v>215</v>
      </c>
      <c r="C81" s="65">
        <v>43998</v>
      </c>
      <c r="D81" s="64">
        <v>10002</v>
      </c>
      <c r="E81" s="66" t="s">
        <v>216</v>
      </c>
      <c r="F81" s="86" t="s">
        <v>129</v>
      </c>
      <c r="G81" s="66" t="s">
        <v>217</v>
      </c>
      <c r="H81" s="66" t="s">
        <v>218</v>
      </c>
      <c r="I81" s="80">
        <v>127</v>
      </c>
    </row>
    <row r="82" spans="1:9" s="83" customFormat="1" x14ac:dyDescent="0.25">
      <c r="A82" s="80" t="s">
        <v>53</v>
      </c>
      <c r="B82" s="86" t="s">
        <v>219</v>
      </c>
      <c r="C82" s="65">
        <v>44005</v>
      </c>
      <c r="D82" s="64">
        <v>3000</v>
      </c>
      <c r="E82" s="66"/>
      <c r="F82" s="86"/>
      <c r="G82" s="66"/>
      <c r="H82" s="66"/>
      <c r="I82" s="80"/>
    </row>
    <row r="83" spans="1:9" s="83" customFormat="1" x14ac:dyDescent="0.25">
      <c r="A83" s="80" t="s">
        <v>70</v>
      </c>
      <c r="B83" s="86" t="s">
        <v>220</v>
      </c>
      <c r="C83" s="65">
        <v>44005</v>
      </c>
      <c r="D83" s="64">
        <v>1512</v>
      </c>
      <c r="E83" s="66"/>
      <c r="F83" s="78"/>
      <c r="G83" s="66"/>
      <c r="H83" s="66"/>
      <c r="I83" s="80"/>
    </row>
    <row r="84" spans="1:9" s="83" customFormat="1" x14ac:dyDescent="0.25">
      <c r="A84" s="80" t="s">
        <v>66</v>
      </c>
      <c r="B84" s="66" t="s">
        <v>221</v>
      </c>
      <c r="C84" s="65">
        <v>44005</v>
      </c>
      <c r="D84" s="64">
        <v>18365</v>
      </c>
      <c r="E84" s="66"/>
      <c r="F84" s="86"/>
      <c r="G84" s="66"/>
      <c r="H84" s="80"/>
      <c r="I84" s="80"/>
    </row>
    <row r="85" spans="1:9" s="83" customFormat="1" x14ac:dyDescent="0.25">
      <c r="A85" s="80" t="s">
        <v>31</v>
      </c>
      <c r="B85" s="66" t="s">
        <v>222</v>
      </c>
      <c r="C85" s="74">
        <v>44006</v>
      </c>
      <c r="D85" s="80">
        <v>2799</v>
      </c>
      <c r="E85" s="66"/>
      <c r="F85" s="86"/>
      <c r="G85" s="66"/>
      <c r="H85" s="80"/>
      <c r="I85" s="80"/>
    </row>
    <row r="86" spans="1:9" s="83" customFormat="1" x14ac:dyDescent="0.25">
      <c r="A86" s="184" t="s">
        <v>131</v>
      </c>
      <c r="B86" s="144">
        <v>218.21899999999999</v>
      </c>
      <c r="C86" s="297">
        <v>44008</v>
      </c>
      <c r="D86" s="144">
        <v>20000</v>
      </c>
      <c r="E86" s="62"/>
      <c r="F86" s="78"/>
      <c r="G86" s="62"/>
      <c r="H86" s="62"/>
      <c r="I86" s="79"/>
    </row>
    <row r="87" spans="1:9" s="83" customFormat="1" x14ac:dyDescent="0.25">
      <c r="A87" s="80" t="s">
        <v>51</v>
      </c>
      <c r="B87" s="66" t="s">
        <v>223</v>
      </c>
      <c r="C87" s="74">
        <v>44014</v>
      </c>
      <c r="D87" s="66" t="s">
        <v>224</v>
      </c>
      <c r="E87" s="66"/>
      <c r="F87" s="86"/>
      <c r="G87" s="66"/>
      <c r="H87" s="80"/>
      <c r="I87" s="80"/>
    </row>
    <row r="88" spans="1:9" s="83" customFormat="1" x14ac:dyDescent="0.25">
      <c r="A88" s="80" t="s">
        <v>53</v>
      </c>
      <c r="B88" s="86" t="s">
        <v>225</v>
      </c>
      <c r="C88" s="65">
        <v>44018</v>
      </c>
      <c r="D88" s="64">
        <v>5531</v>
      </c>
      <c r="E88" s="66"/>
      <c r="F88" s="86"/>
      <c r="G88" s="66"/>
      <c r="H88" s="66"/>
      <c r="I88" s="80"/>
    </row>
    <row r="89" spans="1:9" s="83" customFormat="1" x14ac:dyDescent="0.25">
      <c r="A89" s="80"/>
      <c r="B89" s="86"/>
      <c r="C89" s="65"/>
      <c r="D89" s="67"/>
      <c r="E89" s="66"/>
      <c r="F89" s="86"/>
      <c r="G89" s="66"/>
      <c r="H89" s="66"/>
      <c r="I89" s="80"/>
    </row>
    <row r="90" spans="1:9" s="83" customFormat="1" x14ac:dyDescent="0.25">
      <c r="A90" s="80"/>
      <c r="B90" s="86"/>
      <c r="C90" s="65"/>
      <c r="D90" s="67"/>
      <c r="E90" s="66"/>
      <c r="F90" s="78"/>
      <c r="G90" s="66"/>
      <c r="H90" s="66"/>
      <c r="I90" s="80"/>
    </row>
    <row r="91" spans="1:9" s="83" customFormat="1" x14ac:dyDescent="0.25">
      <c r="A91" s="80"/>
      <c r="B91" s="86"/>
      <c r="C91" s="65"/>
      <c r="D91" s="67"/>
      <c r="E91" s="66"/>
      <c r="F91" s="86"/>
      <c r="G91" s="66"/>
      <c r="H91" s="66"/>
      <c r="I91" s="80"/>
    </row>
    <row r="92" spans="1:9" s="83" customFormat="1" x14ac:dyDescent="0.25">
      <c r="A92" s="80"/>
      <c r="B92" s="86"/>
      <c r="C92" s="65"/>
      <c r="D92" s="67"/>
      <c r="E92" s="66"/>
      <c r="F92" s="86"/>
      <c r="G92" s="66"/>
      <c r="H92" s="66"/>
      <c r="I92" s="80"/>
    </row>
    <row r="93" spans="1:9" s="83" customFormat="1" x14ac:dyDescent="0.25">
      <c r="A93" s="80"/>
      <c r="B93" s="86"/>
      <c r="C93" s="65"/>
      <c r="D93" s="67"/>
      <c r="E93" s="66"/>
      <c r="F93" s="86"/>
      <c r="G93" s="66"/>
      <c r="H93" s="66"/>
      <c r="I93" s="80"/>
    </row>
    <row r="94" spans="1:9" s="83" customFormat="1" x14ac:dyDescent="0.25">
      <c r="A94" s="80"/>
      <c r="B94" s="86"/>
      <c r="C94" s="65"/>
      <c r="D94" s="67"/>
      <c r="E94" s="66"/>
      <c r="F94" s="78"/>
      <c r="G94" s="66"/>
      <c r="H94" s="66"/>
      <c r="I94" s="80"/>
    </row>
    <row r="95" spans="1:9" s="83" customFormat="1" x14ac:dyDescent="0.25">
      <c r="A95" s="80"/>
      <c r="B95" s="86"/>
      <c r="C95" s="65"/>
      <c r="D95" s="67"/>
      <c r="E95" s="66"/>
      <c r="F95" s="86"/>
      <c r="G95" s="66"/>
      <c r="H95" s="66"/>
      <c r="I95" s="80"/>
    </row>
    <row r="96" spans="1:9" s="83" customFormat="1" x14ac:dyDescent="0.25">
      <c r="A96" s="80"/>
      <c r="B96" s="86"/>
      <c r="C96" s="65"/>
      <c r="D96" s="67"/>
      <c r="E96" s="66"/>
      <c r="F96" s="86"/>
      <c r="G96" s="66"/>
      <c r="H96" s="66"/>
      <c r="I96" s="80"/>
    </row>
    <row r="97" spans="1:9" s="83" customFormat="1" x14ac:dyDescent="0.25">
      <c r="A97" s="80"/>
      <c r="B97" s="86"/>
      <c r="C97" s="65"/>
      <c r="D97" s="67"/>
      <c r="E97" s="66"/>
      <c r="F97" s="86"/>
      <c r="G97" s="66"/>
      <c r="H97" s="66"/>
      <c r="I97" s="80"/>
    </row>
    <row r="98" spans="1:9" s="83" customFormat="1" x14ac:dyDescent="0.25">
      <c r="A98" s="80"/>
      <c r="B98" s="86"/>
      <c r="C98" s="65"/>
      <c r="D98" s="67"/>
      <c r="E98" s="66"/>
      <c r="F98" s="78"/>
      <c r="G98" s="66"/>
      <c r="H98" s="66"/>
      <c r="I98" s="80"/>
    </row>
    <row r="99" spans="1:9" s="83" customFormat="1" x14ac:dyDescent="0.25">
      <c r="A99" s="80"/>
      <c r="B99" s="86"/>
      <c r="C99" s="65"/>
      <c r="D99" s="67"/>
      <c r="E99" s="66"/>
      <c r="F99" s="86"/>
      <c r="G99" s="66"/>
      <c r="H99" s="66"/>
      <c r="I99" s="80"/>
    </row>
    <row r="100" spans="1:9" s="83" customFormat="1" x14ac:dyDescent="0.25">
      <c r="A100" s="80"/>
      <c r="B100" s="86"/>
      <c r="C100" s="65"/>
      <c r="D100" s="67"/>
      <c r="E100" s="66"/>
      <c r="F100" s="86"/>
      <c r="G100" s="66"/>
      <c r="H100" s="66"/>
      <c r="I100" s="80"/>
    </row>
    <row r="101" spans="1:9" s="83" customFormat="1" x14ac:dyDescent="0.25">
      <c r="A101" s="80"/>
      <c r="B101" s="86"/>
      <c r="C101" s="65"/>
      <c r="D101" s="67"/>
      <c r="E101" s="66"/>
      <c r="F101" s="86"/>
      <c r="G101" s="66"/>
      <c r="H101" s="66"/>
      <c r="I101" s="80"/>
    </row>
    <row r="102" spans="1:9" s="83" customFormat="1" x14ac:dyDescent="0.25">
      <c r="A102" s="80"/>
      <c r="B102" s="86"/>
      <c r="C102" s="65"/>
      <c r="D102" s="67"/>
      <c r="E102" s="66"/>
      <c r="F102" s="86"/>
      <c r="G102" s="66"/>
      <c r="H102" s="66"/>
      <c r="I102" s="80"/>
    </row>
    <row r="103" spans="1:9" s="83" customFormat="1" x14ac:dyDescent="0.25">
      <c r="A103" s="80"/>
      <c r="B103" s="86"/>
      <c r="C103" s="65"/>
      <c r="D103" s="67"/>
      <c r="E103" s="66"/>
      <c r="F103" s="86"/>
      <c r="G103" s="66"/>
      <c r="H103" s="66"/>
      <c r="I103" s="80"/>
    </row>
    <row r="104" spans="1:9" s="83" customFormat="1" x14ac:dyDescent="0.25">
      <c r="A104" s="80"/>
      <c r="B104" s="86"/>
      <c r="C104" s="65"/>
      <c r="D104" s="67"/>
      <c r="E104" s="66"/>
      <c r="F104" s="86"/>
      <c r="G104" s="66"/>
      <c r="H104" s="66"/>
      <c r="I104" s="80"/>
    </row>
    <row r="105" spans="1:9" s="83" customFormat="1" x14ac:dyDescent="0.25">
      <c r="A105" s="80"/>
      <c r="B105" s="86"/>
      <c r="C105" s="65"/>
      <c r="D105" s="67"/>
      <c r="E105" s="66"/>
      <c r="F105" s="78"/>
      <c r="G105" s="66"/>
      <c r="H105" s="66"/>
      <c r="I105" s="80"/>
    </row>
    <row r="106" spans="1:9" s="83" customFormat="1" x14ac:dyDescent="0.25">
      <c r="A106" s="80"/>
      <c r="B106" s="86"/>
      <c r="C106" s="65"/>
      <c r="D106" s="67"/>
      <c r="E106" s="66"/>
      <c r="F106" s="86"/>
      <c r="G106" s="66"/>
      <c r="H106" s="66"/>
      <c r="I106" s="80"/>
    </row>
    <row r="107" spans="1:9" s="83" customFormat="1" x14ac:dyDescent="0.25">
      <c r="A107" s="80"/>
      <c r="B107" s="86"/>
      <c r="C107" s="65"/>
      <c r="D107" s="67"/>
      <c r="E107" s="66"/>
      <c r="F107" s="86"/>
      <c r="G107" s="66"/>
      <c r="H107" s="66"/>
      <c r="I107" s="80"/>
    </row>
    <row r="108" spans="1:9" s="83" customFormat="1" x14ac:dyDescent="0.25">
      <c r="A108" s="80"/>
      <c r="B108" s="86"/>
      <c r="C108" s="65"/>
      <c r="D108" s="67"/>
      <c r="E108" s="66"/>
      <c r="F108" s="86"/>
      <c r="G108" s="66"/>
      <c r="H108" s="66"/>
      <c r="I108" s="80"/>
    </row>
    <row r="109" spans="1:9" s="83" customFormat="1" x14ac:dyDescent="0.25">
      <c r="A109" s="80"/>
      <c r="B109" s="86"/>
      <c r="C109" s="65"/>
      <c r="D109" s="67"/>
      <c r="E109" s="66"/>
      <c r="F109" s="86"/>
      <c r="G109" s="66"/>
      <c r="H109" s="66"/>
      <c r="I109" s="80"/>
    </row>
    <row r="110" spans="1:9" s="83" customFormat="1" x14ac:dyDescent="0.25">
      <c r="A110" s="80"/>
      <c r="B110" s="86"/>
      <c r="C110" s="65"/>
      <c r="D110" s="67"/>
      <c r="E110" s="66"/>
      <c r="F110" s="86"/>
      <c r="G110" s="66"/>
      <c r="H110" s="66"/>
      <c r="I110" s="80"/>
    </row>
    <row r="111" spans="1:9" s="83" customFormat="1" x14ac:dyDescent="0.25">
      <c r="A111" s="80"/>
      <c r="B111" s="86"/>
      <c r="C111" s="65"/>
      <c r="D111" s="67"/>
      <c r="E111" s="66"/>
      <c r="F111" s="86"/>
      <c r="G111" s="66"/>
      <c r="H111" s="66"/>
      <c r="I111" s="80"/>
    </row>
    <row r="112" spans="1:9" s="83" customFormat="1" x14ac:dyDescent="0.25">
      <c r="A112" s="80"/>
      <c r="B112" s="86"/>
      <c r="C112" s="65"/>
      <c r="D112" s="67"/>
      <c r="E112" s="66"/>
      <c r="F112" s="86"/>
      <c r="G112" s="66"/>
      <c r="H112" s="66"/>
      <c r="I112" s="80"/>
    </row>
    <row r="113" spans="1:9" s="83" customFormat="1" x14ac:dyDescent="0.25">
      <c r="A113" s="80"/>
      <c r="B113" s="86"/>
      <c r="C113" s="65"/>
      <c r="D113" s="67"/>
      <c r="E113" s="66"/>
      <c r="F113" s="86"/>
      <c r="G113" s="66"/>
      <c r="H113" s="66"/>
      <c r="I113" s="80"/>
    </row>
    <row r="114" spans="1:9" s="83" customFormat="1" x14ac:dyDescent="0.25">
      <c r="A114" s="80"/>
      <c r="B114" s="86"/>
      <c r="C114" s="65"/>
      <c r="D114" s="67"/>
      <c r="E114" s="66"/>
      <c r="F114" s="86"/>
      <c r="G114" s="66"/>
      <c r="H114" s="66"/>
      <c r="I114" s="80"/>
    </row>
    <row r="115" spans="1:9" s="83" customFormat="1" x14ac:dyDescent="0.25">
      <c r="A115" s="80"/>
      <c r="B115" s="86"/>
      <c r="C115" s="65"/>
      <c r="D115" s="67"/>
      <c r="E115" s="66"/>
      <c r="F115" s="86"/>
      <c r="G115" s="66"/>
      <c r="H115" s="66"/>
      <c r="I115" s="80"/>
    </row>
    <row r="116" spans="1:9" s="83" customFormat="1" x14ac:dyDescent="0.25">
      <c r="A116" s="80"/>
      <c r="B116" s="86"/>
      <c r="C116" s="65"/>
      <c r="D116" s="67"/>
      <c r="E116" s="66"/>
      <c r="F116" s="86"/>
      <c r="G116" s="66"/>
      <c r="H116" s="66"/>
      <c r="I116" s="80"/>
    </row>
    <row r="117" spans="1:9" s="83" customFormat="1" x14ac:dyDescent="0.25">
      <c r="A117" s="80"/>
      <c r="B117" s="86"/>
      <c r="C117" s="65"/>
      <c r="D117" s="67"/>
      <c r="E117" s="66"/>
      <c r="F117" s="86"/>
      <c r="G117" s="66"/>
      <c r="H117" s="66"/>
      <c r="I117" s="80"/>
    </row>
    <row r="118" spans="1:9" s="83" customFormat="1" x14ac:dyDescent="0.25">
      <c r="A118" s="80"/>
      <c r="B118" s="86"/>
      <c r="C118" s="65"/>
      <c r="D118" s="67"/>
      <c r="E118" s="66"/>
      <c r="F118" s="86"/>
      <c r="G118" s="66"/>
      <c r="H118" s="66"/>
      <c r="I118" s="80"/>
    </row>
    <row r="119" spans="1:9" s="83" customFormat="1" x14ac:dyDescent="0.25">
      <c r="A119" s="80"/>
      <c r="B119" s="86"/>
      <c r="C119" s="65"/>
      <c r="D119" s="67"/>
      <c r="E119" s="66"/>
      <c r="F119" s="86"/>
      <c r="G119" s="66"/>
      <c r="H119" s="66"/>
      <c r="I119" s="80"/>
    </row>
    <row r="120" spans="1:9" s="83" customFormat="1" x14ac:dyDescent="0.25">
      <c r="A120" s="80"/>
      <c r="B120" s="86"/>
      <c r="C120" s="65"/>
      <c r="D120" s="67"/>
      <c r="E120" s="66"/>
      <c r="F120" s="86"/>
      <c r="G120" s="66"/>
      <c r="H120" s="66"/>
      <c r="I120" s="80"/>
    </row>
    <row r="121" spans="1:9" s="83" customFormat="1" x14ac:dyDescent="0.25">
      <c r="A121" s="80"/>
      <c r="B121" s="86"/>
      <c r="C121" s="65"/>
      <c r="D121" s="67"/>
      <c r="E121" s="66"/>
      <c r="F121" s="86"/>
      <c r="G121" s="66"/>
      <c r="H121" s="66"/>
      <c r="I121" s="80"/>
    </row>
    <row r="122" spans="1:9" s="83" customFormat="1" x14ac:dyDescent="0.25">
      <c r="A122" s="80"/>
      <c r="B122" s="86"/>
      <c r="C122" s="65"/>
      <c r="D122" s="67"/>
      <c r="E122" s="66"/>
      <c r="F122" s="78"/>
      <c r="G122" s="66"/>
      <c r="H122" s="66"/>
      <c r="I122" s="80"/>
    </row>
    <row r="123" spans="1:9" s="83" customFormat="1" x14ac:dyDescent="0.25">
      <c r="A123" s="80"/>
      <c r="B123" s="86"/>
      <c r="C123" s="65"/>
      <c r="D123" s="67"/>
      <c r="E123" s="66"/>
      <c r="F123" s="86"/>
      <c r="G123" s="66"/>
      <c r="H123" s="66"/>
      <c r="I123" s="80"/>
    </row>
    <row r="124" spans="1:9" s="83" customFormat="1" x14ac:dyDescent="0.25">
      <c r="A124" s="80"/>
      <c r="B124" s="86"/>
      <c r="C124" s="65"/>
      <c r="D124" s="67"/>
      <c r="E124" s="66"/>
      <c r="F124" s="86"/>
      <c r="G124" s="66"/>
      <c r="H124" s="66"/>
      <c r="I124" s="80"/>
    </row>
    <row r="125" spans="1:9" s="83" customFormat="1" x14ac:dyDescent="0.25">
      <c r="A125" s="80"/>
      <c r="B125" s="86"/>
      <c r="C125" s="65"/>
      <c r="D125" s="67"/>
      <c r="E125" s="66"/>
      <c r="F125" s="86"/>
      <c r="G125" s="66"/>
      <c r="H125" s="66"/>
      <c r="I125" s="80"/>
    </row>
    <row r="126" spans="1:9" s="83" customFormat="1" x14ac:dyDescent="0.25">
      <c r="A126" s="79"/>
      <c r="B126" s="78"/>
      <c r="C126" s="61"/>
      <c r="D126" s="68"/>
      <c r="E126" s="62"/>
      <c r="F126" s="78"/>
      <c r="G126" s="62"/>
      <c r="H126" s="62"/>
      <c r="I126" s="79"/>
    </row>
    <row r="127" spans="1:9" s="83" customFormat="1" x14ac:dyDescent="0.25">
      <c r="A127" s="80"/>
      <c r="B127" s="86"/>
      <c r="C127" s="65"/>
      <c r="D127" s="67"/>
      <c r="E127" s="66"/>
      <c r="F127" s="86"/>
      <c r="G127" s="66"/>
      <c r="H127" s="66"/>
      <c r="I127" s="80"/>
    </row>
    <row r="128" spans="1:9" s="83" customFormat="1" x14ac:dyDescent="0.25">
      <c r="A128" s="80"/>
      <c r="B128" s="86"/>
      <c r="C128" s="65"/>
      <c r="D128" s="67"/>
      <c r="E128" s="66"/>
      <c r="F128" s="86"/>
      <c r="G128" s="66"/>
      <c r="H128" s="66"/>
      <c r="I128" s="80"/>
    </row>
    <row r="129" spans="1:9" s="83" customFormat="1" x14ac:dyDescent="0.25">
      <c r="A129" s="80"/>
      <c r="B129" s="86"/>
      <c r="C129" s="65"/>
      <c r="D129" s="67"/>
      <c r="E129" s="66"/>
      <c r="F129" s="86"/>
      <c r="G129" s="66"/>
      <c r="H129" s="66"/>
      <c r="I129" s="80"/>
    </row>
    <row r="130" spans="1:9" s="83" customFormat="1" x14ac:dyDescent="0.25">
      <c r="A130" s="80"/>
      <c r="B130" s="86"/>
      <c r="C130" s="65"/>
      <c r="D130" s="67"/>
      <c r="E130" s="66"/>
      <c r="F130" s="86"/>
      <c r="G130" s="66"/>
      <c r="H130" s="66"/>
      <c r="I130" s="80"/>
    </row>
    <row r="131" spans="1:9" s="83" customFormat="1" x14ac:dyDescent="0.25">
      <c r="A131" s="80"/>
      <c r="B131" s="86"/>
      <c r="C131" s="65"/>
      <c r="D131" s="67"/>
      <c r="E131" s="66"/>
      <c r="F131" s="78"/>
      <c r="G131" s="66"/>
      <c r="H131" s="66"/>
      <c r="I131" s="80"/>
    </row>
    <row r="132" spans="1:9" s="83" customFormat="1" x14ac:dyDescent="0.25">
      <c r="A132" s="80"/>
      <c r="B132" s="86"/>
      <c r="C132" s="65"/>
      <c r="D132" s="67"/>
      <c r="E132" s="66"/>
      <c r="F132" s="86"/>
      <c r="G132" s="66"/>
      <c r="H132" s="66"/>
      <c r="I132" s="80"/>
    </row>
    <row r="133" spans="1:9" s="83" customFormat="1" x14ac:dyDescent="0.25">
      <c r="A133" s="80"/>
      <c r="B133" s="86"/>
      <c r="C133" s="65"/>
      <c r="D133" s="67"/>
      <c r="E133" s="66"/>
      <c r="F133" s="86"/>
      <c r="G133" s="66"/>
      <c r="H133" s="66"/>
      <c r="I133" s="80"/>
    </row>
    <row r="134" spans="1:9" s="83" customFormat="1" x14ac:dyDescent="0.25">
      <c r="A134" s="80"/>
      <c r="B134" s="86"/>
      <c r="C134" s="65"/>
      <c r="D134" s="67"/>
      <c r="E134" s="66"/>
      <c r="F134" s="86"/>
      <c r="G134" s="66"/>
      <c r="H134" s="66"/>
      <c r="I134" s="80"/>
    </row>
    <row r="135" spans="1:9" s="83" customFormat="1" x14ac:dyDescent="0.25">
      <c r="A135" s="80"/>
      <c r="B135" s="86"/>
      <c r="C135" s="65"/>
      <c r="D135" s="67"/>
      <c r="E135" s="66"/>
      <c r="F135" s="86"/>
      <c r="G135" s="66"/>
      <c r="H135" s="66"/>
      <c r="I135" s="80"/>
    </row>
    <row r="136" spans="1:9" s="83" customFormat="1" x14ac:dyDescent="0.25">
      <c r="A136" s="80"/>
      <c r="B136" s="86"/>
      <c r="C136" s="65"/>
      <c r="D136" s="67"/>
      <c r="E136" s="66"/>
      <c r="F136" s="86"/>
      <c r="G136" s="66"/>
      <c r="H136" s="66"/>
      <c r="I136" s="80"/>
    </row>
    <row r="137" spans="1:9" s="83" customFormat="1" x14ac:dyDescent="0.25">
      <c r="A137" s="80"/>
      <c r="B137" s="86"/>
      <c r="C137" s="65"/>
      <c r="D137" s="67"/>
      <c r="E137" s="66"/>
      <c r="F137" s="86"/>
      <c r="G137" s="66"/>
      <c r="H137" s="66"/>
      <c r="I137" s="80"/>
    </row>
    <row r="138" spans="1:9" s="83" customFormat="1" x14ac:dyDescent="0.25">
      <c r="A138" s="80"/>
      <c r="B138" s="86"/>
      <c r="C138" s="65"/>
      <c r="D138" s="67"/>
      <c r="E138" s="66"/>
      <c r="F138" s="86"/>
      <c r="G138" s="66"/>
      <c r="H138" s="66"/>
      <c r="I138" s="80"/>
    </row>
    <row r="139" spans="1:9" s="83" customFormat="1" x14ac:dyDescent="0.25">
      <c r="A139" s="80"/>
      <c r="B139" s="86"/>
      <c r="C139" s="65"/>
      <c r="D139" s="67"/>
      <c r="E139" s="66"/>
      <c r="F139" s="86"/>
      <c r="G139" s="66"/>
      <c r="H139" s="66"/>
      <c r="I139" s="80"/>
    </row>
    <row r="140" spans="1:9" s="83" customFormat="1" x14ac:dyDescent="0.25">
      <c r="A140" s="80"/>
      <c r="B140" s="86"/>
      <c r="C140" s="65"/>
      <c r="D140" s="67"/>
      <c r="E140" s="66"/>
      <c r="F140" s="86"/>
      <c r="G140" s="66"/>
      <c r="H140" s="66"/>
      <c r="I140" s="80"/>
    </row>
    <row r="141" spans="1:9" s="83" customFormat="1" x14ac:dyDescent="0.25">
      <c r="A141" s="80"/>
      <c r="B141" s="86"/>
      <c r="C141" s="65"/>
      <c r="D141" s="67"/>
      <c r="E141" s="66"/>
      <c r="F141" s="86"/>
      <c r="G141" s="66"/>
      <c r="H141" s="66"/>
      <c r="I141" s="80"/>
    </row>
    <row r="142" spans="1:9" s="83" customFormat="1" x14ac:dyDescent="0.25">
      <c r="A142" s="80"/>
      <c r="B142" s="86"/>
      <c r="C142" s="65"/>
      <c r="D142" s="67"/>
      <c r="E142" s="66"/>
      <c r="F142" s="86"/>
      <c r="G142" s="66"/>
      <c r="H142" s="66"/>
      <c r="I142" s="80"/>
    </row>
    <row r="143" spans="1:9" s="83" customFormat="1" x14ac:dyDescent="0.25">
      <c r="A143" s="80"/>
      <c r="B143" s="86"/>
      <c r="C143" s="65"/>
      <c r="D143" s="67"/>
      <c r="E143" s="66"/>
      <c r="F143" s="86"/>
      <c r="G143" s="66"/>
      <c r="H143" s="66"/>
      <c r="I143" s="80"/>
    </row>
    <row r="144" spans="1:9" s="83" customFormat="1" x14ac:dyDescent="0.25">
      <c r="A144" s="80"/>
      <c r="B144" s="86"/>
      <c r="C144" s="65"/>
      <c r="D144" s="67"/>
      <c r="E144" s="66"/>
      <c r="F144" s="86"/>
      <c r="G144" s="66"/>
      <c r="H144" s="66"/>
      <c r="I144" s="80"/>
    </row>
    <row r="145" spans="1:9" s="83" customFormat="1" x14ac:dyDescent="0.25">
      <c r="A145" s="80"/>
      <c r="B145" s="86"/>
      <c r="C145" s="65"/>
      <c r="D145" s="67"/>
      <c r="E145" s="66"/>
      <c r="F145" s="86"/>
      <c r="G145" s="66"/>
      <c r="H145" s="66"/>
      <c r="I145" s="80"/>
    </row>
    <row r="146" spans="1:9" s="83" customFormat="1" x14ac:dyDescent="0.25">
      <c r="A146" s="80"/>
      <c r="B146" s="86"/>
      <c r="C146" s="65"/>
      <c r="D146" s="67"/>
      <c r="E146" s="66"/>
      <c r="F146" s="86"/>
      <c r="G146" s="66"/>
      <c r="H146" s="66"/>
      <c r="I146" s="80"/>
    </row>
    <row r="147" spans="1:9" s="83" customFormat="1" x14ac:dyDescent="0.25">
      <c r="A147" s="80"/>
      <c r="B147" s="86"/>
      <c r="C147" s="65"/>
      <c r="D147" s="67"/>
      <c r="E147" s="66"/>
      <c r="F147" s="86"/>
      <c r="G147" s="66"/>
      <c r="H147" s="66"/>
      <c r="I147" s="80"/>
    </row>
    <row r="148" spans="1:9" s="83" customFormat="1" x14ac:dyDescent="0.25">
      <c r="A148" s="80"/>
      <c r="B148" s="86"/>
      <c r="C148" s="65"/>
      <c r="D148" s="67"/>
      <c r="E148" s="66"/>
      <c r="F148" s="78"/>
      <c r="G148" s="66"/>
      <c r="H148" s="66"/>
      <c r="I148" s="80"/>
    </row>
    <row r="149" spans="1:9" s="83" customFormat="1" x14ac:dyDescent="0.25">
      <c r="A149" s="80"/>
      <c r="B149" s="86"/>
      <c r="C149" s="65"/>
      <c r="D149" s="67"/>
      <c r="E149" s="66"/>
      <c r="F149" s="86"/>
      <c r="G149" s="66"/>
      <c r="H149" s="66"/>
      <c r="I149" s="80"/>
    </row>
    <row r="150" spans="1:9" s="83" customFormat="1" x14ac:dyDescent="0.25">
      <c r="A150" s="80"/>
      <c r="B150" s="86"/>
      <c r="C150" s="65"/>
      <c r="D150" s="67"/>
      <c r="E150" s="66"/>
      <c r="F150" s="86"/>
      <c r="G150" s="66"/>
      <c r="H150" s="66"/>
      <c r="I150" s="80"/>
    </row>
    <row r="151" spans="1:9" s="83" customFormat="1" x14ac:dyDescent="0.25">
      <c r="A151" s="80"/>
      <c r="B151" s="86"/>
      <c r="C151" s="65"/>
      <c r="D151" s="67"/>
      <c r="E151" s="66"/>
      <c r="F151" s="86"/>
      <c r="G151" s="66"/>
      <c r="H151" s="66"/>
      <c r="I151" s="80"/>
    </row>
    <row r="152" spans="1:9" s="83" customFormat="1" x14ac:dyDescent="0.25">
      <c r="A152" s="80"/>
      <c r="B152" s="86"/>
      <c r="C152" s="65"/>
      <c r="D152" s="67"/>
      <c r="E152" s="66"/>
      <c r="F152" s="86"/>
      <c r="G152" s="66"/>
      <c r="H152" s="66"/>
      <c r="I152" s="80"/>
    </row>
    <row r="153" spans="1:9" s="83" customFormat="1" x14ac:dyDescent="0.25">
      <c r="A153" s="80"/>
      <c r="B153" s="86"/>
      <c r="C153" s="65"/>
      <c r="D153" s="67"/>
      <c r="E153" s="66"/>
      <c r="F153" s="86"/>
      <c r="G153" s="66"/>
      <c r="H153" s="66"/>
      <c r="I153" s="80"/>
    </row>
    <row r="154" spans="1:9" s="83" customFormat="1" x14ac:dyDescent="0.25">
      <c r="A154" s="80"/>
      <c r="B154" s="86"/>
      <c r="C154" s="65"/>
      <c r="D154" s="67"/>
      <c r="E154" s="66"/>
      <c r="F154" s="86"/>
      <c r="G154" s="66"/>
      <c r="H154" s="66"/>
      <c r="I154" s="80"/>
    </row>
    <row r="155" spans="1:9" s="83" customFormat="1" x14ac:dyDescent="0.25">
      <c r="A155" s="80"/>
      <c r="B155" s="86"/>
      <c r="C155" s="65"/>
      <c r="D155" s="67"/>
      <c r="E155" s="66"/>
      <c r="F155" s="86"/>
      <c r="G155" s="66"/>
      <c r="H155" s="66"/>
      <c r="I155" s="80"/>
    </row>
    <row r="156" spans="1:9" s="83" customFormat="1" x14ac:dyDescent="0.25">
      <c r="A156" s="80"/>
      <c r="B156" s="86"/>
      <c r="C156" s="65"/>
      <c r="D156" s="67"/>
      <c r="E156" s="66"/>
      <c r="F156" s="86"/>
      <c r="G156" s="66"/>
      <c r="H156" s="66"/>
      <c r="I156" s="80"/>
    </row>
    <row r="157" spans="1:9" s="83" customFormat="1" x14ac:dyDescent="0.25">
      <c r="A157" s="80"/>
      <c r="B157" s="86"/>
      <c r="C157" s="65"/>
      <c r="D157" s="67"/>
      <c r="E157" s="66"/>
      <c r="F157" s="86"/>
      <c r="G157" s="66"/>
      <c r="H157" s="66"/>
      <c r="I157" s="80"/>
    </row>
    <row r="158" spans="1:9" s="83" customFormat="1" x14ac:dyDescent="0.25">
      <c r="A158" s="79"/>
      <c r="B158" s="78"/>
      <c r="C158" s="61"/>
      <c r="D158" s="68"/>
      <c r="E158" s="62"/>
      <c r="F158" s="78"/>
      <c r="G158" s="62"/>
      <c r="H158" s="62"/>
      <c r="I158" s="79"/>
    </row>
    <row r="159" spans="1:9" s="83" customFormat="1" x14ac:dyDescent="0.25">
      <c r="A159" s="79"/>
      <c r="B159" s="78"/>
      <c r="C159" s="61"/>
      <c r="D159" s="68"/>
      <c r="E159" s="62"/>
      <c r="F159" s="78"/>
      <c r="G159" s="62"/>
      <c r="H159" s="62"/>
      <c r="I159" s="79"/>
    </row>
    <row r="160" spans="1:9" s="83" customFormat="1" x14ac:dyDescent="0.25">
      <c r="A160" s="79"/>
      <c r="B160" s="78"/>
      <c r="C160" s="61"/>
      <c r="D160" s="68"/>
      <c r="E160" s="62"/>
      <c r="F160" s="78"/>
      <c r="G160" s="62"/>
      <c r="H160" s="62"/>
      <c r="I160" s="79"/>
    </row>
    <row r="161" spans="1:9" s="83" customFormat="1" x14ac:dyDescent="0.25">
      <c r="A161" s="79"/>
      <c r="B161" s="78"/>
      <c r="C161" s="61"/>
      <c r="D161" s="68"/>
      <c r="E161" s="62"/>
      <c r="F161" s="78"/>
      <c r="G161" s="62"/>
      <c r="H161" s="62"/>
      <c r="I161" s="79"/>
    </row>
    <row r="162" spans="1:9" s="83" customFormat="1" x14ac:dyDescent="0.25">
      <c r="A162" s="79"/>
      <c r="B162" s="78"/>
      <c r="C162" s="61"/>
      <c r="D162" s="68"/>
      <c r="E162" s="62"/>
      <c r="F162" s="78"/>
      <c r="G162" s="62"/>
      <c r="H162" s="62"/>
      <c r="I162" s="79"/>
    </row>
    <row r="163" spans="1:9" s="83" customFormat="1" x14ac:dyDescent="0.25">
      <c r="A163" s="79"/>
      <c r="B163" s="78"/>
      <c r="C163" s="61"/>
      <c r="D163" s="68"/>
      <c r="E163" s="62"/>
      <c r="F163" s="78"/>
      <c r="G163" s="62"/>
      <c r="H163" s="62"/>
      <c r="I163" s="79"/>
    </row>
    <row r="164" spans="1:9" s="83" customFormat="1" x14ac:dyDescent="0.25">
      <c r="A164" s="79"/>
      <c r="B164" s="78"/>
      <c r="C164" s="61"/>
      <c r="D164" s="68"/>
      <c r="E164" s="62"/>
      <c r="F164" s="78"/>
      <c r="G164" s="62"/>
      <c r="H164" s="62"/>
      <c r="I164" s="79"/>
    </row>
    <row r="165" spans="1:9" s="83" customFormat="1" x14ac:dyDescent="0.25">
      <c r="A165" s="79"/>
      <c r="B165" s="78"/>
      <c r="C165" s="61"/>
      <c r="D165" s="68"/>
      <c r="E165" s="62"/>
      <c r="F165" s="78"/>
      <c r="G165" s="62"/>
      <c r="H165" s="62"/>
      <c r="I165" s="79"/>
    </row>
    <row r="166" spans="1:9" s="83" customFormat="1" x14ac:dyDescent="0.25">
      <c r="A166" s="79"/>
      <c r="B166" s="78"/>
      <c r="C166" s="61"/>
      <c r="D166" s="68"/>
      <c r="E166" s="62"/>
      <c r="F166" s="78"/>
      <c r="G166" s="62"/>
      <c r="H166" s="62"/>
      <c r="I166" s="79"/>
    </row>
    <row r="167" spans="1:9" s="83" customFormat="1" x14ac:dyDescent="0.25">
      <c r="A167" s="79"/>
      <c r="B167" s="78"/>
      <c r="C167" s="61"/>
      <c r="D167" s="68"/>
      <c r="E167" s="62"/>
      <c r="F167" s="78"/>
      <c r="G167" s="62"/>
      <c r="H167" s="62"/>
      <c r="I167" s="79"/>
    </row>
    <row r="168" spans="1:9" s="83" customFormat="1" x14ac:dyDescent="0.25">
      <c r="A168" s="79"/>
      <c r="B168" s="78"/>
      <c r="C168" s="61"/>
      <c r="D168" s="68"/>
      <c r="E168" s="62"/>
      <c r="F168" s="78"/>
      <c r="G168" s="62"/>
      <c r="H168" s="62"/>
      <c r="I168" s="79"/>
    </row>
    <row r="169" spans="1:9" s="83" customFormat="1" x14ac:dyDescent="0.25">
      <c r="A169" s="79"/>
      <c r="B169" s="78"/>
      <c r="C169" s="61"/>
      <c r="D169" s="68"/>
      <c r="E169" s="62"/>
      <c r="F169" s="78"/>
      <c r="G169" s="62"/>
      <c r="H169" s="62"/>
      <c r="I169" s="79"/>
    </row>
    <row r="170" spans="1:9" s="83" customFormat="1" x14ac:dyDescent="0.25">
      <c r="A170" s="79"/>
      <c r="B170" s="78"/>
      <c r="C170" s="61"/>
      <c r="D170" s="68"/>
      <c r="E170" s="62"/>
      <c r="F170" s="78"/>
      <c r="G170" s="62"/>
      <c r="H170" s="62"/>
      <c r="I170" s="79"/>
    </row>
    <row r="171" spans="1:9" s="83" customFormat="1" x14ac:dyDescent="0.25">
      <c r="A171" s="79"/>
      <c r="B171" s="78"/>
      <c r="C171" s="61"/>
      <c r="D171" s="68"/>
      <c r="E171" s="62"/>
      <c r="F171" s="78"/>
      <c r="G171" s="62"/>
      <c r="H171" s="62"/>
      <c r="I171" s="79"/>
    </row>
    <row r="172" spans="1:9" s="83" customFormat="1" x14ac:dyDescent="0.25">
      <c r="A172" s="79"/>
      <c r="B172" s="78"/>
      <c r="C172" s="61"/>
      <c r="D172" s="68"/>
      <c r="E172" s="62"/>
      <c r="F172" s="78"/>
      <c r="G172" s="62"/>
      <c r="H172" s="62"/>
      <c r="I172" s="79"/>
    </row>
    <row r="173" spans="1:9" s="83" customFormat="1" x14ac:dyDescent="0.25">
      <c r="A173" s="79"/>
      <c r="B173" s="78"/>
      <c r="C173" s="61"/>
      <c r="D173" s="68"/>
      <c r="E173" s="62"/>
      <c r="F173" s="78"/>
      <c r="G173" s="62"/>
      <c r="H173" s="62"/>
      <c r="I173" s="79"/>
    </row>
    <row r="174" spans="1:9" s="83" customFormat="1" x14ac:dyDescent="0.25">
      <c r="A174" s="80"/>
      <c r="B174" s="86"/>
      <c r="C174" s="65"/>
      <c r="D174" s="67"/>
      <c r="E174" s="66"/>
      <c r="F174" s="86"/>
      <c r="G174" s="66"/>
      <c r="H174" s="66"/>
      <c r="I174" s="80"/>
    </row>
    <row r="175" spans="1:9" s="83" customFormat="1" x14ac:dyDescent="0.25">
      <c r="A175" s="79"/>
      <c r="B175" s="78"/>
      <c r="C175" s="61"/>
      <c r="D175" s="68"/>
      <c r="E175" s="62"/>
      <c r="F175" s="78"/>
      <c r="G175" s="62"/>
      <c r="H175" s="62"/>
      <c r="I175" s="79"/>
    </row>
    <row r="176" spans="1:9" s="83" customFormat="1" x14ac:dyDescent="0.25">
      <c r="A176" s="79"/>
      <c r="B176" s="78"/>
      <c r="C176" s="61"/>
      <c r="D176" s="68"/>
      <c r="E176" s="62"/>
      <c r="F176" s="78"/>
      <c r="G176" s="62"/>
      <c r="H176" s="62"/>
      <c r="I176" s="79"/>
    </row>
    <row r="177" spans="1:9" s="83" customFormat="1" x14ac:dyDescent="0.25">
      <c r="A177" s="79"/>
      <c r="B177" s="78"/>
      <c r="C177" s="61"/>
      <c r="D177" s="68"/>
      <c r="E177" s="62"/>
      <c r="F177" s="78"/>
      <c r="G177" s="62"/>
      <c r="H177" s="62"/>
      <c r="I177" s="79"/>
    </row>
    <row r="178" spans="1:9" s="83" customFormat="1" x14ac:dyDescent="0.25">
      <c r="A178" s="79"/>
      <c r="B178" s="78"/>
      <c r="C178" s="61"/>
      <c r="D178" s="68"/>
      <c r="E178" s="62"/>
      <c r="F178" s="78"/>
      <c r="G178" s="62"/>
      <c r="H178" s="62"/>
      <c r="I178" s="79"/>
    </row>
    <row r="179" spans="1:9" s="83" customFormat="1" x14ac:dyDescent="0.25">
      <c r="A179" s="79"/>
      <c r="B179" s="78"/>
      <c r="C179" s="61"/>
      <c r="D179" s="68"/>
      <c r="E179" s="62"/>
      <c r="F179" s="78"/>
      <c r="G179" s="62"/>
      <c r="H179" s="62"/>
      <c r="I179" s="79"/>
    </row>
    <row r="180" spans="1:9" s="83" customFormat="1" x14ac:dyDescent="0.25">
      <c r="A180" s="79"/>
      <c r="B180" s="78"/>
      <c r="C180" s="61"/>
      <c r="D180" s="68"/>
      <c r="E180" s="62"/>
      <c r="F180" s="78"/>
      <c r="G180" s="62"/>
      <c r="H180" s="62"/>
      <c r="I180" s="79"/>
    </row>
    <row r="181" spans="1:9" s="83" customFormat="1" x14ac:dyDescent="0.25">
      <c r="A181" s="79"/>
      <c r="B181" s="78"/>
      <c r="C181" s="61"/>
      <c r="D181" s="68"/>
      <c r="E181" s="62"/>
      <c r="F181" s="78"/>
      <c r="G181" s="62"/>
      <c r="H181" s="62"/>
      <c r="I181" s="79"/>
    </row>
    <row r="182" spans="1:9" s="83" customFormat="1" x14ac:dyDescent="0.25">
      <c r="A182" s="79"/>
      <c r="B182" s="78"/>
      <c r="C182" s="61"/>
      <c r="D182" s="68"/>
      <c r="E182" s="62"/>
      <c r="F182" s="78"/>
      <c r="G182" s="62"/>
      <c r="H182" s="62"/>
      <c r="I182" s="79"/>
    </row>
    <row r="183" spans="1:9" s="83" customFormat="1" x14ac:dyDescent="0.25">
      <c r="A183" s="79"/>
      <c r="B183" s="78"/>
      <c r="C183" s="61"/>
      <c r="D183" s="68"/>
      <c r="E183" s="62"/>
      <c r="F183" s="78"/>
      <c r="G183" s="62"/>
      <c r="H183" s="62"/>
      <c r="I183" s="79"/>
    </row>
    <row r="184" spans="1:9" s="83" customFormat="1" x14ac:dyDescent="0.25">
      <c r="A184" s="79"/>
      <c r="B184" s="78"/>
      <c r="C184" s="61"/>
      <c r="D184" s="68"/>
      <c r="E184" s="62"/>
      <c r="F184" s="78"/>
      <c r="G184" s="62"/>
      <c r="H184" s="62"/>
      <c r="I184" s="79"/>
    </row>
    <row r="185" spans="1:9" s="83" customFormat="1" x14ac:dyDescent="0.25">
      <c r="A185" s="79"/>
      <c r="B185" s="78"/>
      <c r="C185" s="61"/>
      <c r="D185" s="68"/>
      <c r="E185" s="62"/>
      <c r="F185" s="78"/>
      <c r="G185" s="62"/>
      <c r="H185" s="62"/>
      <c r="I185" s="79"/>
    </row>
    <row r="186" spans="1:9" s="83" customFormat="1" x14ac:dyDescent="0.25">
      <c r="A186" s="79"/>
      <c r="B186" s="78"/>
      <c r="C186" s="61"/>
      <c r="D186" s="68"/>
      <c r="E186" s="62"/>
      <c r="F186" s="78"/>
      <c r="G186" s="62"/>
      <c r="H186" s="62"/>
      <c r="I186" s="79"/>
    </row>
    <row r="187" spans="1:9" s="83" customFormat="1" x14ac:dyDescent="0.25">
      <c r="A187" s="79"/>
      <c r="B187" s="78"/>
      <c r="C187" s="61"/>
      <c r="D187" s="68"/>
      <c r="E187" s="62"/>
      <c r="F187" s="78"/>
      <c r="G187" s="62"/>
      <c r="H187" s="62"/>
      <c r="I187" s="79"/>
    </row>
    <row r="188" spans="1:9" s="83" customFormat="1" x14ac:dyDescent="0.25">
      <c r="A188" s="79"/>
      <c r="B188" s="78"/>
      <c r="C188" s="61"/>
      <c r="D188" s="68"/>
      <c r="E188" s="62"/>
      <c r="F188" s="78"/>
      <c r="G188" s="62"/>
      <c r="H188" s="62"/>
      <c r="I188" s="79"/>
    </row>
    <row r="189" spans="1:9" s="83" customFormat="1" x14ac:dyDescent="0.25">
      <c r="A189" s="79"/>
      <c r="B189" s="78"/>
      <c r="C189" s="61"/>
      <c r="D189" s="68"/>
      <c r="E189" s="62"/>
      <c r="F189" s="78"/>
      <c r="G189" s="62"/>
      <c r="H189" s="62"/>
      <c r="I189" s="79"/>
    </row>
    <row r="190" spans="1:9" s="83" customFormat="1" x14ac:dyDescent="0.25">
      <c r="A190" s="79"/>
      <c r="B190" s="78"/>
      <c r="C190" s="61"/>
      <c r="D190" s="68"/>
      <c r="E190" s="62"/>
      <c r="F190" s="78"/>
      <c r="G190" s="62"/>
      <c r="H190" s="62"/>
      <c r="I190" s="79"/>
    </row>
    <row r="191" spans="1:9" s="83" customFormat="1" x14ac:dyDescent="0.25">
      <c r="A191" s="79"/>
      <c r="B191" s="78"/>
      <c r="C191" s="61"/>
      <c r="D191" s="68"/>
      <c r="E191" s="62"/>
      <c r="F191" s="78"/>
      <c r="G191" s="62"/>
      <c r="H191" s="62"/>
      <c r="I191" s="79"/>
    </row>
    <row r="192" spans="1:9" s="83" customFormat="1" x14ac:dyDescent="0.25">
      <c r="A192" s="79"/>
      <c r="B192" s="78"/>
      <c r="C192" s="61"/>
      <c r="D192" s="68"/>
      <c r="E192" s="62"/>
      <c r="F192" s="78"/>
      <c r="G192" s="62"/>
      <c r="H192" s="62"/>
      <c r="I192" s="79"/>
    </row>
    <row r="193" spans="1:9" s="83" customFormat="1" x14ac:dyDescent="0.25">
      <c r="A193" s="79"/>
      <c r="B193" s="78"/>
      <c r="C193" s="61"/>
      <c r="D193" s="68"/>
      <c r="E193" s="62"/>
      <c r="F193" s="78"/>
      <c r="G193" s="62"/>
      <c r="H193" s="62"/>
      <c r="I193" s="79"/>
    </row>
    <row r="194" spans="1:9" s="83" customFormat="1" x14ac:dyDescent="0.25">
      <c r="A194" s="80"/>
      <c r="B194" s="86"/>
      <c r="C194" s="65"/>
      <c r="D194" s="67"/>
      <c r="E194" s="66"/>
      <c r="F194" s="86"/>
      <c r="G194" s="66"/>
      <c r="H194" s="66"/>
      <c r="I194" s="80"/>
    </row>
    <row r="195" spans="1:9" s="83" customFormat="1" x14ac:dyDescent="0.25">
      <c r="A195" s="79"/>
      <c r="B195" s="78"/>
      <c r="C195" s="61"/>
      <c r="D195" s="68"/>
      <c r="E195" s="62"/>
      <c r="F195" s="78"/>
      <c r="G195" s="62"/>
      <c r="H195" s="62"/>
      <c r="I195" s="79"/>
    </row>
    <row r="196" spans="1:9" s="83" customFormat="1" x14ac:dyDescent="0.25">
      <c r="A196" s="79"/>
      <c r="B196" s="78"/>
      <c r="C196" s="61"/>
      <c r="D196" s="68"/>
      <c r="E196" s="62"/>
      <c r="F196" s="78"/>
      <c r="G196" s="62"/>
      <c r="H196" s="62"/>
      <c r="I196" s="79"/>
    </row>
    <row r="197" spans="1:9" s="83" customFormat="1" x14ac:dyDescent="0.25">
      <c r="A197" s="79"/>
      <c r="B197" s="78"/>
      <c r="C197" s="61"/>
      <c r="D197" s="68"/>
      <c r="E197" s="62"/>
      <c r="F197" s="78"/>
      <c r="G197" s="62"/>
      <c r="H197" s="62"/>
      <c r="I197" s="79"/>
    </row>
    <row r="198" spans="1:9" s="83" customFormat="1" x14ac:dyDescent="0.25">
      <c r="A198" s="79"/>
      <c r="B198" s="78"/>
      <c r="C198" s="61"/>
      <c r="D198" s="68"/>
      <c r="E198" s="62"/>
      <c r="F198" s="78"/>
      <c r="G198" s="62"/>
      <c r="H198" s="62"/>
      <c r="I198" s="79"/>
    </row>
    <row r="199" spans="1:9" s="83" customFormat="1" x14ac:dyDescent="0.25">
      <c r="A199" s="79"/>
      <c r="B199" s="78"/>
      <c r="C199" s="61"/>
      <c r="D199" s="68"/>
      <c r="E199" s="62"/>
      <c r="F199" s="78"/>
      <c r="G199" s="62"/>
      <c r="H199" s="62"/>
      <c r="I199" s="79"/>
    </row>
    <row r="200" spans="1:9" s="83" customFormat="1" x14ac:dyDescent="0.25">
      <c r="A200" s="79"/>
      <c r="B200" s="78"/>
      <c r="C200" s="61"/>
      <c r="D200" s="68"/>
      <c r="E200" s="62"/>
      <c r="F200" s="78"/>
      <c r="G200" s="62"/>
      <c r="H200" s="62"/>
      <c r="I200" s="79"/>
    </row>
    <row r="201" spans="1:9" s="83" customFormat="1" x14ac:dyDescent="0.25">
      <c r="A201" s="79"/>
      <c r="B201" s="78"/>
      <c r="C201" s="61"/>
      <c r="D201" s="68"/>
      <c r="E201" s="62"/>
      <c r="F201" s="78"/>
      <c r="G201" s="62"/>
      <c r="H201" s="62"/>
      <c r="I201" s="79"/>
    </row>
    <row r="202" spans="1:9" s="83" customFormat="1" x14ac:dyDescent="0.25">
      <c r="A202" s="79"/>
      <c r="B202" s="78"/>
      <c r="C202" s="61"/>
      <c r="D202" s="68"/>
      <c r="E202" s="62"/>
      <c r="F202" s="78"/>
      <c r="G202" s="62"/>
      <c r="H202" s="62"/>
      <c r="I202" s="79"/>
    </row>
    <row r="203" spans="1:9" s="83" customFormat="1" x14ac:dyDescent="0.25">
      <c r="A203" s="79"/>
      <c r="B203" s="78"/>
      <c r="C203" s="61"/>
      <c r="D203" s="68"/>
      <c r="E203" s="62"/>
      <c r="F203" s="78"/>
      <c r="G203" s="62"/>
      <c r="H203" s="62"/>
      <c r="I203" s="79"/>
    </row>
    <row r="204" spans="1:9" s="83" customFormat="1" x14ac:dyDescent="0.25">
      <c r="A204" s="79"/>
      <c r="B204" s="78"/>
      <c r="C204" s="61"/>
      <c r="D204" s="68"/>
      <c r="E204" s="62"/>
      <c r="F204" s="78"/>
      <c r="G204" s="62"/>
      <c r="H204" s="62"/>
      <c r="I204" s="79"/>
    </row>
    <row r="205" spans="1:9" s="83" customFormat="1" x14ac:dyDescent="0.25">
      <c r="A205" s="79"/>
      <c r="B205" s="78"/>
      <c r="C205" s="61"/>
      <c r="D205" s="68"/>
      <c r="E205" s="62"/>
      <c r="F205" s="78"/>
      <c r="G205" s="62"/>
      <c r="H205" s="62"/>
      <c r="I205" s="79"/>
    </row>
    <row r="206" spans="1:9" s="83" customFormat="1" x14ac:dyDescent="0.25">
      <c r="A206" s="79"/>
      <c r="B206" s="78"/>
      <c r="C206" s="61"/>
      <c r="D206" s="68"/>
      <c r="E206" s="62"/>
      <c r="F206" s="78"/>
      <c r="G206" s="62"/>
      <c r="H206" s="62"/>
      <c r="I206" s="79"/>
    </row>
    <row r="207" spans="1:9" s="83" customFormat="1" x14ac:dyDescent="0.25">
      <c r="A207" s="79"/>
      <c r="B207" s="78"/>
      <c r="C207" s="61"/>
      <c r="D207" s="68"/>
      <c r="E207" s="62"/>
      <c r="F207" s="78"/>
      <c r="G207" s="62"/>
      <c r="H207" s="62"/>
      <c r="I207" s="79"/>
    </row>
    <row r="208" spans="1:9" s="83" customFormat="1" x14ac:dyDescent="0.25">
      <c r="A208" s="79"/>
      <c r="B208" s="78"/>
      <c r="C208" s="61"/>
      <c r="D208" s="68"/>
      <c r="E208" s="62"/>
      <c r="F208" s="78"/>
      <c r="G208" s="62"/>
      <c r="H208" s="62"/>
      <c r="I208" s="79"/>
    </row>
    <row r="209" spans="1:9" s="83" customFormat="1" x14ac:dyDescent="0.25">
      <c r="A209" s="79"/>
      <c r="B209" s="78"/>
      <c r="C209" s="61"/>
      <c r="D209" s="68"/>
      <c r="E209" s="62"/>
      <c r="F209" s="78"/>
      <c r="G209" s="62"/>
      <c r="H209" s="62"/>
      <c r="I209" s="79"/>
    </row>
    <row r="210" spans="1:9" s="83" customFormat="1" x14ac:dyDescent="0.25">
      <c r="A210" s="79"/>
      <c r="B210" s="78"/>
      <c r="C210" s="61"/>
      <c r="D210" s="68"/>
      <c r="E210" s="62"/>
      <c r="F210" s="78"/>
      <c r="G210" s="62"/>
      <c r="H210" s="62"/>
      <c r="I210" s="79"/>
    </row>
    <row r="211" spans="1:9" s="83" customFormat="1" x14ac:dyDescent="0.25">
      <c r="A211" s="79"/>
      <c r="B211" s="78"/>
      <c r="C211" s="61"/>
      <c r="D211" s="68"/>
      <c r="E211" s="62"/>
      <c r="F211" s="78"/>
      <c r="G211" s="62"/>
      <c r="H211" s="62"/>
      <c r="I211" s="79"/>
    </row>
    <row r="212" spans="1:9" s="83" customFormat="1" x14ac:dyDescent="0.25">
      <c r="A212" s="79"/>
      <c r="B212" s="78"/>
      <c r="C212" s="61"/>
      <c r="D212" s="68"/>
      <c r="E212" s="62"/>
      <c r="F212" s="78"/>
      <c r="G212" s="62"/>
      <c r="H212" s="62"/>
      <c r="I212" s="79"/>
    </row>
    <row r="213" spans="1:9" s="83" customFormat="1" x14ac:dyDescent="0.25">
      <c r="A213" s="79"/>
      <c r="B213" s="78"/>
      <c r="C213" s="61"/>
      <c r="D213" s="68"/>
      <c r="E213" s="62"/>
      <c r="F213" s="78"/>
      <c r="G213" s="62"/>
      <c r="H213" s="62"/>
      <c r="I213" s="79"/>
    </row>
    <row r="214" spans="1:9" s="83" customFormat="1" x14ac:dyDescent="0.25">
      <c r="A214" s="79"/>
      <c r="B214" s="78"/>
      <c r="C214" s="61"/>
      <c r="D214" s="68"/>
      <c r="E214" s="62"/>
      <c r="F214" s="78"/>
      <c r="G214" s="62"/>
      <c r="H214" s="62"/>
      <c r="I214" s="79"/>
    </row>
    <row r="215" spans="1:9" s="83" customFormat="1" x14ac:dyDescent="0.25">
      <c r="A215" s="79"/>
      <c r="B215" s="78"/>
      <c r="C215" s="61"/>
      <c r="D215" s="68"/>
      <c r="E215" s="62"/>
      <c r="F215" s="78"/>
      <c r="G215" s="62"/>
      <c r="H215" s="62"/>
      <c r="I215" s="79"/>
    </row>
    <row r="216" spans="1:9" s="83" customFormat="1" x14ac:dyDescent="0.25">
      <c r="A216" s="79"/>
      <c r="B216" s="78"/>
      <c r="C216" s="61"/>
      <c r="D216" s="68"/>
      <c r="E216" s="62"/>
      <c r="F216" s="78"/>
      <c r="G216" s="62"/>
      <c r="H216" s="62"/>
      <c r="I216" s="79"/>
    </row>
    <row r="217" spans="1:9" s="83" customFormat="1" x14ac:dyDescent="0.25">
      <c r="A217" s="79"/>
      <c r="B217" s="78"/>
      <c r="C217" s="61"/>
      <c r="D217" s="68"/>
      <c r="E217" s="62"/>
      <c r="F217" s="78"/>
      <c r="G217" s="62"/>
      <c r="H217" s="62"/>
      <c r="I217" s="79"/>
    </row>
    <row r="218" spans="1:9" s="83" customFormat="1" x14ac:dyDescent="0.25">
      <c r="A218" s="79"/>
      <c r="B218" s="78"/>
      <c r="C218" s="61"/>
      <c r="D218" s="68"/>
      <c r="E218" s="62"/>
      <c r="F218" s="78"/>
      <c r="G218" s="62"/>
      <c r="H218" s="62"/>
      <c r="I218" s="79"/>
    </row>
    <row r="219" spans="1:9" s="83" customFormat="1" x14ac:dyDescent="0.25">
      <c r="A219" s="79"/>
      <c r="B219" s="78"/>
      <c r="C219" s="61"/>
      <c r="D219" s="68"/>
      <c r="E219" s="62"/>
      <c r="F219" s="78"/>
      <c r="G219" s="62"/>
      <c r="H219" s="62"/>
      <c r="I219" s="79"/>
    </row>
    <row r="220" spans="1:9" s="83" customFormat="1" x14ac:dyDescent="0.25">
      <c r="A220" s="79"/>
      <c r="B220" s="78"/>
      <c r="C220" s="61"/>
      <c r="D220" s="68"/>
      <c r="E220" s="62"/>
      <c r="F220" s="78"/>
      <c r="G220" s="62"/>
      <c r="H220" s="62"/>
      <c r="I220" s="79"/>
    </row>
    <row r="221" spans="1:9" s="83" customFormat="1" x14ac:dyDescent="0.25">
      <c r="A221" s="79"/>
      <c r="B221" s="78"/>
      <c r="C221" s="61"/>
      <c r="D221" s="68"/>
      <c r="E221" s="62"/>
      <c r="F221" s="78"/>
      <c r="G221" s="62"/>
      <c r="H221" s="62"/>
      <c r="I221" s="79"/>
    </row>
    <row r="222" spans="1:9" s="83" customFormat="1" x14ac:dyDescent="0.25">
      <c r="A222" s="79"/>
      <c r="B222" s="78"/>
      <c r="C222" s="61"/>
      <c r="D222" s="68"/>
      <c r="E222" s="62"/>
      <c r="F222" s="78"/>
      <c r="G222" s="62"/>
      <c r="H222" s="62"/>
      <c r="I222" s="79"/>
    </row>
    <row r="223" spans="1:9" s="83" customFormat="1" x14ac:dyDescent="0.25">
      <c r="A223" s="79"/>
      <c r="B223" s="78"/>
      <c r="C223" s="61"/>
      <c r="D223" s="68"/>
      <c r="E223" s="62"/>
      <c r="F223" s="78"/>
      <c r="G223" s="62"/>
      <c r="H223" s="62"/>
      <c r="I223" s="79"/>
    </row>
    <row r="224" spans="1:9" s="83" customFormat="1" x14ac:dyDescent="0.25">
      <c r="A224" s="79"/>
      <c r="B224" s="78"/>
      <c r="C224" s="61"/>
      <c r="D224" s="68"/>
      <c r="E224" s="62"/>
      <c r="F224" s="78"/>
      <c r="G224" s="62"/>
      <c r="H224" s="62"/>
      <c r="I224" s="79"/>
    </row>
    <row r="225" spans="1:9" s="83" customFormat="1" x14ac:dyDescent="0.25">
      <c r="A225" s="79"/>
      <c r="B225" s="78"/>
      <c r="C225" s="61"/>
      <c r="D225" s="68"/>
      <c r="E225" s="62"/>
      <c r="F225" s="78"/>
      <c r="G225" s="62"/>
      <c r="H225" s="62"/>
      <c r="I225" s="79"/>
    </row>
    <row r="226" spans="1:9" s="83" customFormat="1" x14ac:dyDescent="0.25">
      <c r="A226" s="79"/>
      <c r="B226" s="78"/>
      <c r="C226" s="61"/>
      <c r="D226" s="68"/>
      <c r="E226" s="62"/>
      <c r="F226" s="78"/>
      <c r="G226" s="62"/>
      <c r="H226" s="62"/>
      <c r="I226" s="79"/>
    </row>
    <row r="227" spans="1:9" s="83" customFormat="1" x14ac:dyDescent="0.25">
      <c r="A227" s="79"/>
      <c r="B227" s="78"/>
      <c r="C227" s="61"/>
      <c r="D227" s="68"/>
      <c r="E227" s="62"/>
      <c r="F227" s="78"/>
      <c r="G227" s="62"/>
      <c r="H227" s="62"/>
      <c r="I227" s="79"/>
    </row>
    <row r="228" spans="1:9" s="83" customFormat="1" x14ac:dyDescent="0.25">
      <c r="A228" s="79"/>
      <c r="B228" s="78"/>
      <c r="C228" s="61"/>
      <c r="D228" s="68"/>
      <c r="E228" s="62"/>
      <c r="F228" s="78"/>
      <c r="G228" s="62"/>
      <c r="H228" s="62"/>
      <c r="I228" s="79"/>
    </row>
    <row r="229" spans="1:9" s="83" customFormat="1" x14ac:dyDescent="0.25">
      <c r="A229" s="79"/>
      <c r="B229" s="78"/>
      <c r="C229" s="61"/>
      <c r="D229" s="68"/>
      <c r="E229" s="62"/>
      <c r="F229" s="78"/>
      <c r="G229" s="62"/>
      <c r="H229" s="62"/>
      <c r="I229" s="79"/>
    </row>
    <row r="230" spans="1:9" s="83" customFormat="1" x14ac:dyDescent="0.25">
      <c r="A230" s="79"/>
      <c r="B230" s="78"/>
      <c r="C230" s="61"/>
      <c r="D230" s="68"/>
      <c r="E230" s="62"/>
      <c r="F230" s="78"/>
      <c r="G230" s="62"/>
      <c r="H230" s="62"/>
      <c r="I230" s="79"/>
    </row>
    <row r="231" spans="1:9" s="83" customFormat="1" x14ac:dyDescent="0.25">
      <c r="A231" s="79"/>
      <c r="B231" s="78"/>
      <c r="C231" s="61"/>
      <c r="D231" s="68"/>
      <c r="E231" s="62"/>
      <c r="F231" s="78"/>
      <c r="G231" s="62"/>
      <c r="H231" s="62"/>
      <c r="I231" s="79"/>
    </row>
    <row r="232" spans="1:9" s="83" customFormat="1" x14ac:dyDescent="0.25">
      <c r="A232" s="79"/>
      <c r="B232" s="78"/>
      <c r="C232" s="61"/>
      <c r="D232" s="68"/>
      <c r="E232" s="62"/>
      <c r="F232" s="78"/>
      <c r="G232" s="62"/>
      <c r="H232" s="62"/>
      <c r="I232" s="79"/>
    </row>
    <row r="233" spans="1:9" s="83" customFormat="1" x14ac:dyDescent="0.25">
      <c r="A233" s="79"/>
      <c r="B233" s="78"/>
      <c r="C233" s="61"/>
      <c r="D233" s="68"/>
      <c r="E233" s="62"/>
      <c r="F233" s="78"/>
      <c r="G233" s="62"/>
      <c r="H233" s="62"/>
      <c r="I233" s="79"/>
    </row>
    <row r="234" spans="1:9" s="83" customFormat="1" x14ac:dyDescent="0.25">
      <c r="A234" s="79"/>
      <c r="B234" s="78"/>
      <c r="C234" s="61"/>
      <c r="D234" s="68"/>
      <c r="E234" s="62"/>
      <c r="F234" s="78"/>
      <c r="G234" s="62"/>
      <c r="H234" s="62"/>
      <c r="I234" s="79"/>
    </row>
    <row r="235" spans="1:9" s="83" customFormat="1" x14ac:dyDescent="0.25">
      <c r="A235" s="79"/>
      <c r="B235" s="78"/>
      <c r="C235" s="61"/>
      <c r="D235" s="68"/>
      <c r="E235" s="62"/>
      <c r="F235" s="78"/>
      <c r="G235" s="62"/>
      <c r="H235" s="62"/>
      <c r="I235" s="79"/>
    </row>
    <row r="236" spans="1:9" s="83" customFormat="1" x14ac:dyDescent="0.25">
      <c r="A236" s="79"/>
      <c r="B236" s="78"/>
      <c r="C236" s="61"/>
      <c r="D236" s="68"/>
      <c r="E236" s="62"/>
      <c r="F236" s="78"/>
      <c r="G236" s="62"/>
      <c r="H236" s="62"/>
      <c r="I236" s="79"/>
    </row>
    <row r="237" spans="1:9" s="83" customFormat="1" x14ac:dyDescent="0.25">
      <c r="A237" s="79"/>
      <c r="B237" s="78"/>
      <c r="C237" s="61"/>
      <c r="D237" s="68"/>
      <c r="E237" s="62"/>
      <c r="F237" s="78"/>
      <c r="G237" s="62"/>
      <c r="H237" s="62"/>
      <c r="I237" s="79"/>
    </row>
    <row r="238" spans="1:9" s="83" customFormat="1" x14ac:dyDescent="0.25">
      <c r="A238" s="79"/>
      <c r="B238" s="78"/>
      <c r="C238" s="61"/>
      <c r="D238" s="68"/>
      <c r="E238" s="62"/>
      <c r="F238" s="78"/>
      <c r="G238" s="62"/>
      <c r="H238" s="62"/>
      <c r="I238" s="79"/>
    </row>
    <row r="239" spans="1:9" s="83" customFormat="1" x14ac:dyDescent="0.25">
      <c r="A239" s="79"/>
      <c r="B239" s="78"/>
      <c r="C239" s="61"/>
      <c r="D239" s="68"/>
      <c r="E239" s="62"/>
      <c r="F239" s="78"/>
      <c r="G239" s="62"/>
      <c r="H239" s="62"/>
      <c r="I239" s="79"/>
    </row>
    <row r="240" spans="1:9" s="83" customFormat="1" x14ac:dyDescent="0.25">
      <c r="A240" s="79"/>
      <c r="B240" s="78"/>
      <c r="C240" s="61"/>
      <c r="D240" s="68"/>
      <c r="E240" s="62"/>
      <c r="F240" s="78"/>
      <c r="G240" s="62"/>
      <c r="H240" s="62"/>
      <c r="I240" s="79"/>
    </row>
    <row r="241" spans="1:9" s="83" customFormat="1" x14ac:dyDescent="0.25">
      <c r="A241" s="79"/>
      <c r="B241" s="78"/>
      <c r="C241" s="61"/>
      <c r="D241" s="68"/>
      <c r="E241" s="62"/>
      <c r="F241" s="78"/>
      <c r="G241" s="62"/>
      <c r="H241" s="62"/>
      <c r="I241" s="79"/>
    </row>
    <row r="242" spans="1:9" s="83" customFormat="1" x14ac:dyDescent="0.25">
      <c r="A242" s="79"/>
      <c r="B242" s="78"/>
      <c r="C242" s="61"/>
      <c r="D242" s="68"/>
      <c r="E242" s="62"/>
      <c r="F242" s="78"/>
      <c r="G242" s="62"/>
      <c r="H242" s="62"/>
      <c r="I242" s="79"/>
    </row>
    <row r="243" spans="1:9" s="83" customFormat="1" x14ac:dyDescent="0.25">
      <c r="A243" s="79"/>
      <c r="B243" s="78"/>
      <c r="C243" s="61"/>
      <c r="D243" s="68"/>
      <c r="E243" s="62"/>
      <c r="F243" s="78"/>
      <c r="G243" s="62"/>
      <c r="H243" s="62"/>
      <c r="I243" s="79"/>
    </row>
    <row r="244" spans="1:9" s="83" customFormat="1" x14ac:dyDescent="0.25">
      <c r="A244" s="79"/>
      <c r="B244" s="78"/>
      <c r="C244" s="61"/>
      <c r="D244" s="68"/>
      <c r="E244" s="62"/>
      <c r="F244" s="78"/>
      <c r="G244" s="62"/>
      <c r="H244" s="62"/>
      <c r="I244" s="79"/>
    </row>
    <row r="245" spans="1:9" s="83" customFormat="1" x14ac:dyDescent="0.25">
      <c r="A245" s="79"/>
      <c r="B245" s="78"/>
      <c r="C245" s="61"/>
      <c r="D245" s="68"/>
      <c r="E245" s="62"/>
      <c r="F245" s="78"/>
      <c r="G245" s="62"/>
      <c r="H245" s="62"/>
      <c r="I245" s="79"/>
    </row>
    <row r="246" spans="1:9" s="83" customFormat="1" x14ac:dyDescent="0.25">
      <c r="A246" s="79"/>
      <c r="B246" s="78"/>
      <c r="C246" s="61"/>
      <c r="D246" s="68"/>
      <c r="E246" s="62"/>
      <c r="F246" s="78"/>
      <c r="G246" s="62"/>
      <c r="H246" s="62"/>
      <c r="I246" s="79"/>
    </row>
    <row r="247" spans="1:9" s="83" customFormat="1" x14ac:dyDescent="0.25">
      <c r="A247" s="79"/>
      <c r="B247" s="78"/>
      <c r="C247" s="61"/>
      <c r="D247" s="68"/>
      <c r="E247" s="62"/>
      <c r="F247" s="78"/>
      <c r="G247" s="62"/>
      <c r="H247" s="62"/>
      <c r="I247" s="79"/>
    </row>
    <row r="248" spans="1:9" s="83" customFormat="1" x14ac:dyDescent="0.25">
      <c r="A248" s="79"/>
      <c r="B248" s="78"/>
      <c r="C248" s="61"/>
      <c r="D248" s="68"/>
      <c r="E248" s="62"/>
      <c r="F248" s="78"/>
      <c r="G248" s="62"/>
      <c r="H248" s="62"/>
      <c r="I248" s="79"/>
    </row>
    <row r="249" spans="1:9" s="83" customFormat="1" x14ac:dyDescent="0.25">
      <c r="A249" s="79"/>
      <c r="B249" s="78"/>
      <c r="C249" s="61"/>
      <c r="D249" s="68"/>
      <c r="E249" s="62"/>
      <c r="F249" s="78"/>
      <c r="G249" s="62"/>
      <c r="H249" s="62"/>
      <c r="I249" s="79"/>
    </row>
    <row r="250" spans="1:9" s="83" customFormat="1" x14ac:dyDescent="0.25">
      <c r="A250" s="79"/>
      <c r="B250" s="78"/>
      <c r="C250" s="61"/>
      <c r="D250" s="68"/>
      <c r="E250" s="62"/>
      <c r="F250" s="78"/>
      <c r="G250" s="62"/>
      <c r="H250" s="62"/>
      <c r="I250" s="79"/>
    </row>
    <row r="251" spans="1:9" s="83" customFormat="1" x14ac:dyDescent="0.25">
      <c r="A251" s="79"/>
      <c r="B251" s="78"/>
      <c r="C251" s="61"/>
      <c r="D251" s="68"/>
      <c r="E251" s="62"/>
      <c r="F251" s="78"/>
      <c r="G251" s="62"/>
      <c r="H251" s="62"/>
      <c r="I251" s="79"/>
    </row>
    <row r="252" spans="1:9" s="83" customFormat="1" x14ac:dyDescent="0.25">
      <c r="A252" s="79"/>
      <c r="B252" s="78"/>
      <c r="C252" s="61"/>
      <c r="D252" s="68"/>
      <c r="E252" s="62"/>
      <c r="F252" s="78"/>
      <c r="G252" s="62"/>
      <c r="H252" s="62"/>
      <c r="I252" s="79"/>
    </row>
    <row r="253" spans="1:9" s="83" customFormat="1" x14ac:dyDescent="0.25">
      <c r="A253" s="79"/>
      <c r="B253" s="78"/>
      <c r="C253" s="61"/>
      <c r="D253" s="68"/>
      <c r="E253" s="62"/>
      <c r="F253" s="78"/>
      <c r="G253" s="62"/>
      <c r="H253" s="62"/>
      <c r="I253" s="79"/>
    </row>
    <row r="254" spans="1:9" s="83" customFormat="1" x14ac:dyDescent="0.25">
      <c r="A254" s="79"/>
      <c r="B254" s="78"/>
      <c r="C254" s="61"/>
      <c r="D254" s="68"/>
      <c r="E254" s="62"/>
      <c r="F254" s="78"/>
      <c r="G254" s="62"/>
      <c r="H254" s="62"/>
      <c r="I254" s="79"/>
    </row>
    <row r="255" spans="1:9" s="83" customFormat="1" x14ac:dyDescent="0.25">
      <c r="A255" s="79"/>
      <c r="B255" s="78"/>
      <c r="C255" s="61"/>
      <c r="D255" s="68"/>
      <c r="E255" s="62"/>
      <c r="F255" s="78"/>
      <c r="G255" s="62"/>
      <c r="H255" s="62"/>
      <c r="I255" s="79"/>
    </row>
    <row r="256" spans="1:9" s="83" customFormat="1" x14ac:dyDescent="0.25">
      <c r="A256" s="79"/>
      <c r="B256" s="78"/>
      <c r="C256" s="61"/>
      <c r="D256" s="68"/>
      <c r="E256" s="62"/>
      <c r="F256" s="78"/>
      <c r="G256" s="62"/>
      <c r="H256" s="62"/>
      <c r="I256" s="79"/>
    </row>
    <row r="257" spans="1:9" s="83" customFormat="1" x14ac:dyDescent="0.25">
      <c r="A257" s="79"/>
      <c r="B257" s="78"/>
      <c r="C257" s="61"/>
      <c r="D257" s="68"/>
      <c r="E257" s="62"/>
      <c r="F257" s="78"/>
      <c r="G257" s="62"/>
      <c r="H257" s="62"/>
      <c r="I257" s="79"/>
    </row>
    <row r="258" spans="1:9" s="83" customFormat="1" x14ac:dyDescent="0.25">
      <c r="A258" s="79"/>
      <c r="B258" s="78"/>
      <c r="C258" s="61"/>
      <c r="D258" s="68"/>
      <c r="E258" s="62"/>
      <c r="F258" s="78"/>
      <c r="G258" s="62"/>
      <c r="H258" s="62"/>
      <c r="I258" s="79"/>
    </row>
    <row r="259" spans="1:9" s="83" customFormat="1" x14ac:dyDescent="0.25">
      <c r="A259" s="79"/>
      <c r="B259" s="78"/>
      <c r="C259" s="61"/>
      <c r="D259" s="68"/>
      <c r="E259" s="62"/>
      <c r="F259" s="78"/>
      <c r="G259" s="62"/>
      <c r="H259" s="62"/>
      <c r="I259" s="79"/>
    </row>
    <row r="260" spans="1:9" s="83" customFormat="1" x14ac:dyDescent="0.25">
      <c r="A260" s="79"/>
      <c r="B260" s="78"/>
      <c r="C260" s="61"/>
      <c r="D260" s="68"/>
      <c r="E260" s="62"/>
      <c r="F260" s="78"/>
      <c r="G260" s="62"/>
      <c r="H260" s="62"/>
      <c r="I260" s="79"/>
    </row>
    <row r="261" spans="1:9" s="83" customFormat="1" x14ac:dyDescent="0.25">
      <c r="A261" s="79"/>
      <c r="B261" s="78"/>
      <c r="C261" s="61"/>
      <c r="D261" s="68"/>
      <c r="E261" s="62"/>
      <c r="F261" s="78"/>
      <c r="G261" s="62"/>
      <c r="H261" s="62"/>
      <c r="I261" s="79"/>
    </row>
    <row r="262" spans="1:9" s="83" customFormat="1" x14ac:dyDescent="0.25">
      <c r="A262" s="79"/>
      <c r="B262" s="78"/>
      <c r="C262" s="61"/>
      <c r="D262" s="68"/>
      <c r="E262" s="62"/>
      <c r="F262" s="78"/>
      <c r="G262" s="62"/>
      <c r="H262" s="62"/>
      <c r="I262" s="79"/>
    </row>
    <row r="263" spans="1:9" s="83" customFormat="1" x14ac:dyDescent="0.25">
      <c r="A263" s="79"/>
      <c r="B263" s="78"/>
      <c r="C263" s="61"/>
      <c r="D263" s="68"/>
      <c r="E263" s="62"/>
      <c r="F263" s="78"/>
      <c r="G263" s="62"/>
      <c r="H263" s="62"/>
      <c r="I263" s="79"/>
    </row>
    <row r="264" spans="1:9" s="83" customFormat="1" x14ac:dyDescent="0.25">
      <c r="A264" s="79"/>
      <c r="B264" s="78"/>
      <c r="C264" s="61"/>
      <c r="D264" s="68"/>
      <c r="E264" s="62"/>
      <c r="F264" s="78"/>
      <c r="G264" s="62"/>
      <c r="H264" s="62"/>
      <c r="I264" s="79"/>
    </row>
    <row r="265" spans="1:9" s="83" customFormat="1" x14ac:dyDescent="0.25">
      <c r="A265" s="79"/>
      <c r="B265" s="78"/>
      <c r="C265" s="61"/>
      <c r="D265" s="68"/>
      <c r="E265" s="62"/>
      <c r="F265" s="78"/>
      <c r="G265" s="62"/>
      <c r="H265" s="62"/>
      <c r="I265" s="79"/>
    </row>
    <row r="266" spans="1:9" s="83" customFormat="1" x14ac:dyDescent="0.25">
      <c r="A266" s="79"/>
      <c r="B266" s="78"/>
      <c r="C266" s="61"/>
      <c r="D266" s="68"/>
      <c r="E266" s="62"/>
      <c r="F266" s="78"/>
      <c r="G266" s="62"/>
      <c r="H266" s="62"/>
      <c r="I266" s="79"/>
    </row>
    <row r="267" spans="1:9" s="83" customFormat="1" x14ac:dyDescent="0.25">
      <c r="A267" s="79"/>
      <c r="B267" s="78"/>
      <c r="C267" s="61"/>
      <c r="D267" s="68"/>
      <c r="E267" s="62"/>
      <c r="F267" s="78"/>
      <c r="G267" s="62"/>
      <c r="H267" s="62"/>
      <c r="I267" s="79"/>
    </row>
    <row r="268" spans="1:9" s="83" customFormat="1" x14ac:dyDescent="0.25">
      <c r="A268" s="79"/>
      <c r="B268" s="78"/>
      <c r="C268" s="61"/>
      <c r="D268" s="68"/>
      <c r="E268" s="62"/>
      <c r="F268" s="78"/>
      <c r="G268" s="62"/>
      <c r="H268" s="62"/>
      <c r="I268" s="79"/>
    </row>
    <row r="269" spans="1:9" s="83" customFormat="1" x14ac:dyDescent="0.25">
      <c r="A269" s="79"/>
      <c r="B269" s="78"/>
      <c r="C269" s="61"/>
      <c r="D269" s="68"/>
      <c r="E269" s="62"/>
      <c r="F269" s="78"/>
      <c r="G269" s="62"/>
      <c r="H269" s="62"/>
      <c r="I269" s="79"/>
    </row>
    <row r="270" spans="1:9" s="83" customFormat="1" x14ac:dyDescent="0.25">
      <c r="A270" s="79"/>
      <c r="B270" s="78"/>
      <c r="C270" s="61"/>
      <c r="D270" s="68"/>
      <c r="E270" s="62"/>
      <c r="F270" s="78"/>
      <c r="G270" s="62"/>
      <c r="H270" s="62"/>
      <c r="I270" s="79"/>
    </row>
    <row r="271" spans="1:9" s="83" customFormat="1" x14ac:dyDescent="0.25">
      <c r="A271" s="79"/>
      <c r="B271" s="78"/>
      <c r="C271" s="61"/>
      <c r="D271" s="68"/>
      <c r="E271" s="62"/>
      <c r="F271" s="78"/>
      <c r="G271" s="62"/>
      <c r="H271" s="62"/>
      <c r="I271" s="79"/>
    </row>
    <row r="272" spans="1:9" s="83" customFormat="1" x14ac:dyDescent="0.25">
      <c r="A272" s="79"/>
      <c r="B272" s="78"/>
      <c r="C272" s="61"/>
      <c r="D272" s="68"/>
      <c r="E272" s="62"/>
      <c r="F272" s="78"/>
      <c r="G272" s="62"/>
      <c r="H272" s="62"/>
      <c r="I272" s="79"/>
    </row>
    <row r="273" spans="1:9" s="83" customFormat="1" x14ac:dyDescent="0.25">
      <c r="A273" s="79"/>
      <c r="B273" s="78"/>
      <c r="C273" s="61"/>
      <c r="D273" s="68"/>
      <c r="E273" s="62"/>
      <c r="F273" s="78"/>
      <c r="G273" s="62"/>
      <c r="H273" s="62"/>
      <c r="I273" s="79"/>
    </row>
    <row r="274" spans="1:9" s="83" customFormat="1" x14ac:dyDescent="0.25">
      <c r="A274" s="79"/>
      <c r="B274" s="78"/>
      <c r="C274" s="61"/>
      <c r="D274" s="68"/>
      <c r="E274" s="62"/>
      <c r="F274" s="78"/>
      <c r="G274" s="62"/>
      <c r="H274" s="62"/>
      <c r="I274" s="79"/>
    </row>
    <row r="275" spans="1:9" s="83" customFormat="1" x14ac:dyDescent="0.25">
      <c r="A275" s="79"/>
      <c r="B275" s="78"/>
      <c r="C275" s="61"/>
      <c r="D275" s="68"/>
      <c r="E275" s="62"/>
      <c r="F275" s="78"/>
      <c r="G275" s="62"/>
      <c r="H275" s="62"/>
      <c r="I275" s="79"/>
    </row>
    <row r="276" spans="1:9" s="83" customFormat="1" x14ac:dyDescent="0.25">
      <c r="A276" s="79"/>
      <c r="B276" s="78"/>
      <c r="C276" s="61"/>
      <c r="D276" s="68"/>
      <c r="E276" s="62"/>
      <c r="F276" s="78"/>
      <c r="G276" s="62"/>
      <c r="H276" s="62"/>
      <c r="I276" s="79"/>
    </row>
    <row r="277" spans="1:9" s="83" customFormat="1" x14ac:dyDescent="0.25">
      <c r="A277" s="79"/>
      <c r="B277" s="78"/>
      <c r="C277" s="61"/>
      <c r="D277" s="68"/>
      <c r="E277" s="62"/>
      <c r="F277" s="78"/>
      <c r="G277" s="62"/>
      <c r="H277" s="62"/>
      <c r="I277" s="79"/>
    </row>
    <row r="278" spans="1:9" s="83" customFormat="1" x14ac:dyDescent="0.25">
      <c r="A278" s="79"/>
      <c r="B278" s="78"/>
      <c r="C278" s="61"/>
      <c r="D278" s="68"/>
      <c r="E278" s="62"/>
      <c r="F278" s="78"/>
      <c r="G278" s="62"/>
      <c r="H278" s="62"/>
      <c r="I278" s="79"/>
    </row>
    <row r="279" spans="1:9" s="83" customFormat="1" x14ac:dyDescent="0.25">
      <c r="A279" s="79"/>
      <c r="B279" s="78"/>
      <c r="C279" s="61"/>
      <c r="D279" s="68"/>
      <c r="E279" s="62"/>
      <c r="F279" s="78"/>
      <c r="G279" s="62"/>
      <c r="H279" s="62"/>
      <c r="I279" s="79"/>
    </row>
    <row r="280" spans="1:9" s="83" customFormat="1" x14ac:dyDescent="0.25">
      <c r="A280" s="79"/>
      <c r="B280" s="78"/>
      <c r="C280" s="61"/>
      <c r="D280" s="68"/>
      <c r="E280" s="62"/>
      <c r="F280" s="78"/>
      <c r="G280" s="62"/>
      <c r="H280" s="62"/>
      <c r="I280" s="79"/>
    </row>
    <row r="281" spans="1:9" s="83" customFormat="1" x14ac:dyDescent="0.25">
      <c r="A281" s="79"/>
      <c r="B281" s="78"/>
      <c r="C281" s="61"/>
      <c r="D281" s="68"/>
      <c r="E281" s="62"/>
      <c r="F281" s="78"/>
      <c r="G281" s="62"/>
      <c r="H281" s="62"/>
      <c r="I281" s="79"/>
    </row>
    <row r="282" spans="1:9" s="83" customFormat="1" x14ac:dyDescent="0.25">
      <c r="A282" s="79"/>
      <c r="B282" s="78"/>
      <c r="C282" s="61"/>
      <c r="D282" s="68"/>
      <c r="E282" s="62"/>
      <c r="F282" s="78"/>
      <c r="G282" s="62"/>
      <c r="H282" s="62"/>
      <c r="I282" s="79"/>
    </row>
    <row r="283" spans="1:9" s="83" customFormat="1" x14ac:dyDescent="0.25">
      <c r="A283" s="79"/>
      <c r="B283" s="78"/>
      <c r="C283" s="61"/>
      <c r="D283" s="68"/>
      <c r="E283" s="62"/>
      <c r="F283" s="78"/>
      <c r="G283" s="62"/>
      <c r="H283" s="62"/>
      <c r="I283" s="79"/>
    </row>
    <row r="284" spans="1:9" s="83" customFormat="1" x14ac:dyDescent="0.25">
      <c r="A284" s="79"/>
      <c r="B284" s="78"/>
      <c r="C284" s="61"/>
      <c r="D284" s="68"/>
      <c r="E284" s="62"/>
      <c r="F284" s="78"/>
      <c r="G284" s="62"/>
      <c r="H284" s="62"/>
      <c r="I284" s="79"/>
    </row>
    <row r="285" spans="1:9" s="83" customFormat="1" x14ac:dyDescent="0.25">
      <c r="A285" s="79"/>
      <c r="B285" s="78"/>
      <c r="C285" s="61"/>
      <c r="D285" s="68"/>
      <c r="E285" s="62"/>
      <c r="F285" s="78"/>
      <c r="G285" s="62"/>
      <c r="H285" s="62"/>
      <c r="I285" s="79"/>
    </row>
    <row r="286" spans="1:9" s="83" customFormat="1" x14ac:dyDescent="0.25">
      <c r="A286" s="79"/>
      <c r="B286" s="78"/>
      <c r="C286" s="61"/>
      <c r="D286" s="68"/>
      <c r="E286" s="62"/>
      <c r="F286" s="78"/>
      <c r="G286" s="62"/>
      <c r="H286" s="62"/>
      <c r="I286" s="79"/>
    </row>
    <row r="287" spans="1:9" s="83" customFormat="1" x14ac:dyDescent="0.25">
      <c r="A287" s="79"/>
      <c r="B287" s="78"/>
      <c r="C287" s="61"/>
      <c r="D287" s="68"/>
      <c r="E287" s="62"/>
      <c r="F287" s="78"/>
      <c r="G287" s="62"/>
      <c r="H287" s="62"/>
      <c r="I287" s="79"/>
    </row>
    <row r="288" spans="1:9" s="83" customFormat="1" x14ac:dyDescent="0.25">
      <c r="A288" s="79"/>
      <c r="B288" s="78"/>
      <c r="C288" s="61"/>
      <c r="D288" s="68"/>
      <c r="E288" s="62"/>
      <c r="F288" s="78"/>
      <c r="G288" s="62"/>
      <c r="H288" s="62"/>
      <c r="I288" s="79"/>
    </row>
    <row r="289" spans="1:9" s="83" customFormat="1" x14ac:dyDescent="0.25">
      <c r="A289" s="79"/>
      <c r="B289" s="78"/>
      <c r="C289" s="61"/>
      <c r="D289" s="68"/>
      <c r="E289" s="62"/>
      <c r="F289" s="78"/>
      <c r="G289" s="62"/>
      <c r="H289" s="62"/>
      <c r="I289" s="79"/>
    </row>
    <row r="290" spans="1:9" s="83" customFormat="1" x14ac:dyDescent="0.25">
      <c r="A290" s="79"/>
      <c r="B290" s="78"/>
      <c r="C290" s="61"/>
      <c r="D290" s="68"/>
      <c r="E290" s="62"/>
      <c r="F290" s="78"/>
      <c r="G290" s="62"/>
      <c r="H290" s="62"/>
      <c r="I290" s="79"/>
    </row>
    <row r="291" spans="1:9" s="83" customFormat="1" x14ac:dyDescent="0.25">
      <c r="A291" s="79"/>
      <c r="B291" s="78"/>
      <c r="C291" s="61"/>
      <c r="D291" s="68"/>
      <c r="E291" s="62"/>
      <c r="F291" s="78"/>
      <c r="G291" s="62"/>
      <c r="H291" s="62"/>
      <c r="I291" s="79"/>
    </row>
    <row r="292" spans="1:9" s="83" customFormat="1" x14ac:dyDescent="0.25">
      <c r="A292" s="79"/>
      <c r="B292" s="78"/>
      <c r="C292" s="61"/>
      <c r="D292" s="68"/>
      <c r="E292" s="62"/>
      <c r="F292" s="78"/>
      <c r="G292" s="62"/>
      <c r="H292" s="62"/>
      <c r="I292" s="79"/>
    </row>
    <row r="293" spans="1:9" s="83" customFormat="1" x14ac:dyDescent="0.25">
      <c r="A293" s="79"/>
      <c r="B293" s="78"/>
      <c r="C293" s="61"/>
      <c r="D293" s="68"/>
      <c r="E293" s="62"/>
      <c r="F293" s="78"/>
      <c r="G293" s="62"/>
      <c r="H293" s="62"/>
      <c r="I293" s="79"/>
    </row>
    <row r="294" spans="1:9" s="83" customFormat="1" x14ac:dyDescent="0.25">
      <c r="A294" s="79"/>
      <c r="B294" s="78"/>
      <c r="C294" s="61"/>
      <c r="D294" s="68"/>
      <c r="E294" s="62"/>
      <c r="F294" s="78"/>
      <c r="G294" s="62"/>
      <c r="H294" s="62"/>
      <c r="I294" s="79"/>
    </row>
    <row r="295" spans="1:9" s="83" customFormat="1" x14ac:dyDescent="0.25">
      <c r="A295" s="79"/>
      <c r="B295" s="78"/>
      <c r="C295" s="61"/>
      <c r="D295" s="68"/>
      <c r="E295" s="62"/>
      <c r="F295" s="78"/>
      <c r="G295" s="62"/>
      <c r="H295" s="62"/>
      <c r="I295" s="79"/>
    </row>
    <row r="296" spans="1:9" s="83" customFormat="1" x14ac:dyDescent="0.25">
      <c r="A296" s="79"/>
      <c r="B296" s="78"/>
      <c r="C296" s="61"/>
      <c r="D296" s="68"/>
      <c r="E296" s="62"/>
      <c r="F296" s="78"/>
      <c r="G296" s="62"/>
      <c r="H296" s="62"/>
      <c r="I296" s="79"/>
    </row>
    <row r="297" spans="1:9" s="83" customFormat="1" x14ac:dyDescent="0.25">
      <c r="A297" s="79"/>
      <c r="B297" s="78"/>
      <c r="C297" s="61"/>
      <c r="D297" s="68"/>
      <c r="E297" s="62"/>
      <c r="F297" s="78"/>
      <c r="G297" s="62"/>
      <c r="H297" s="62"/>
      <c r="I297" s="79"/>
    </row>
    <row r="298" spans="1:9" s="83" customFormat="1" x14ac:dyDescent="0.25">
      <c r="A298" s="80"/>
      <c r="B298" s="86"/>
      <c r="C298" s="65"/>
      <c r="D298" s="67"/>
      <c r="E298" s="66"/>
      <c r="F298" s="86"/>
      <c r="G298" s="66"/>
      <c r="H298" s="66"/>
      <c r="I298" s="80"/>
    </row>
    <row r="299" spans="1:9" s="83" customFormat="1" x14ac:dyDescent="0.25">
      <c r="A299" s="81"/>
      <c r="B299" s="87"/>
      <c r="C299" s="55"/>
      <c r="D299" s="51"/>
      <c r="E299" s="57"/>
      <c r="F299" s="87"/>
      <c r="G299" s="57"/>
      <c r="H299" s="57"/>
      <c r="I299" s="81"/>
    </row>
    <row r="300" spans="1:9" s="83" customFormat="1" x14ac:dyDescent="0.25">
      <c r="A300" s="48"/>
      <c r="B300" s="87"/>
      <c r="C300" s="55"/>
      <c r="D300" s="51"/>
      <c r="E300" s="57"/>
      <c r="F300" s="87"/>
      <c r="G300" s="57"/>
      <c r="H300" s="57"/>
      <c r="I300" s="81"/>
    </row>
    <row r="301" spans="1:9" s="83" customFormat="1" x14ac:dyDescent="0.25">
      <c r="A301" s="48"/>
      <c r="B301" s="87"/>
      <c r="C301" s="55"/>
      <c r="D301" s="51"/>
      <c r="E301" s="57"/>
      <c r="F301" s="87"/>
      <c r="G301" s="57"/>
      <c r="H301" s="57"/>
      <c r="I301" s="81"/>
    </row>
    <row r="302" spans="1:9" s="83" customFormat="1" x14ac:dyDescent="0.25">
      <c r="A302" s="48"/>
      <c r="B302" s="87"/>
      <c r="C302" s="55"/>
      <c r="D302" s="51"/>
      <c r="E302" s="57"/>
      <c r="F302" s="87"/>
      <c r="G302" s="57"/>
      <c r="H302" s="57"/>
      <c r="I302" s="81"/>
    </row>
    <row r="303" spans="1:9" s="83" customFormat="1" x14ac:dyDescent="0.25">
      <c r="A303" s="48"/>
      <c r="B303" s="87"/>
      <c r="C303" s="55"/>
      <c r="D303" s="51"/>
      <c r="E303" s="57"/>
      <c r="F303" s="87"/>
      <c r="G303" s="57"/>
      <c r="H303" s="57"/>
      <c r="I303" s="81"/>
    </row>
    <row r="304" spans="1:9" s="83" customFormat="1" x14ac:dyDescent="0.25">
      <c r="A304" s="48"/>
      <c r="B304" s="87"/>
      <c r="C304" s="55"/>
      <c r="D304" s="51"/>
      <c r="E304" s="57"/>
      <c r="F304" s="87"/>
      <c r="G304" s="57"/>
      <c r="H304" s="57"/>
      <c r="I304" s="81"/>
    </row>
    <row r="305" spans="1:9" s="83" customFormat="1" x14ac:dyDescent="0.25">
      <c r="A305" s="48"/>
      <c r="B305" s="87"/>
      <c r="C305" s="55"/>
      <c r="D305" s="51"/>
      <c r="E305" s="57"/>
      <c r="F305" s="87"/>
      <c r="G305" s="57"/>
      <c r="H305" s="57"/>
      <c r="I305" s="81"/>
    </row>
    <row r="306" spans="1:9" s="83" customFormat="1" x14ac:dyDescent="0.25">
      <c r="A306" s="48"/>
      <c r="B306" s="87"/>
      <c r="C306" s="55"/>
      <c r="D306" s="51"/>
      <c r="E306" s="57"/>
      <c r="F306" s="87"/>
      <c r="G306" s="57"/>
      <c r="H306" s="57"/>
      <c r="I306" s="81"/>
    </row>
    <row r="307" spans="1:9" s="83" customFormat="1" x14ac:dyDescent="0.25">
      <c r="A307" s="48"/>
      <c r="B307" s="87"/>
      <c r="C307" s="55"/>
      <c r="D307" s="51"/>
      <c r="E307" s="57"/>
      <c r="F307" s="87"/>
      <c r="G307" s="57"/>
      <c r="H307" s="57"/>
      <c r="I307" s="81"/>
    </row>
    <row r="308" spans="1:9" s="83" customFormat="1" x14ac:dyDescent="0.25">
      <c r="A308" s="48"/>
      <c r="B308" s="87"/>
      <c r="C308" s="55"/>
      <c r="D308" s="51"/>
      <c r="E308" s="57"/>
      <c r="F308" s="87"/>
      <c r="G308" s="57"/>
      <c r="H308" s="57"/>
      <c r="I308" s="81"/>
    </row>
    <row r="309" spans="1:9" s="83" customFormat="1" x14ac:dyDescent="0.25">
      <c r="A309" s="48"/>
      <c r="B309" s="87"/>
      <c r="C309" s="55"/>
      <c r="D309" s="51"/>
      <c r="E309" s="57"/>
      <c r="F309" s="87"/>
      <c r="G309" s="57"/>
      <c r="H309" s="57"/>
      <c r="I309" s="81"/>
    </row>
    <row r="310" spans="1:9" s="83" customFormat="1" x14ac:dyDescent="0.25">
      <c r="A310" s="48"/>
      <c r="B310" s="87"/>
      <c r="C310" s="55"/>
      <c r="D310" s="51"/>
      <c r="E310" s="57"/>
      <c r="F310" s="87"/>
      <c r="G310" s="57"/>
      <c r="H310" s="57"/>
      <c r="I310" s="81"/>
    </row>
    <row r="311" spans="1:9" s="83" customFormat="1" x14ac:dyDescent="0.25">
      <c r="A311" s="48"/>
      <c r="B311" s="87"/>
      <c r="C311" s="55"/>
      <c r="D311" s="51"/>
      <c r="E311" s="57"/>
      <c r="F311" s="87"/>
      <c r="G311" s="57"/>
      <c r="H311" s="57"/>
      <c r="I311" s="81"/>
    </row>
    <row r="312" spans="1:9" s="83" customFormat="1" x14ac:dyDescent="0.25">
      <c r="A312" s="48"/>
      <c r="B312" s="87"/>
      <c r="C312" s="55"/>
      <c r="D312" s="51"/>
      <c r="E312" s="57"/>
      <c r="F312" s="87"/>
      <c r="G312" s="57"/>
      <c r="H312" s="57"/>
      <c r="I312" s="81"/>
    </row>
    <row r="313" spans="1:9" s="83" customFormat="1" x14ac:dyDescent="0.25">
      <c r="A313" s="48"/>
      <c r="B313" s="87"/>
      <c r="C313" s="55"/>
      <c r="D313" s="51"/>
      <c r="E313" s="57"/>
      <c r="F313" s="87"/>
      <c r="G313" s="57"/>
      <c r="H313" s="57"/>
      <c r="I313" s="81"/>
    </row>
    <row r="314" spans="1:9" s="83" customFormat="1" x14ac:dyDescent="0.25">
      <c r="A314" s="48"/>
      <c r="B314" s="87"/>
      <c r="C314" s="55"/>
      <c r="D314" s="51"/>
      <c r="E314" s="57"/>
      <c r="F314" s="87"/>
      <c r="G314" s="57"/>
      <c r="H314" s="57"/>
      <c r="I314" s="81"/>
    </row>
    <row r="315" spans="1:9" s="83" customFormat="1" x14ac:dyDescent="0.25">
      <c r="A315" s="48"/>
      <c r="B315" s="87"/>
      <c r="C315" s="55"/>
      <c r="D315" s="51"/>
      <c r="E315" s="57"/>
      <c r="F315" s="87"/>
      <c r="G315" s="57"/>
      <c r="H315" s="57"/>
      <c r="I315" s="81"/>
    </row>
    <row r="316" spans="1:9" s="83" customFormat="1" x14ac:dyDescent="0.25">
      <c r="A316" s="48"/>
      <c r="B316" s="87"/>
      <c r="C316" s="55"/>
      <c r="D316" s="51"/>
      <c r="E316" s="57"/>
      <c r="F316" s="87"/>
      <c r="G316" s="57"/>
      <c r="H316" s="57"/>
      <c r="I316" s="81"/>
    </row>
    <row r="317" spans="1:9" x14ac:dyDescent="0.25">
      <c r="A317" s="48"/>
      <c r="B317" s="87"/>
      <c r="C317" s="55"/>
      <c r="D317" s="51"/>
      <c r="E317" s="57"/>
      <c r="F317" s="87"/>
      <c r="G317" s="57"/>
      <c r="H317" s="57"/>
      <c r="I317" s="81"/>
    </row>
    <row r="318" spans="1:9" x14ac:dyDescent="0.25">
      <c r="A318" s="48"/>
      <c r="B318" s="87"/>
      <c r="C318" s="55"/>
      <c r="D318" s="51"/>
      <c r="E318" s="57"/>
      <c r="F318" s="87"/>
      <c r="G318" s="57"/>
      <c r="H318" s="57"/>
      <c r="I318" s="81"/>
    </row>
    <row r="319" spans="1:9" x14ac:dyDescent="0.25">
      <c r="A319" s="48"/>
      <c r="B319" s="87"/>
      <c r="C319" s="55"/>
      <c r="D319" s="51"/>
      <c r="E319" s="57"/>
      <c r="F319" s="87"/>
      <c r="G319" s="57"/>
      <c r="H319" s="57"/>
      <c r="I319" s="81"/>
    </row>
    <row r="320" spans="1:9" x14ac:dyDescent="0.25">
      <c r="A320" s="48"/>
      <c r="B320" s="87"/>
      <c r="C320" s="55"/>
      <c r="D320" s="51"/>
      <c r="E320" s="57"/>
      <c r="F320" s="87"/>
      <c r="G320" s="57"/>
      <c r="H320" s="57"/>
      <c r="I320" s="81"/>
    </row>
    <row r="321" spans="1:9" x14ac:dyDescent="0.25">
      <c r="A321" s="48"/>
      <c r="B321" s="87"/>
      <c r="C321" s="55"/>
      <c r="D321" s="51"/>
      <c r="E321" s="57"/>
      <c r="F321" s="87"/>
      <c r="G321" s="57"/>
      <c r="H321" s="57"/>
      <c r="I321" s="81"/>
    </row>
    <row r="322" spans="1:9" x14ac:dyDescent="0.25">
      <c r="A322" s="48"/>
      <c r="B322" s="87"/>
      <c r="C322" s="55"/>
      <c r="D322" s="51"/>
      <c r="E322" s="57"/>
      <c r="F322" s="87"/>
      <c r="G322" s="57"/>
      <c r="H322" s="57"/>
      <c r="I322" s="81"/>
    </row>
    <row r="323" spans="1:9" x14ac:dyDescent="0.25">
      <c r="A323" s="48"/>
      <c r="B323" s="87"/>
      <c r="C323" s="55"/>
      <c r="D323" s="51"/>
      <c r="E323" s="57"/>
      <c r="F323" s="87"/>
      <c r="G323" s="57"/>
      <c r="H323" s="57"/>
      <c r="I323" s="81"/>
    </row>
    <row r="324" spans="1:9" x14ac:dyDescent="0.25">
      <c r="A324" s="48"/>
      <c r="B324" s="87"/>
      <c r="C324" s="55"/>
      <c r="D324" s="51"/>
      <c r="E324" s="57"/>
      <c r="F324" s="87"/>
      <c r="G324" s="57"/>
      <c r="H324" s="57"/>
      <c r="I324" s="81"/>
    </row>
    <row r="325" spans="1:9" x14ac:dyDescent="0.25">
      <c r="A325" s="48"/>
      <c r="B325" s="87"/>
      <c r="C325" s="55"/>
      <c r="D325" s="51"/>
      <c r="E325" s="57"/>
      <c r="F325" s="87"/>
      <c r="G325" s="57"/>
      <c r="H325" s="57"/>
      <c r="I325" s="81"/>
    </row>
    <row r="326" spans="1:9" x14ac:dyDescent="0.25">
      <c r="A326" s="48"/>
      <c r="B326" s="87"/>
      <c r="C326" s="55"/>
      <c r="D326" s="51"/>
      <c r="E326" s="57"/>
      <c r="F326" s="87"/>
      <c r="G326" s="57"/>
      <c r="H326" s="57"/>
      <c r="I326" s="48"/>
    </row>
    <row r="327" spans="1:9" x14ac:dyDescent="0.25">
      <c r="A327" s="48"/>
      <c r="B327" s="87"/>
      <c r="C327" s="55"/>
      <c r="D327" s="51"/>
      <c r="E327" s="57"/>
      <c r="F327" s="87"/>
      <c r="G327" s="57"/>
      <c r="H327" s="57"/>
      <c r="I327" s="48"/>
    </row>
    <row r="328" spans="1:9" x14ac:dyDescent="0.25">
      <c r="A328" s="48"/>
      <c r="B328" s="87"/>
      <c r="C328" s="55"/>
      <c r="D328" s="51"/>
      <c r="E328" s="57"/>
      <c r="F328" s="87"/>
      <c r="G328" s="57"/>
      <c r="H328" s="57"/>
      <c r="I328" s="48"/>
    </row>
    <row r="329" spans="1:9" x14ac:dyDescent="0.25">
      <c r="A329" s="48"/>
      <c r="B329" s="87"/>
      <c r="C329" s="55"/>
      <c r="D329" s="51"/>
      <c r="E329" s="57"/>
      <c r="F329" s="87"/>
      <c r="G329" s="57"/>
      <c r="H329" s="57"/>
      <c r="I329" s="48"/>
    </row>
    <row r="330" spans="1:9" x14ac:dyDescent="0.25">
      <c r="A330" s="48"/>
      <c r="B330" s="87"/>
      <c r="C330" s="55"/>
      <c r="D330" s="51"/>
      <c r="E330" s="57"/>
      <c r="F330" s="87"/>
      <c r="G330" s="57"/>
      <c r="H330" s="57"/>
      <c r="I330" s="48"/>
    </row>
    <row r="331" spans="1:9" x14ac:dyDescent="0.25">
      <c r="A331" s="48"/>
      <c r="B331" s="87"/>
      <c r="C331" s="55"/>
      <c r="D331" s="51"/>
      <c r="E331" s="57"/>
      <c r="F331" s="87"/>
      <c r="G331" s="57"/>
      <c r="H331" s="57"/>
      <c r="I331" s="48"/>
    </row>
    <row r="332" spans="1:9" x14ac:dyDescent="0.25">
      <c r="A332" s="48"/>
      <c r="B332" s="87"/>
      <c r="C332" s="55"/>
      <c r="D332" s="51"/>
      <c r="E332" s="57"/>
      <c r="F332" s="87"/>
      <c r="G332" s="57"/>
      <c r="H332" s="57"/>
      <c r="I332" s="48"/>
    </row>
    <row r="333" spans="1:9" x14ac:dyDescent="0.25">
      <c r="G333" s="57"/>
      <c r="H333" s="57"/>
      <c r="I333" s="48"/>
    </row>
    <row r="334" spans="1:9" x14ac:dyDescent="0.25">
      <c r="G334" s="57"/>
      <c r="H334" s="57"/>
      <c r="I334" s="48"/>
    </row>
    <row r="335" spans="1:9" x14ac:dyDescent="0.25">
      <c r="G335" s="57"/>
      <c r="H335" s="57"/>
      <c r="I335" s="48"/>
    </row>
    <row r="336" spans="1:9" x14ac:dyDescent="0.25">
      <c r="G336" s="57"/>
      <c r="H336" s="57"/>
      <c r="I336" s="48"/>
    </row>
    <row r="337" spans="7:9" x14ac:dyDescent="0.25">
      <c r="G337" s="57"/>
      <c r="H337" s="57"/>
      <c r="I337" s="48"/>
    </row>
  </sheetData>
  <mergeCells count="3">
    <mergeCell ref="J1:J3"/>
    <mergeCell ref="K1:K3"/>
    <mergeCell ref="A1:D1"/>
  </mergeCells>
  <dataValidations count="1">
    <dataValidation type="list" allowBlank="1" showInputMessage="1" showErrorMessage="1" sqref="A3" xr:uid="{8E5F9D32-B3AC-4EB7-A5B7-2342EA4AA08B}">
      <formula1>INDIRECT("Вид[Наименование]")</formula1>
    </dataValidation>
  </dataValidations>
  <pageMargins left="0.25" right="0.25" top="0.75" bottom="0.75" header="0.3" footer="0.3"/>
  <pageSetup paperSize="9" scale="75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DAF53-2197-4988-B678-0A92B5E5EA23}">
  <sheetPr codeName="Лист4">
    <pageSetUpPr fitToPage="1"/>
  </sheetPr>
  <dimension ref="A1:N98"/>
  <sheetViews>
    <sheetView zoomScaleNormal="100" workbookViewId="0">
      <pane ySplit="4" topLeftCell="A44" activePane="bottomLeft" state="frozen"/>
      <selection activeCell="A2" sqref="A2:J2"/>
      <selection pane="bottomLeft" activeCell="D51" sqref="D51"/>
    </sheetView>
  </sheetViews>
  <sheetFormatPr defaultRowHeight="15" outlineLevelRow="1" x14ac:dyDescent="0.25"/>
  <cols>
    <col min="1" max="1" width="5" customWidth="1"/>
    <col min="2" max="2" width="23.71093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95"/>
      <c r="B1" s="95"/>
      <c r="C1" s="95"/>
      <c r="D1" s="95"/>
      <c r="E1" s="95"/>
      <c r="F1" s="95"/>
      <c r="G1" s="95"/>
      <c r="H1" s="95"/>
      <c r="I1" s="95"/>
      <c r="J1" s="96" t="s">
        <v>94</v>
      </c>
    </row>
    <row r="2" spans="1:14" ht="33.75" customHeight="1" x14ac:dyDescent="0.4">
      <c r="A2" s="309" t="s">
        <v>239</v>
      </c>
      <c r="B2" s="309"/>
      <c r="C2" s="309"/>
      <c r="D2" s="309"/>
      <c r="E2" s="309"/>
      <c r="F2" s="309"/>
      <c r="G2" s="309"/>
      <c r="H2" s="309"/>
      <c r="I2" s="309"/>
      <c r="J2" s="309"/>
    </row>
    <row r="3" spans="1:14" x14ac:dyDescent="0.25">
      <c r="A3" s="310" t="s">
        <v>0</v>
      </c>
      <c r="B3" s="311" t="s">
        <v>97</v>
      </c>
      <c r="C3" s="310" t="s">
        <v>1</v>
      </c>
      <c r="D3" s="313" t="s">
        <v>23</v>
      </c>
      <c r="E3" s="310" t="s">
        <v>96</v>
      </c>
      <c r="F3" s="310" t="s">
        <v>3</v>
      </c>
      <c r="G3" s="310"/>
      <c r="H3" s="314" t="s">
        <v>2</v>
      </c>
      <c r="I3" s="315"/>
      <c r="J3" s="313" t="s">
        <v>93</v>
      </c>
    </row>
    <row r="4" spans="1:14" ht="32.25" customHeight="1" x14ac:dyDescent="0.25">
      <c r="A4" s="310"/>
      <c r="B4" s="312"/>
      <c r="C4" s="310"/>
      <c r="D4" s="310"/>
      <c r="E4" s="310"/>
      <c r="F4" s="97" t="s">
        <v>0</v>
      </c>
      <c r="G4" s="97" t="s">
        <v>4</v>
      </c>
      <c r="H4" s="97" t="s">
        <v>0</v>
      </c>
      <c r="I4" s="97" t="s">
        <v>4</v>
      </c>
      <c r="J4" s="310"/>
    </row>
    <row r="5" spans="1:14" ht="14.25" customHeight="1" x14ac:dyDescent="0.25">
      <c r="A5" s="98">
        <v>1</v>
      </c>
      <c r="B5" s="98">
        <v>2</v>
      </c>
      <c r="C5" s="98">
        <v>3</v>
      </c>
      <c r="D5" s="98">
        <v>4</v>
      </c>
      <c r="E5" s="98">
        <v>5</v>
      </c>
      <c r="F5" s="98">
        <v>6</v>
      </c>
      <c r="G5" s="98">
        <v>7</v>
      </c>
      <c r="H5" s="98">
        <v>8</v>
      </c>
      <c r="I5" s="98">
        <v>9</v>
      </c>
      <c r="J5" s="98">
        <v>10</v>
      </c>
      <c r="M5" s="18"/>
    </row>
    <row r="6" spans="1:14" x14ac:dyDescent="0.25">
      <c r="A6" s="305" t="s">
        <v>5</v>
      </c>
      <c r="B6" s="305"/>
      <c r="C6" s="305"/>
      <c r="D6" s="305"/>
      <c r="E6" s="305"/>
      <c r="F6" s="305"/>
      <c r="G6" s="305"/>
      <c r="H6" s="305"/>
      <c r="I6" s="305"/>
      <c r="J6" s="305"/>
    </row>
    <row r="7" spans="1:14" x14ac:dyDescent="0.25">
      <c r="A7" s="99"/>
      <c r="B7" s="99"/>
      <c r="C7" s="100"/>
      <c r="D7" s="101"/>
      <c r="E7" s="102"/>
      <c r="F7" s="98"/>
      <c r="G7" s="98"/>
      <c r="H7" s="98"/>
      <c r="I7" s="98"/>
      <c r="J7" s="98"/>
    </row>
    <row r="8" spans="1:14" hidden="1" outlineLevel="1" x14ac:dyDescent="0.25">
      <c r="A8" s="103"/>
      <c r="B8" s="103"/>
      <c r="C8" s="104"/>
      <c r="D8" s="105"/>
      <c r="E8" s="106"/>
      <c r="F8" s="98"/>
      <c r="G8" s="98"/>
      <c r="H8" s="98"/>
      <c r="I8" s="98"/>
      <c r="J8" s="98"/>
    </row>
    <row r="9" spans="1:14" hidden="1" outlineLevel="1" x14ac:dyDescent="0.25">
      <c r="A9" s="103"/>
      <c r="B9" s="103"/>
      <c r="C9" s="104"/>
      <c r="D9" s="105"/>
      <c r="E9" s="106"/>
      <c r="F9" s="98"/>
      <c r="G9" s="98"/>
      <c r="H9" s="98"/>
      <c r="I9" s="98"/>
      <c r="J9" s="98"/>
    </row>
    <row r="10" spans="1:14" hidden="1" outlineLevel="1" x14ac:dyDescent="0.25">
      <c r="A10" s="103"/>
      <c r="B10" s="103"/>
      <c r="C10" s="104"/>
      <c r="D10" s="105"/>
      <c r="E10" s="106"/>
      <c r="F10" s="98"/>
      <c r="G10" s="98"/>
      <c r="H10" s="98"/>
      <c r="I10" s="98"/>
      <c r="J10" s="98"/>
    </row>
    <row r="11" spans="1:14" hidden="1" outlineLevel="1" x14ac:dyDescent="0.25">
      <c r="A11" s="103"/>
      <c r="B11" s="103"/>
      <c r="C11" s="104"/>
      <c r="D11" s="105"/>
      <c r="E11" s="106"/>
      <c r="F11" s="98"/>
      <c r="G11" s="98"/>
      <c r="H11" s="98"/>
      <c r="I11" s="98"/>
      <c r="J11" s="98"/>
    </row>
    <row r="12" spans="1:14" s="1" customFormat="1" collapsed="1" x14ac:dyDescent="0.25">
      <c r="A12" s="218" t="s">
        <v>17</v>
      </c>
      <c r="B12" s="219"/>
      <c r="C12" s="219" t="str">
        <f>"за "&amp;LOWER($A$6)</f>
        <v>за январь</v>
      </c>
      <c r="D12" s="220">
        <f>COUNTA(янв_пр)</f>
        <v>0</v>
      </c>
      <c r="E12" s="221">
        <f>SUM(янв_кол)</f>
        <v>0</v>
      </c>
      <c r="F12" s="222">
        <f>COUNTA(акт_вх_янв)+COUNTA(акт_отб_янв)</f>
        <v>0</v>
      </c>
      <c r="G12" s="223"/>
      <c r="H12" s="223"/>
      <c r="I12" s="223"/>
      <c r="J12" s="224">
        <f>SUM(кол_отб_янв)</f>
        <v>0</v>
      </c>
    </row>
    <row r="13" spans="1:14" x14ac:dyDescent="0.25">
      <c r="A13" s="306" t="s">
        <v>6</v>
      </c>
      <c r="B13" s="306"/>
      <c r="C13" s="306"/>
      <c r="D13" s="306"/>
      <c r="E13" s="306"/>
      <c r="F13" s="306"/>
      <c r="G13" s="306"/>
      <c r="H13" s="306"/>
      <c r="I13" s="306"/>
      <c r="J13" s="306"/>
      <c r="L13" s="1"/>
      <c r="M13" s="1"/>
      <c r="N13" s="1"/>
    </row>
    <row r="14" spans="1:14" x14ac:dyDescent="0.25">
      <c r="A14" s="197">
        <v>1</v>
      </c>
      <c r="B14" s="198" t="s">
        <v>66</v>
      </c>
      <c r="C14" s="199" t="s">
        <v>197</v>
      </c>
      <c r="D14" s="200">
        <v>43864</v>
      </c>
      <c r="E14" s="201">
        <v>17944</v>
      </c>
      <c r="F14" s="202"/>
      <c r="G14" s="202"/>
      <c r="H14" s="202"/>
      <c r="I14" s="202"/>
      <c r="J14" s="202"/>
      <c r="L14" s="1"/>
      <c r="M14" s="1"/>
      <c r="N14" s="1"/>
    </row>
    <row r="15" spans="1:14" ht="14.25" customHeight="1" x14ac:dyDescent="0.25">
      <c r="A15" s="196">
        <v>2</v>
      </c>
      <c r="B15" s="203" t="s">
        <v>66</v>
      </c>
      <c r="C15" s="204" t="s">
        <v>121</v>
      </c>
      <c r="D15" s="205">
        <v>43875</v>
      </c>
      <c r="E15" s="206">
        <v>18085</v>
      </c>
      <c r="F15" s="207"/>
      <c r="G15" s="207"/>
      <c r="H15" s="207"/>
      <c r="I15" s="207"/>
      <c r="J15" s="207"/>
      <c r="L15" s="1"/>
      <c r="M15" s="1"/>
      <c r="N15" s="1"/>
    </row>
    <row r="16" spans="1:14" ht="16.5" customHeight="1" outlineLevel="1" x14ac:dyDescent="0.25">
      <c r="A16" s="196">
        <v>3</v>
      </c>
      <c r="B16" s="208" t="s">
        <v>69</v>
      </c>
      <c r="C16" s="209" t="s">
        <v>143</v>
      </c>
      <c r="D16" s="210">
        <v>43880</v>
      </c>
      <c r="E16" s="211">
        <v>18150</v>
      </c>
      <c r="F16" s="207"/>
      <c r="G16" s="207"/>
      <c r="H16" s="207"/>
      <c r="I16" s="207"/>
      <c r="J16" s="207"/>
      <c r="L16" s="1"/>
      <c r="M16" s="1"/>
      <c r="N16" s="1"/>
    </row>
    <row r="17" spans="1:14" ht="15.75" customHeight="1" outlineLevel="1" x14ac:dyDescent="0.25">
      <c r="A17" s="196">
        <v>4</v>
      </c>
      <c r="B17" s="212" t="s">
        <v>66</v>
      </c>
      <c r="C17" s="193" t="s">
        <v>149</v>
      </c>
      <c r="D17" s="194">
        <v>43887</v>
      </c>
      <c r="E17" s="213">
        <v>19500</v>
      </c>
      <c r="F17" s="207"/>
      <c r="G17" s="207"/>
      <c r="H17" s="207"/>
      <c r="I17" s="207"/>
      <c r="J17" s="207"/>
      <c r="L17" s="1"/>
      <c r="M17" s="1"/>
      <c r="N17" s="1"/>
    </row>
    <row r="18" spans="1:14" ht="18" customHeight="1" outlineLevel="1" x14ac:dyDescent="0.25">
      <c r="A18" s="196">
        <v>5</v>
      </c>
      <c r="B18" s="214" t="s">
        <v>66</v>
      </c>
      <c r="C18" s="215" t="s">
        <v>160</v>
      </c>
      <c r="D18" s="216">
        <v>43889</v>
      </c>
      <c r="E18" s="217">
        <v>18079</v>
      </c>
      <c r="F18" s="207"/>
      <c r="G18" s="207"/>
      <c r="H18" s="207"/>
      <c r="I18" s="207"/>
      <c r="J18" s="207"/>
      <c r="L18" s="1"/>
      <c r="M18" s="63"/>
      <c r="N18" s="1"/>
    </row>
    <row r="19" spans="1:14" x14ac:dyDescent="0.25">
      <c r="A19" s="218" t="s">
        <v>17</v>
      </c>
      <c r="B19" s="219"/>
      <c r="C19" s="219" t="str">
        <f>"за "&amp;LOWER($A$13)</f>
        <v>за февраль</v>
      </c>
      <c r="D19" s="220">
        <v>5</v>
      </c>
      <c r="E19" s="221">
        <f>SUM(фев_кол)+E14</f>
        <v>91758</v>
      </c>
      <c r="F19" s="222">
        <f>COUNTA(акт_вх_фев)+COUNTA(акт_отб_фев)</f>
        <v>0</v>
      </c>
      <c r="G19" s="223"/>
      <c r="H19" s="223"/>
      <c r="I19" s="223"/>
      <c r="J19" s="224">
        <f>SUM(кол_отб_фев)</f>
        <v>0</v>
      </c>
      <c r="L19" s="1"/>
      <c r="M19" s="1"/>
      <c r="N19" s="1"/>
    </row>
    <row r="20" spans="1:14" x14ac:dyDescent="0.25">
      <c r="A20" s="307" t="s">
        <v>7</v>
      </c>
      <c r="B20" s="307"/>
      <c r="C20" s="307"/>
      <c r="D20" s="307"/>
      <c r="E20" s="307"/>
      <c r="F20" s="307"/>
      <c r="G20" s="307"/>
      <c r="H20" s="307"/>
      <c r="I20" s="307"/>
      <c r="J20" s="307"/>
      <c r="L20" s="1"/>
      <c r="M20" s="1"/>
      <c r="N20" s="1"/>
    </row>
    <row r="21" spans="1:14" x14ac:dyDescent="0.25">
      <c r="A21" s="196">
        <v>6</v>
      </c>
      <c r="B21" s="192" t="s">
        <v>67</v>
      </c>
      <c r="C21" s="193" t="s">
        <v>161</v>
      </c>
      <c r="D21" s="194">
        <v>43896</v>
      </c>
      <c r="E21" s="213">
        <v>19500</v>
      </c>
      <c r="F21" s="207"/>
      <c r="G21" s="207"/>
      <c r="H21" s="207"/>
      <c r="I21" s="207"/>
      <c r="J21" s="207"/>
      <c r="L21" s="1"/>
      <c r="M21" s="1"/>
      <c r="N21" s="1"/>
    </row>
    <row r="22" spans="1:14" outlineLevel="1" x14ac:dyDescent="0.25">
      <c r="A22" s="196">
        <v>7</v>
      </c>
      <c r="B22" s="225" t="s">
        <v>66</v>
      </c>
      <c r="C22" s="209" t="s">
        <v>165</v>
      </c>
      <c r="D22" s="210">
        <v>43906</v>
      </c>
      <c r="E22" s="226">
        <v>18143</v>
      </c>
      <c r="F22" s="207"/>
      <c r="G22" s="207"/>
      <c r="H22" s="207"/>
      <c r="I22" s="207"/>
      <c r="J22" s="207"/>
      <c r="L22" s="1"/>
      <c r="M22" s="1"/>
      <c r="N22" s="1"/>
    </row>
    <row r="23" spans="1:14" outlineLevel="1" x14ac:dyDescent="0.25">
      <c r="A23" s="196">
        <v>8</v>
      </c>
      <c r="B23" s="192" t="s">
        <v>66</v>
      </c>
      <c r="C23" s="193" t="s">
        <v>168</v>
      </c>
      <c r="D23" s="194">
        <v>43909</v>
      </c>
      <c r="E23" s="195">
        <v>18261</v>
      </c>
      <c r="F23" s="207"/>
      <c r="G23" s="207"/>
      <c r="H23" s="207"/>
      <c r="I23" s="207"/>
      <c r="J23" s="207"/>
      <c r="L23" s="1"/>
      <c r="M23" s="1"/>
      <c r="N23" s="1"/>
    </row>
    <row r="24" spans="1:14" outlineLevel="1" x14ac:dyDescent="0.25">
      <c r="A24" s="196">
        <v>9</v>
      </c>
      <c r="B24" s="225" t="s">
        <v>66</v>
      </c>
      <c r="C24" s="215" t="s">
        <v>169</v>
      </c>
      <c r="D24" s="216">
        <v>43913</v>
      </c>
      <c r="E24" s="227">
        <v>17945</v>
      </c>
      <c r="F24" s="207"/>
      <c r="G24" s="207"/>
      <c r="H24" s="207"/>
      <c r="I24" s="207"/>
      <c r="J24" s="207"/>
      <c r="L24" s="1"/>
      <c r="M24" s="1"/>
      <c r="N24" s="1"/>
    </row>
    <row r="25" spans="1:14" outlineLevel="1" x14ac:dyDescent="0.25">
      <c r="A25" s="196">
        <v>10</v>
      </c>
      <c r="B25" s="192" t="s">
        <v>66</v>
      </c>
      <c r="C25" s="193" t="s">
        <v>170</v>
      </c>
      <c r="D25" s="194">
        <v>43915</v>
      </c>
      <c r="E25" s="195">
        <v>17580</v>
      </c>
      <c r="F25" s="207"/>
      <c r="G25" s="207"/>
      <c r="H25" s="207"/>
      <c r="I25" s="207"/>
      <c r="J25" s="207"/>
      <c r="L25" s="1"/>
      <c r="M25" s="1"/>
      <c r="N25" s="1"/>
    </row>
    <row r="26" spans="1:14" x14ac:dyDescent="0.25">
      <c r="A26" s="218" t="s">
        <v>17</v>
      </c>
      <c r="B26" s="219"/>
      <c r="C26" s="219" t="str">
        <f>"за "&amp;LOWER($A$20)</f>
        <v>за март</v>
      </c>
      <c r="D26" s="220">
        <f>COUNTA(мрт_пр)</f>
        <v>5</v>
      </c>
      <c r="E26" s="221">
        <f>SUM(мрт_кол)</f>
        <v>91429</v>
      </c>
      <c r="F26" s="222">
        <f>COUNTA(акт_вх_мрт)+COUNTA(акт_отб_мрт)</f>
        <v>0</v>
      </c>
      <c r="G26" s="255"/>
      <c r="H26" s="255"/>
      <c r="I26" s="255"/>
      <c r="J26" s="224">
        <f>SUM(кол_отб_мрт)</f>
        <v>0</v>
      </c>
      <c r="L26" s="1"/>
      <c r="M26" s="1"/>
      <c r="N26" s="1"/>
    </row>
    <row r="27" spans="1:14" ht="31.5" customHeight="1" x14ac:dyDescent="0.25">
      <c r="A27" s="256" t="s">
        <v>17</v>
      </c>
      <c r="B27" s="257"/>
      <c r="C27" s="257" t="s">
        <v>18</v>
      </c>
      <c r="D27" s="258">
        <f>SUM(D12,D19,D26)</f>
        <v>10</v>
      </c>
      <c r="E27" s="259">
        <f>SUM(E12,E19,E26)</f>
        <v>183187</v>
      </c>
      <c r="F27" s="260">
        <f>SUM(F12,F19,F26)</f>
        <v>0</v>
      </c>
      <c r="G27" s="257"/>
      <c r="H27" s="257" t="str">
        <f>"Кп= "&amp;ROUNDDOWN((F27/D27)*100,1)&amp;"%"</f>
        <v>Кп= 0%</v>
      </c>
      <c r="I27" s="257" t="str">
        <f>"Км= "&amp;ROUNDDOWN((J27/E27)*100,2)&amp;"%"</f>
        <v>Км= 0%</v>
      </c>
      <c r="J27" s="261">
        <f>SUM(J12,J19,J26)</f>
        <v>0</v>
      </c>
      <c r="L27" s="1"/>
      <c r="M27" s="1"/>
      <c r="N27" s="1"/>
    </row>
    <row r="28" spans="1:14" ht="18" hidden="1" customHeight="1" outlineLevel="1" x14ac:dyDescent="0.25">
      <c r="A28" s="218" t="s">
        <v>20</v>
      </c>
      <c r="B28" s="219"/>
      <c r="C28" s="219"/>
      <c r="D28" s="262"/>
      <c r="E28" s="219"/>
      <c r="F28" s="219"/>
      <c r="G28" s="219" t="s">
        <v>21</v>
      </c>
      <c r="H28" s="219"/>
      <c r="I28" s="219"/>
      <c r="J28" s="263"/>
      <c r="L28" s="1"/>
      <c r="M28" s="1"/>
      <c r="N28" s="1"/>
    </row>
    <row r="29" spans="1:14" collapsed="1" x14ac:dyDescent="0.25">
      <c r="A29" s="308" t="s">
        <v>8</v>
      </c>
      <c r="B29" s="308"/>
      <c r="C29" s="308"/>
      <c r="D29" s="308"/>
      <c r="E29" s="308"/>
      <c r="F29" s="308"/>
      <c r="G29" s="308"/>
      <c r="H29" s="308"/>
      <c r="I29" s="308"/>
      <c r="J29" s="308"/>
      <c r="L29" s="1"/>
      <c r="M29" s="1"/>
      <c r="N29" s="1"/>
    </row>
    <row r="30" spans="1:14" s="138" customFormat="1" x14ac:dyDescent="0.25">
      <c r="A30" s="264">
        <v>11</v>
      </c>
      <c r="B30" s="265" t="s">
        <v>66</v>
      </c>
      <c r="C30" s="266" t="s">
        <v>176</v>
      </c>
      <c r="D30" s="267">
        <v>43938</v>
      </c>
      <c r="E30" s="248">
        <v>17916</v>
      </c>
      <c r="F30" s="268"/>
      <c r="G30" s="268"/>
      <c r="H30" s="268"/>
      <c r="I30" s="268"/>
      <c r="J30" s="268"/>
      <c r="L30" s="230"/>
      <c r="M30" s="230"/>
      <c r="N30" s="230"/>
    </row>
    <row r="31" spans="1:14" s="138" customFormat="1" outlineLevel="1" x14ac:dyDescent="0.25">
      <c r="A31" s="264">
        <v>12</v>
      </c>
      <c r="B31" s="265" t="s">
        <v>66</v>
      </c>
      <c r="C31" s="266" t="s">
        <v>177</v>
      </c>
      <c r="D31" s="267">
        <v>43943</v>
      </c>
      <c r="E31" s="248">
        <v>18494</v>
      </c>
      <c r="F31" s="268"/>
      <c r="G31" s="268"/>
      <c r="H31" s="268"/>
      <c r="I31" s="268"/>
      <c r="J31" s="268"/>
      <c r="L31" s="230"/>
      <c r="M31" s="230"/>
      <c r="N31" s="230"/>
    </row>
    <row r="32" spans="1:14" s="138" customFormat="1" outlineLevel="1" x14ac:dyDescent="0.25">
      <c r="A32" s="264">
        <v>13</v>
      </c>
      <c r="B32" s="265" t="s">
        <v>67</v>
      </c>
      <c r="C32" s="266" t="s">
        <v>126</v>
      </c>
      <c r="D32" s="267">
        <v>43943</v>
      </c>
      <c r="E32" s="248">
        <v>19500</v>
      </c>
      <c r="F32" s="268"/>
      <c r="G32" s="268"/>
      <c r="H32" s="268"/>
      <c r="I32" s="268"/>
      <c r="J32" s="268"/>
      <c r="L32" s="230"/>
      <c r="M32" s="230"/>
      <c r="N32" s="230"/>
    </row>
    <row r="33" spans="1:14" s="138" customFormat="1" outlineLevel="1" x14ac:dyDescent="0.25">
      <c r="A33" s="264">
        <v>14</v>
      </c>
      <c r="B33" s="265" t="s">
        <v>66</v>
      </c>
      <c r="C33" s="266" t="s">
        <v>180</v>
      </c>
      <c r="D33" s="267">
        <v>43951</v>
      </c>
      <c r="E33" s="248">
        <v>18360</v>
      </c>
      <c r="F33" s="268"/>
      <c r="G33" s="268"/>
      <c r="H33" s="268"/>
      <c r="I33" s="268"/>
      <c r="J33" s="268"/>
      <c r="L33" s="230"/>
      <c r="M33" s="230"/>
      <c r="N33" s="230"/>
    </row>
    <row r="34" spans="1:14" s="138" customFormat="1" x14ac:dyDescent="0.25">
      <c r="A34" s="269" t="s">
        <v>17</v>
      </c>
      <c r="B34" s="270"/>
      <c r="C34" s="270" t="str">
        <f>"за "&amp;LOWER($A$29)</f>
        <v>за апрель</v>
      </c>
      <c r="D34" s="271">
        <f>COUNTA(апр_пр)</f>
        <v>4</v>
      </c>
      <c r="E34" s="272">
        <f>SUM(апр_кол)</f>
        <v>74270</v>
      </c>
      <c r="F34" s="273">
        <f>COUNTA(акт_вх_апр)+COUNTA(акт_отб_апр)</f>
        <v>0</v>
      </c>
      <c r="G34" s="274"/>
      <c r="H34" s="274"/>
      <c r="I34" s="274"/>
      <c r="J34" s="275">
        <f>SUM(кол_отб_апр)</f>
        <v>0</v>
      </c>
      <c r="L34" s="230"/>
      <c r="M34" s="230"/>
      <c r="N34" s="230"/>
    </row>
    <row r="35" spans="1:14" x14ac:dyDescent="0.25">
      <c r="A35" s="308" t="s">
        <v>9</v>
      </c>
      <c r="B35" s="308"/>
      <c r="C35" s="308"/>
      <c r="D35" s="308"/>
      <c r="E35" s="308"/>
      <c r="F35" s="308"/>
      <c r="G35" s="308"/>
      <c r="H35" s="308"/>
      <c r="I35" s="308"/>
      <c r="J35" s="308"/>
      <c r="L35" s="1"/>
      <c r="M35" s="1"/>
      <c r="N35" s="1"/>
    </row>
    <row r="36" spans="1:14" x14ac:dyDescent="0.25">
      <c r="A36" s="276">
        <v>15</v>
      </c>
      <c r="B36" s="265" t="s">
        <v>66</v>
      </c>
      <c r="C36" s="266" t="s">
        <v>189</v>
      </c>
      <c r="D36" s="267">
        <v>43965</v>
      </c>
      <c r="E36" s="248">
        <v>18212</v>
      </c>
      <c r="F36" s="277"/>
      <c r="G36" s="277"/>
      <c r="H36" s="277"/>
      <c r="I36" s="277"/>
      <c r="J36" s="277"/>
      <c r="L36" s="1"/>
      <c r="M36" s="1"/>
      <c r="N36" s="1"/>
    </row>
    <row r="37" spans="1:14" outlineLevel="1" x14ac:dyDescent="0.25">
      <c r="A37" s="278">
        <v>16</v>
      </c>
      <c r="B37" s="265" t="s">
        <v>67</v>
      </c>
      <c r="C37" s="266" t="s">
        <v>198</v>
      </c>
      <c r="D37" s="267">
        <v>43971</v>
      </c>
      <c r="E37" s="279">
        <v>19500</v>
      </c>
      <c r="F37" s="280"/>
      <c r="G37" s="280"/>
      <c r="H37" s="280"/>
      <c r="I37" s="280"/>
      <c r="J37" s="280"/>
      <c r="L37" s="1"/>
      <c r="M37" s="1"/>
      <c r="N37" s="1"/>
    </row>
    <row r="38" spans="1:14" outlineLevel="1" x14ac:dyDescent="0.25">
      <c r="A38" s="278">
        <v>17</v>
      </c>
      <c r="B38" s="265" t="s">
        <v>66</v>
      </c>
      <c r="C38" s="266" t="s">
        <v>202</v>
      </c>
      <c r="D38" s="267">
        <v>43974</v>
      </c>
      <c r="E38" s="279">
        <v>18670</v>
      </c>
      <c r="F38" s="280"/>
      <c r="G38" s="280"/>
      <c r="H38" s="280"/>
      <c r="I38" s="280"/>
      <c r="J38" s="280"/>
      <c r="L38" s="1"/>
      <c r="M38" s="1"/>
      <c r="N38" s="1"/>
    </row>
    <row r="39" spans="1:14" outlineLevel="1" x14ac:dyDescent="0.25">
      <c r="A39" s="278">
        <v>18</v>
      </c>
      <c r="B39" s="265" t="s">
        <v>66</v>
      </c>
      <c r="C39" s="266" t="s">
        <v>203</v>
      </c>
      <c r="D39" s="267">
        <v>43978</v>
      </c>
      <c r="E39" s="279">
        <v>19061</v>
      </c>
      <c r="F39" s="280"/>
      <c r="G39" s="280"/>
      <c r="H39" s="280"/>
      <c r="I39" s="280"/>
      <c r="J39" s="280"/>
      <c r="L39" s="1"/>
      <c r="M39" s="1"/>
      <c r="N39" s="1"/>
    </row>
    <row r="40" spans="1:14" outlineLevel="1" x14ac:dyDescent="0.25">
      <c r="A40" s="281">
        <v>19</v>
      </c>
      <c r="B40" s="265" t="s">
        <v>66</v>
      </c>
      <c r="C40" s="266" t="s">
        <v>206</v>
      </c>
      <c r="D40" s="267">
        <v>43979</v>
      </c>
      <c r="E40" s="279">
        <v>19052</v>
      </c>
      <c r="F40" s="282"/>
      <c r="G40" s="282"/>
      <c r="H40" s="282"/>
      <c r="I40" s="282"/>
      <c r="J40" s="282"/>
    </row>
    <row r="41" spans="1:14" x14ac:dyDescent="0.25">
      <c r="A41" s="269" t="s">
        <v>17</v>
      </c>
      <c r="B41" s="270"/>
      <c r="C41" s="270" t="str">
        <f>"за "&amp;LOWER($A$35)</f>
        <v>за май</v>
      </c>
      <c r="D41" s="271">
        <f>COUNTA(май_пр)</f>
        <v>5</v>
      </c>
      <c r="E41" s="272">
        <f>SUM(май_кол)</f>
        <v>94495</v>
      </c>
      <c r="F41" s="273">
        <f>COUNTA(акт_вх_май)+COUNTA(акт_отб_май)</f>
        <v>0</v>
      </c>
      <c r="G41" s="274"/>
      <c r="H41" s="274"/>
      <c r="I41" s="274"/>
      <c r="J41" s="275">
        <f>SUM(кол_отб_май)</f>
        <v>0</v>
      </c>
    </row>
    <row r="42" spans="1:14" x14ac:dyDescent="0.25">
      <c r="A42" s="308" t="s">
        <v>10</v>
      </c>
      <c r="B42" s="308"/>
      <c r="C42" s="308"/>
      <c r="D42" s="308"/>
      <c r="E42" s="308"/>
      <c r="F42" s="308"/>
      <c r="G42" s="308"/>
      <c r="H42" s="308"/>
      <c r="I42" s="308"/>
      <c r="J42" s="308"/>
    </row>
    <row r="43" spans="1:14" s="138" customFormat="1" x14ac:dyDescent="0.25">
      <c r="A43" s="283">
        <v>20</v>
      </c>
      <c r="B43" s="265" t="s">
        <v>66</v>
      </c>
      <c r="C43" s="266" t="s">
        <v>210</v>
      </c>
      <c r="D43" s="267">
        <v>43990</v>
      </c>
      <c r="E43" s="279">
        <v>18564</v>
      </c>
      <c r="F43" s="284"/>
      <c r="G43" s="284"/>
      <c r="H43" s="284"/>
      <c r="I43" s="284"/>
      <c r="J43" s="284"/>
    </row>
    <row r="44" spans="1:14" s="138" customFormat="1" outlineLevel="1" x14ac:dyDescent="0.25">
      <c r="A44" s="283">
        <v>21</v>
      </c>
      <c r="B44" s="265" t="s">
        <v>66</v>
      </c>
      <c r="C44" s="266" t="s">
        <v>214</v>
      </c>
      <c r="D44" s="267">
        <v>43998</v>
      </c>
      <c r="E44" s="279">
        <v>18631</v>
      </c>
      <c r="F44" s="284"/>
      <c r="G44" s="284"/>
      <c r="H44" s="284"/>
      <c r="I44" s="284"/>
      <c r="J44" s="284"/>
    </row>
    <row r="45" spans="1:14" s="138" customFormat="1" outlineLevel="1" x14ac:dyDescent="0.25">
      <c r="A45" s="283">
        <v>22</v>
      </c>
      <c r="B45" s="249" t="s">
        <v>66</v>
      </c>
      <c r="C45" s="285" t="s">
        <v>221</v>
      </c>
      <c r="D45" s="286">
        <v>44005</v>
      </c>
      <c r="E45" s="287">
        <v>18365</v>
      </c>
      <c r="F45" s="284"/>
      <c r="G45" s="284"/>
      <c r="H45" s="284"/>
      <c r="I45" s="284"/>
      <c r="J45" s="284"/>
    </row>
    <row r="46" spans="1:14" s="138" customFormat="1" x14ac:dyDescent="0.25">
      <c r="A46" s="269" t="s">
        <v>17</v>
      </c>
      <c r="B46" s="270"/>
      <c r="C46" s="270" t="str">
        <f>"за "&amp;LOWER($A$42)</f>
        <v>за июнь</v>
      </c>
      <c r="D46" s="271">
        <f>COUNTA(июн_пр)</f>
        <v>3</v>
      </c>
      <c r="E46" s="272">
        <f>SUM(июн_кол)</f>
        <v>55560</v>
      </c>
      <c r="F46" s="273">
        <f>COUNTA(акт_вх_июн)+COUNTA(акт_отб_июн)</f>
        <v>0</v>
      </c>
      <c r="G46" s="274"/>
      <c r="H46" s="274"/>
      <c r="I46" s="274"/>
      <c r="J46" s="275">
        <f>SUM(кол_отб_июн)</f>
        <v>0</v>
      </c>
    </row>
    <row r="47" spans="1:14" s="138" customFormat="1" ht="31.5" customHeight="1" x14ac:dyDescent="0.25">
      <c r="A47" s="288" t="s">
        <v>17</v>
      </c>
      <c r="B47" s="289"/>
      <c r="C47" s="289" t="s">
        <v>109</v>
      </c>
      <c r="D47" s="290">
        <f>SUM(D34,D41,D46)</f>
        <v>12</v>
      </c>
      <c r="E47" s="291">
        <f>SUM(E34,E41,E46)</f>
        <v>224325</v>
      </c>
      <c r="F47" s="292">
        <f>SUM(F34,F41,F46)</f>
        <v>0</v>
      </c>
      <c r="G47" s="289"/>
      <c r="H47" s="289" t="str">
        <f>"Кп= "&amp;ROUNDDOWN((F47/D47)*100,1)&amp;"%"</f>
        <v>Кп= 0%</v>
      </c>
      <c r="I47" s="289" t="str">
        <f>"Км= "&amp;ROUNDDOWN((J47/E47)*100,2)&amp;"%"</f>
        <v>Км= 0%</v>
      </c>
      <c r="J47" s="293">
        <f>SUM(J34,J41,J46)</f>
        <v>0</v>
      </c>
    </row>
    <row r="48" spans="1:14" s="138" customFormat="1" ht="31.5" customHeight="1" x14ac:dyDescent="0.25">
      <c r="A48" s="288" t="s">
        <v>17</v>
      </c>
      <c r="B48" s="289"/>
      <c r="C48" s="289" t="s">
        <v>110</v>
      </c>
      <c r="D48" s="290">
        <f>SUM(D27,D47)</f>
        <v>22</v>
      </c>
      <c r="E48" s="291">
        <f>SUM(E47,E27)</f>
        <v>407512</v>
      </c>
      <c r="F48" s="292">
        <f>SUM(F47,F27)</f>
        <v>0</v>
      </c>
      <c r="G48" s="289"/>
      <c r="H48" s="289" t="str">
        <f>"Кп= "&amp;ROUNDDOWN((F48/D48)*100,1)&amp;"%"</f>
        <v>Кп= 0%</v>
      </c>
      <c r="I48" s="289" t="str">
        <f>"Км= "&amp;ROUNDDOWN((J48/E48)*100,2)&amp;"%"</f>
        <v>Км= 0%</v>
      </c>
      <c r="J48" s="293">
        <f>SUM(J47,J27)</f>
        <v>0</v>
      </c>
    </row>
    <row r="49" spans="1:10" s="138" customFormat="1" ht="26.25" customHeight="1" outlineLevel="1" x14ac:dyDescent="0.25">
      <c r="A49" s="294" t="s">
        <v>20</v>
      </c>
      <c r="B49" s="294"/>
      <c r="C49" s="294"/>
      <c r="D49" s="295"/>
      <c r="E49" s="294"/>
      <c r="F49" s="294"/>
      <c r="G49" s="294" t="s">
        <v>21</v>
      </c>
      <c r="H49" s="294"/>
      <c r="I49" s="294"/>
      <c r="J49" s="294"/>
    </row>
    <row r="50" spans="1:10" x14ac:dyDescent="0.25">
      <c r="A50" s="308" t="s">
        <v>11</v>
      </c>
      <c r="B50" s="308"/>
      <c r="C50" s="308"/>
      <c r="D50" s="308"/>
      <c r="E50" s="308"/>
      <c r="F50" s="308"/>
      <c r="G50" s="308"/>
      <c r="H50" s="308"/>
      <c r="I50" s="308"/>
      <c r="J50" s="308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22</v>
      </c>
      <c r="E72" s="41">
        <f>SUM(E71,E48)</f>
        <v>407512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22</v>
      </c>
      <c r="E97" s="41">
        <f>SUM(E96,E72)</f>
        <v>407512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eNSl6O86QlCVQndtSLHAqaschfeoyW8lLktwGmA+2gKgroHI1zkGXtUPC0xkmKHAv+mbaX6WwqtmovF7idwFYw==" saltValue="+bcz4oy4RpKZYCHfUwDK2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20:J20"/>
    <mergeCell ref="A29:J29"/>
    <mergeCell ref="A35:J35"/>
    <mergeCell ref="A42:J42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3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2ACF4-9F36-4B30-9BC7-6471A7F4BCA6}">
  <sheetPr codeName="Лист5">
    <pageSetUpPr fitToPage="1"/>
  </sheetPr>
  <dimension ref="A1:N92"/>
  <sheetViews>
    <sheetView zoomScale="85" zoomScaleNormal="85" workbookViewId="0">
      <pane ySplit="4" topLeftCell="A5" activePane="bottomLeft" state="frozen"/>
      <selection activeCell="A2" sqref="A2:J2"/>
      <selection pane="bottomLeft" activeCell="D8" sqref="D8"/>
    </sheetView>
  </sheetViews>
  <sheetFormatPr defaultRowHeight="15" outlineLevelRow="1" x14ac:dyDescent="0.25"/>
  <cols>
    <col min="1" max="1" width="5" customWidth="1"/>
    <col min="2" max="2" width="37.57031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95"/>
      <c r="B1" s="95"/>
      <c r="C1" s="95"/>
      <c r="D1" s="95"/>
      <c r="E1" s="95"/>
      <c r="F1" s="95"/>
      <c r="G1" s="95"/>
      <c r="H1" s="95"/>
      <c r="I1" s="95"/>
      <c r="J1" s="96" t="s">
        <v>94</v>
      </c>
    </row>
    <row r="2" spans="1:14" ht="33.75" customHeight="1" x14ac:dyDescent="0.4">
      <c r="A2" s="309" t="s">
        <v>238</v>
      </c>
      <c r="B2" s="309"/>
      <c r="C2" s="309"/>
      <c r="D2" s="309"/>
      <c r="E2" s="309"/>
      <c r="F2" s="309"/>
      <c r="G2" s="309"/>
      <c r="H2" s="309"/>
      <c r="I2" s="309"/>
      <c r="J2" s="309"/>
    </row>
    <row r="3" spans="1:14" x14ac:dyDescent="0.25">
      <c r="A3" s="310" t="s">
        <v>0</v>
      </c>
      <c r="B3" s="311" t="s">
        <v>97</v>
      </c>
      <c r="C3" s="310" t="s">
        <v>1</v>
      </c>
      <c r="D3" s="313" t="s">
        <v>23</v>
      </c>
      <c r="E3" s="310" t="s">
        <v>96</v>
      </c>
      <c r="F3" s="310" t="s">
        <v>3</v>
      </c>
      <c r="G3" s="310"/>
      <c r="H3" s="314" t="s">
        <v>2</v>
      </c>
      <c r="I3" s="315"/>
      <c r="J3" s="313" t="s">
        <v>93</v>
      </c>
    </row>
    <row r="4" spans="1:14" ht="32.25" customHeight="1" x14ac:dyDescent="0.25">
      <c r="A4" s="310"/>
      <c r="B4" s="312"/>
      <c r="C4" s="310"/>
      <c r="D4" s="310"/>
      <c r="E4" s="310"/>
      <c r="F4" s="97" t="s">
        <v>0</v>
      </c>
      <c r="G4" s="97" t="s">
        <v>4</v>
      </c>
      <c r="H4" s="97" t="s">
        <v>0</v>
      </c>
      <c r="I4" s="97" t="s">
        <v>4</v>
      </c>
      <c r="J4" s="310"/>
    </row>
    <row r="5" spans="1:14" ht="14.25" customHeight="1" x14ac:dyDescent="0.25">
      <c r="A5" s="98">
        <v>1</v>
      </c>
      <c r="B5" s="98">
        <v>2</v>
      </c>
      <c r="C5" s="98">
        <v>3</v>
      </c>
      <c r="D5" s="98">
        <v>4</v>
      </c>
      <c r="E5" s="98">
        <v>5</v>
      </c>
      <c r="F5" s="98">
        <v>6</v>
      </c>
      <c r="G5" s="98">
        <v>7</v>
      </c>
      <c r="H5" s="98">
        <v>8</v>
      </c>
      <c r="I5" s="98">
        <v>9</v>
      </c>
      <c r="J5" s="98">
        <v>10</v>
      </c>
      <c r="M5" s="18"/>
    </row>
    <row r="6" spans="1:14" x14ac:dyDescent="0.25">
      <c r="A6" s="305" t="s">
        <v>5</v>
      </c>
      <c r="B6" s="305"/>
      <c r="C6" s="305"/>
      <c r="D6" s="305"/>
      <c r="E6" s="305"/>
      <c r="F6" s="305"/>
      <c r="G6" s="305"/>
      <c r="H6" s="305"/>
      <c r="I6" s="305"/>
      <c r="J6" s="305"/>
    </row>
    <row r="7" spans="1:14" ht="150" x14ac:dyDescent="0.25">
      <c r="A7" s="127">
        <v>1</v>
      </c>
      <c r="B7" s="128" t="s">
        <v>34</v>
      </c>
      <c r="C7" s="114" t="s">
        <v>119</v>
      </c>
      <c r="D7" s="115">
        <v>43847</v>
      </c>
      <c r="E7" s="116">
        <v>10000</v>
      </c>
      <c r="F7" s="129" t="s">
        <v>120</v>
      </c>
      <c r="G7" s="114" t="s">
        <v>127</v>
      </c>
      <c r="H7" s="66" t="s">
        <v>246</v>
      </c>
      <c r="I7" s="66" t="s">
        <v>247</v>
      </c>
      <c r="J7" s="298">
        <v>17.350000000000001</v>
      </c>
    </row>
    <row r="8" spans="1:14" ht="150" outlineLevel="1" x14ac:dyDescent="0.25">
      <c r="A8" s="127">
        <v>2</v>
      </c>
      <c r="B8" s="130" t="s">
        <v>34</v>
      </c>
      <c r="C8" s="117" t="s">
        <v>125</v>
      </c>
      <c r="D8" s="118">
        <v>43860</v>
      </c>
      <c r="E8" s="119">
        <v>9894</v>
      </c>
      <c r="F8" s="131" t="s">
        <v>124</v>
      </c>
      <c r="G8" s="117" t="s">
        <v>129</v>
      </c>
      <c r="H8" s="66" t="s">
        <v>246</v>
      </c>
      <c r="I8" s="66" t="s">
        <v>247</v>
      </c>
      <c r="J8" s="298">
        <v>17.350000000000001</v>
      </c>
    </row>
    <row r="9" spans="1:14" s="1" customFormat="1" x14ac:dyDescent="0.25">
      <c r="A9" s="107" t="s">
        <v>17</v>
      </c>
      <c r="B9" s="108"/>
      <c r="C9" s="108" t="str">
        <f>"за "&amp;LOWER($A$6)</f>
        <v>за январь</v>
      </c>
      <c r="D9" s="109">
        <f>COUNTA(янв_пр)</f>
        <v>2</v>
      </c>
      <c r="E9" s="110">
        <f>SUM(янв_кол)</f>
        <v>19894</v>
      </c>
      <c r="F9" s="111">
        <f>COUNTA(акт_вх_янв)</f>
        <v>2</v>
      </c>
      <c r="G9" s="112"/>
      <c r="H9" s="112"/>
      <c r="I9" s="112"/>
      <c r="J9" s="113">
        <f>SUM(кол_отб_янв)</f>
        <v>34.700000000000003</v>
      </c>
    </row>
    <row r="10" spans="1:14" x14ac:dyDescent="0.25">
      <c r="A10" s="316" t="s">
        <v>6</v>
      </c>
      <c r="B10" s="316"/>
      <c r="C10" s="316"/>
      <c r="D10" s="316"/>
      <c r="E10" s="316"/>
      <c r="F10" s="316"/>
      <c r="G10" s="316"/>
      <c r="H10" s="316"/>
      <c r="I10" s="316"/>
      <c r="J10" s="316"/>
      <c r="L10" s="1"/>
      <c r="M10" s="1"/>
      <c r="N10" s="1"/>
    </row>
    <row r="11" spans="1:14" ht="150" x14ac:dyDescent="0.25">
      <c r="A11" s="127">
        <v>3</v>
      </c>
      <c r="B11" s="128" t="s">
        <v>34</v>
      </c>
      <c r="C11" s="114" t="s">
        <v>135</v>
      </c>
      <c r="D11" s="115">
        <v>43867</v>
      </c>
      <c r="E11" s="116">
        <v>9898</v>
      </c>
      <c r="F11" s="129" t="s">
        <v>150</v>
      </c>
      <c r="G11" s="114" t="s">
        <v>129</v>
      </c>
      <c r="H11" s="66" t="s">
        <v>246</v>
      </c>
      <c r="I11" s="66" t="s">
        <v>247</v>
      </c>
      <c r="J11" s="298">
        <v>17.350000000000001</v>
      </c>
      <c r="L11" s="1"/>
      <c r="M11" s="1"/>
      <c r="N11" s="1"/>
    </row>
    <row r="12" spans="1:14" ht="150" outlineLevel="1" x14ac:dyDescent="0.25">
      <c r="A12" s="127">
        <v>4</v>
      </c>
      <c r="B12" s="132" t="s">
        <v>34</v>
      </c>
      <c r="C12" s="117" t="s">
        <v>141</v>
      </c>
      <c r="D12" s="118">
        <v>43875</v>
      </c>
      <c r="E12" s="119">
        <v>9910</v>
      </c>
      <c r="F12" s="131" t="s">
        <v>154</v>
      </c>
      <c r="G12" s="117" t="s">
        <v>129</v>
      </c>
      <c r="H12" s="66" t="s">
        <v>246</v>
      </c>
      <c r="I12" s="66" t="s">
        <v>247</v>
      </c>
      <c r="J12" s="298">
        <v>17.350000000000001</v>
      </c>
      <c r="L12" s="1"/>
      <c r="M12" s="1"/>
      <c r="N12" s="1"/>
    </row>
    <row r="13" spans="1:14" ht="60" outlineLevel="1" x14ac:dyDescent="0.25">
      <c r="A13" s="127">
        <v>5</v>
      </c>
      <c r="B13" s="133" t="s">
        <v>34</v>
      </c>
      <c r="C13" s="114" t="s">
        <v>145</v>
      </c>
      <c r="D13" s="115">
        <v>43880</v>
      </c>
      <c r="E13" s="116">
        <v>9900</v>
      </c>
      <c r="F13" s="129" t="s">
        <v>155</v>
      </c>
      <c r="G13" s="114" t="s">
        <v>129</v>
      </c>
      <c r="H13" s="166" t="s">
        <v>217</v>
      </c>
      <c r="I13" s="166" t="s">
        <v>218</v>
      </c>
      <c r="J13" s="162">
        <v>7.47</v>
      </c>
      <c r="L13" s="1"/>
      <c r="M13" s="1"/>
      <c r="N13" s="1"/>
    </row>
    <row r="14" spans="1:14" ht="60" outlineLevel="1" x14ac:dyDescent="0.25">
      <c r="A14" s="127">
        <v>6</v>
      </c>
      <c r="B14" s="134" t="s">
        <v>34</v>
      </c>
      <c r="C14" s="123" t="s">
        <v>151</v>
      </c>
      <c r="D14" s="124">
        <v>43873</v>
      </c>
      <c r="E14" s="125">
        <v>9900</v>
      </c>
      <c r="F14" s="135" t="s">
        <v>152</v>
      </c>
      <c r="G14" s="123" t="s">
        <v>153</v>
      </c>
      <c r="H14" s="166" t="s">
        <v>217</v>
      </c>
      <c r="I14" s="166" t="s">
        <v>218</v>
      </c>
      <c r="J14" s="162">
        <v>7.47</v>
      </c>
      <c r="L14" s="1"/>
      <c r="M14" s="1"/>
      <c r="N14" s="1"/>
    </row>
    <row r="15" spans="1:14" ht="60" outlineLevel="1" x14ac:dyDescent="0.25">
      <c r="A15" s="127">
        <v>7</v>
      </c>
      <c r="B15" s="136" t="s">
        <v>34</v>
      </c>
      <c r="C15" s="120" t="s">
        <v>158</v>
      </c>
      <c r="D15" s="121">
        <v>43888</v>
      </c>
      <c r="E15" s="122">
        <v>10248</v>
      </c>
      <c r="F15" s="137" t="s">
        <v>159</v>
      </c>
      <c r="G15" s="120" t="s">
        <v>129</v>
      </c>
      <c r="H15" s="166" t="s">
        <v>217</v>
      </c>
      <c r="I15" s="166" t="s">
        <v>218</v>
      </c>
      <c r="J15" s="162">
        <v>7.47</v>
      </c>
      <c r="L15" s="1"/>
      <c r="M15" s="1"/>
      <c r="N15" s="1"/>
    </row>
    <row r="16" spans="1:14" x14ac:dyDescent="0.25">
      <c r="A16" s="107" t="s">
        <v>17</v>
      </c>
      <c r="B16" s="108"/>
      <c r="C16" s="108" t="str">
        <f>"за "&amp;LOWER($A$10)</f>
        <v>за февраль</v>
      </c>
      <c r="D16" s="109">
        <f>COUNTA(фев_пр)</f>
        <v>5</v>
      </c>
      <c r="E16" s="110">
        <f>SUM(фев_кол)</f>
        <v>49856</v>
      </c>
      <c r="F16" s="111">
        <f>COUNTA(акт_вх_фев)</f>
        <v>5</v>
      </c>
      <c r="G16" s="112"/>
      <c r="H16" s="112"/>
      <c r="I16" s="112"/>
      <c r="J16" s="113">
        <f>SUM(кол_отб_фев)</f>
        <v>57.11</v>
      </c>
      <c r="L16" s="1"/>
      <c r="M16" s="1"/>
      <c r="N16" s="1"/>
    </row>
    <row r="17" spans="1:14" x14ac:dyDescent="0.25">
      <c r="A17" s="305" t="s">
        <v>7</v>
      </c>
      <c r="B17" s="305"/>
      <c r="C17" s="305"/>
      <c r="D17" s="305"/>
      <c r="E17" s="305"/>
      <c r="F17" s="305"/>
      <c r="G17" s="305"/>
      <c r="H17" s="305"/>
      <c r="I17" s="305"/>
      <c r="J17" s="305"/>
      <c r="L17" s="1"/>
      <c r="M17" s="1"/>
      <c r="N17" s="1"/>
    </row>
    <row r="18" spans="1:14" ht="60" x14ac:dyDescent="0.25">
      <c r="A18" s="127">
        <v>8</v>
      </c>
      <c r="B18" s="185" t="s">
        <v>34</v>
      </c>
      <c r="C18" s="188" t="s">
        <v>194</v>
      </c>
      <c r="D18" s="146">
        <v>43896</v>
      </c>
      <c r="E18" s="189">
        <v>4056</v>
      </c>
      <c r="F18" s="148" t="s">
        <v>196</v>
      </c>
      <c r="G18" s="181" t="s">
        <v>153</v>
      </c>
      <c r="H18" s="166" t="s">
        <v>217</v>
      </c>
      <c r="I18" s="166" t="s">
        <v>218</v>
      </c>
      <c r="J18" s="162">
        <v>7.47</v>
      </c>
      <c r="L18" s="1"/>
      <c r="M18" s="1"/>
      <c r="N18" s="1"/>
    </row>
    <row r="19" spans="1:14" ht="60" x14ac:dyDescent="0.25">
      <c r="A19" s="127">
        <v>9</v>
      </c>
      <c r="B19" s="185" t="s">
        <v>34</v>
      </c>
      <c r="C19" s="188" t="s">
        <v>195</v>
      </c>
      <c r="D19" s="146">
        <v>43897</v>
      </c>
      <c r="E19" s="189">
        <v>5850</v>
      </c>
      <c r="F19" s="148" t="s">
        <v>196</v>
      </c>
      <c r="G19" s="181" t="s">
        <v>153</v>
      </c>
      <c r="H19" s="166" t="s">
        <v>217</v>
      </c>
      <c r="I19" s="166" t="s">
        <v>218</v>
      </c>
      <c r="J19" s="162">
        <v>7.47</v>
      </c>
      <c r="L19" s="1"/>
      <c r="M19" s="1"/>
      <c r="N19" s="1"/>
    </row>
    <row r="20" spans="1:14" ht="60" x14ac:dyDescent="0.25">
      <c r="A20" s="127">
        <v>10</v>
      </c>
      <c r="B20" s="180" t="s">
        <v>34</v>
      </c>
      <c r="C20" s="181" t="s">
        <v>167</v>
      </c>
      <c r="D20" s="182">
        <v>43909</v>
      </c>
      <c r="E20" s="190">
        <v>9898</v>
      </c>
      <c r="F20" s="66" t="s">
        <v>232</v>
      </c>
      <c r="G20" s="86" t="s">
        <v>129</v>
      </c>
      <c r="H20" s="166" t="s">
        <v>217</v>
      </c>
      <c r="I20" s="166" t="s">
        <v>218</v>
      </c>
      <c r="J20" s="162">
        <v>7.47</v>
      </c>
      <c r="L20" s="1"/>
      <c r="M20" s="1"/>
      <c r="N20" s="1"/>
    </row>
    <row r="21" spans="1:14" ht="60" outlineLevel="1" x14ac:dyDescent="0.25">
      <c r="A21" s="127">
        <v>11</v>
      </c>
      <c r="B21" s="162" t="s">
        <v>34</v>
      </c>
      <c r="C21" s="163" t="s">
        <v>171</v>
      </c>
      <c r="D21" s="164">
        <v>43915</v>
      </c>
      <c r="E21" s="165">
        <v>10254</v>
      </c>
      <c r="F21" s="166" t="s">
        <v>191</v>
      </c>
      <c r="G21" s="145"/>
      <c r="H21" s="166" t="s">
        <v>217</v>
      </c>
      <c r="I21" s="166" t="s">
        <v>218</v>
      </c>
      <c r="J21" s="162">
        <v>7.47</v>
      </c>
      <c r="L21" s="1"/>
      <c r="M21" s="1"/>
      <c r="N21" s="1"/>
    </row>
    <row r="22" spans="1:14" x14ac:dyDescent="0.25">
      <c r="A22" s="107" t="s">
        <v>17</v>
      </c>
      <c r="B22" s="108"/>
      <c r="C22" s="108" t="str">
        <f>"за "&amp;LOWER($A$17)</f>
        <v>за март</v>
      </c>
      <c r="D22" s="109">
        <f>COUNTA(мрт_пр)</f>
        <v>4</v>
      </c>
      <c r="E22" s="110">
        <f>SUM(мрт_кол)</f>
        <v>30058</v>
      </c>
      <c r="F22" s="111">
        <f>COUNTA(акт_вх_мрт)</f>
        <v>4</v>
      </c>
      <c r="G22" s="126"/>
      <c r="H22" s="126"/>
      <c r="I22" s="126"/>
      <c r="J22" s="113">
        <f>SUM(кол_отб_мрт)</f>
        <v>29.88</v>
      </c>
      <c r="L22" s="1"/>
      <c r="M22" s="1"/>
      <c r="N22" s="1"/>
    </row>
    <row r="23" spans="1:14" ht="31.5" customHeight="1" x14ac:dyDescent="0.25">
      <c r="A23" s="168" t="s">
        <v>17</v>
      </c>
      <c r="B23" s="169"/>
      <c r="C23" s="169" t="s">
        <v>18</v>
      </c>
      <c r="D23" s="170">
        <f>SUM(D9,D16,D22)</f>
        <v>11</v>
      </c>
      <c r="E23" s="171">
        <f>SUM(E9,E16,E22)</f>
        <v>99808</v>
      </c>
      <c r="F23" s="172">
        <f>SUM(F9,F16,F22)</f>
        <v>11</v>
      </c>
      <c r="G23" s="169"/>
      <c r="H23" s="169" t="str">
        <f>"Кп= "&amp;ROUNDDOWN((F23/D23)*100,1)&amp;"%"</f>
        <v>Кп= 100%</v>
      </c>
      <c r="I23" s="169" t="str">
        <f>"Км= "&amp;ROUNDDOWN((J23/E23)*100,2)&amp;"%"</f>
        <v>Км= 0,12%</v>
      </c>
      <c r="J23" s="173">
        <f>SUM(J9,J16,J22)</f>
        <v>121.69</v>
      </c>
      <c r="L23" s="1"/>
      <c r="M23" s="1"/>
      <c r="N23" s="1"/>
    </row>
    <row r="24" spans="1:14" ht="14.25" hidden="1" customHeight="1" outlineLevel="1" x14ac:dyDescent="0.25">
      <c r="A24" s="153" t="s">
        <v>20</v>
      </c>
      <c r="B24" s="154"/>
      <c r="C24" s="154"/>
      <c r="D24" s="174"/>
      <c r="E24" s="154"/>
      <c r="F24" s="154"/>
      <c r="G24" s="154" t="s">
        <v>21</v>
      </c>
      <c r="H24" s="154"/>
      <c r="I24" s="154"/>
      <c r="J24" s="175"/>
      <c r="L24" s="1"/>
      <c r="M24" s="1"/>
      <c r="N24" s="1"/>
    </row>
    <row r="25" spans="1:14" collapsed="1" x14ac:dyDescent="0.25">
      <c r="A25" s="317" t="s">
        <v>8</v>
      </c>
      <c r="B25" s="317"/>
      <c r="C25" s="317"/>
      <c r="D25" s="317"/>
      <c r="E25" s="317"/>
      <c r="F25" s="317"/>
      <c r="G25" s="317"/>
      <c r="H25" s="317"/>
      <c r="I25" s="317"/>
      <c r="J25" s="317"/>
      <c r="L25" s="1"/>
      <c r="M25" s="1"/>
      <c r="N25" s="1"/>
    </row>
    <row r="26" spans="1:14" ht="60" x14ac:dyDescent="0.25">
      <c r="A26" s="143">
        <v>12</v>
      </c>
      <c r="B26" s="180" t="s">
        <v>34</v>
      </c>
      <c r="C26" s="181" t="s">
        <v>175</v>
      </c>
      <c r="D26" s="182">
        <v>43937</v>
      </c>
      <c r="E26" s="190">
        <v>10000</v>
      </c>
      <c r="F26" s="191" t="s">
        <v>191</v>
      </c>
      <c r="G26" s="241"/>
      <c r="H26" s="166" t="s">
        <v>217</v>
      </c>
      <c r="I26" s="166" t="s">
        <v>218</v>
      </c>
      <c r="J26" s="162">
        <v>7.47</v>
      </c>
      <c r="L26" s="1"/>
      <c r="M26" s="1"/>
      <c r="N26" s="1"/>
    </row>
    <row r="27" spans="1:14" ht="60" outlineLevel="1" x14ac:dyDescent="0.25">
      <c r="A27" s="242">
        <v>13</v>
      </c>
      <c r="B27" s="180" t="s">
        <v>34</v>
      </c>
      <c r="C27" s="181" t="s">
        <v>179</v>
      </c>
      <c r="D27" s="182">
        <v>43944</v>
      </c>
      <c r="E27" s="190">
        <v>10294</v>
      </c>
      <c r="F27" s="191" t="s">
        <v>191</v>
      </c>
      <c r="G27" s="241"/>
      <c r="H27" s="166" t="s">
        <v>217</v>
      </c>
      <c r="I27" s="166" t="s">
        <v>218</v>
      </c>
      <c r="J27" s="162">
        <v>7.47</v>
      </c>
      <c r="L27" s="1"/>
      <c r="M27" s="1"/>
      <c r="N27" s="1"/>
    </row>
    <row r="28" spans="1:14" ht="60" outlineLevel="1" x14ac:dyDescent="0.25">
      <c r="A28" s="242">
        <v>14</v>
      </c>
      <c r="B28" s="180" t="s">
        <v>34</v>
      </c>
      <c r="C28" s="181" t="s">
        <v>181</v>
      </c>
      <c r="D28" s="182">
        <v>43951</v>
      </c>
      <c r="E28" s="190">
        <v>10004</v>
      </c>
      <c r="F28" s="191" t="s">
        <v>191</v>
      </c>
      <c r="G28" s="241"/>
      <c r="H28" s="166" t="s">
        <v>217</v>
      </c>
      <c r="I28" s="166" t="s">
        <v>218</v>
      </c>
      <c r="J28" s="162">
        <v>7.47</v>
      </c>
      <c r="L28" s="1"/>
      <c r="M28" s="1"/>
      <c r="N28" s="1"/>
    </row>
    <row r="29" spans="1:14" x14ac:dyDescent="0.25">
      <c r="A29" s="153" t="s">
        <v>17</v>
      </c>
      <c r="B29" s="154"/>
      <c r="C29" s="154" t="str">
        <f>"за "&amp;LOWER($A$25)</f>
        <v>за апрель</v>
      </c>
      <c r="D29" s="155">
        <f>COUNTA(апр_пр)</f>
        <v>3</v>
      </c>
      <c r="E29" s="156">
        <f>SUM(апр_кол)</f>
        <v>30298</v>
      </c>
      <c r="F29" s="157">
        <f>COUNTA(акт_вх_апр)</f>
        <v>3</v>
      </c>
      <c r="G29" s="167"/>
      <c r="H29" s="167"/>
      <c r="I29" s="167"/>
      <c r="J29" s="159">
        <f>SUM(кол_отб_апр)</f>
        <v>22.41</v>
      </c>
      <c r="L29" s="1"/>
      <c r="M29" s="1"/>
      <c r="N29" s="1"/>
    </row>
    <row r="30" spans="1:14" x14ac:dyDescent="0.25">
      <c r="A30" s="318" t="s">
        <v>9</v>
      </c>
      <c r="B30" s="318"/>
      <c r="C30" s="318"/>
      <c r="D30" s="318"/>
      <c r="E30" s="318"/>
      <c r="F30" s="318"/>
      <c r="G30" s="318"/>
      <c r="H30" s="318"/>
      <c r="I30" s="318"/>
      <c r="J30" s="318"/>
      <c r="L30" s="1"/>
      <c r="M30" s="1"/>
      <c r="N30" s="1"/>
    </row>
    <row r="31" spans="1:14" ht="60" x14ac:dyDescent="0.25">
      <c r="A31" s="143">
        <v>15</v>
      </c>
      <c r="B31" s="180" t="s">
        <v>34</v>
      </c>
      <c r="C31" s="181" t="s">
        <v>184</v>
      </c>
      <c r="D31" s="182">
        <v>43963</v>
      </c>
      <c r="E31" s="190">
        <v>9768</v>
      </c>
      <c r="F31" s="191" t="s">
        <v>191</v>
      </c>
      <c r="G31" s="181"/>
      <c r="H31" s="166" t="s">
        <v>217</v>
      </c>
      <c r="I31" s="166" t="s">
        <v>218</v>
      </c>
      <c r="J31" s="162">
        <v>7.47</v>
      </c>
      <c r="L31" s="1"/>
      <c r="M31" s="1"/>
      <c r="N31" s="1"/>
    </row>
    <row r="32" spans="1:14" ht="60" outlineLevel="1" x14ac:dyDescent="0.25">
      <c r="A32" s="234">
        <v>16</v>
      </c>
      <c r="B32" s="180" t="s">
        <v>34</v>
      </c>
      <c r="C32" s="181" t="s">
        <v>188</v>
      </c>
      <c r="D32" s="182">
        <v>43964</v>
      </c>
      <c r="E32" s="190">
        <v>10098</v>
      </c>
      <c r="F32" s="191" t="s">
        <v>191</v>
      </c>
      <c r="G32" s="181"/>
      <c r="H32" s="166" t="s">
        <v>217</v>
      </c>
      <c r="I32" s="166" t="s">
        <v>218</v>
      </c>
      <c r="J32" s="162">
        <v>7.47</v>
      </c>
      <c r="L32" s="1"/>
      <c r="M32" s="1"/>
      <c r="N32" s="1"/>
    </row>
    <row r="33" spans="1:14" ht="60" outlineLevel="1" x14ac:dyDescent="0.25">
      <c r="A33" s="234">
        <v>17</v>
      </c>
      <c r="B33" s="180" t="s">
        <v>34</v>
      </c>
      <c r="C33" s="181" t="s">
        <v>199</v>
      </c>
      <c r="D33" s="182">
        <v>43973</v>
      </c>
      <c r="E33" s="183">
        <v>9750</v>
      </c>
      <c r="F33" s="191" t="s">
        <v>0</v>
      </c>
      <c r="G33" s="181"/>
      <c r="H33" s="166" t="s">
        <v>217</v>
      </c>
      <c r="I33" s="166" t="s">
        <v>218</v>
      </c>
      <c r="J33" s="162">
        <v>7.47</v>
      </c>
      <c r="L33" s="1"/>
      <c r="M33" s="1"/>
      <c r="N33" s="1"/>
    </row>
    <row r="34" spans="1:14" ht="60" outlineLevel="1" x14ac:dyDescent="0.25">
      <c r="A34" s="234">
        <v>18</v>
      </c>
      <c r="B34" s="180" t="s">
        <v>34</v>
      </c>
      <c r="C34" s="181" t="s">
        <v>204</v>
      </c>
      <c r="D34" s="182">
        <v>43978</v>
      </c>
      <c r="E34" s="183">
        <v>10036</v>
      </c>
      <c r="F34" s="191" t="s">
        <v>205</v>
      </c>
      <c r="G34" s="181" t="s">
        <v>129</v>
      </c>
      <c r="H34" s="166" t="s">
        <v>217</v>
      </c>
      <c r="I34" s="166" t="s">
        <v>218</v>
      </c>
      <c r="J34" s="162">
        <v>7.47</v>
      </c>
      <c r="L34" s="1"/>
      <c r="M34" s="1"/>
      <c r="N34" s="1"/>
    </row>
    <row r="35" spans="1:14" x14ac:dyDescent="0.25">
      <c r="A35" s="153" t="s">
        <v>17</v>
      </c>
      <c r="B35" s="154"/>
      <c r="C35" s="154" t="str">
        <f>"за "&amp;LOWER($A$30)</f>
        <v>за май</v>
      </c>
      <c r="D35" s="155">
        <f>COUNTA(май_пр)</f>
        <v>4</v>
      </c>
      <c r="E35" s="156">
        <f>SUM(май_кол)</f>
        <v>39652</v>
      </c>
      <c r="F35" s="157">
        <f>COUNTA(акт_вх_май)</f>
        <v>4</v>
      </c>
      <c r="G35" s="167"/>
      <c r="H35" s="167"/>
      <c r="I35" s="167"/>
      <c r="J35" s="159">
        <f>SUM(кол_отб_май)</f>
        <v>29.88</v>
      </c>
    </row>
    <row r="36" spans="1:14" x14ac:dyDescent="0.25">
      <c r="A36" s="318" t="s">
        <v>10</v>
      </c>
      <c r="B36" s="318"/>
      <c r="C36" s="318"/>
      <c r="D36" s="318"/>
      <c r="E36" s="318"/>
      <c r="F36" s="318"/>
      <c r="G36" s="318"/>
      <c r="H36" s="318"/>
      <c r="I36" s="318"/>
      <c r="J36" s="318"/>
    </row>
    <row r="37" spans="1:14" ht="60" x14ac:dyDescent="0.25">
      <c r="A37" s="143">
        <v>19</v>
      </c>
      <c r="B37" s="180" t="s">
        <v>34</v>
      </c>
      <c r="C37" s="181" t="s">
        <v>207</v>
      </c>
      <c r="D37" s="182">
        <v>43985</v>
      </c>
      <c r="E37" s="183">
        <v>10006</v>
      </c>
      <c r="F37" s="191" t="s">
        <v>240</v>
      </c>
      <c r="G37" s="181"/>
      <c r="H37" s="166" t="s">
        <v>217</v>
      </c>
      <c r="I37" s="166" t="s">
        <v>218</v>
      </c>
      <c r="J37" s="162">
        <v>7.47</v>
      </c>
    </row>
    <row r="38" spans="1:14" ht="60" outlineLevel="1" x14ac:dyDescent="0.25">
      <c r="A38" s="143">
        <v>20</v>
      </c>
      <c r="B38" s="180" t="s">
        <v>34</v>
      </c>
      <c r="C38" s="181" t="s">
        <v>211</v>
      </c>
      <c r="D38" s="182">
        <v>43991</v>
      </c>
      <c r="E38" s="183">
        <v>10000</v>
      </c>
      <c r="F38" s="191" t="s">
        <v>212</v>
      </c>
      <c r="G38" s="181" t="s">
        <v>129</v>
      </c>
      <c r="H38" s="166" t="s">
        <v>217</v>
      </c>
      <c r="I38" s="166" t="s">
        <v>218</v>
      </c>
      <c r="J38" s="162">
        <v>7.47</v>
      </c>
    </row>
    <row r="39" spans="1:14" ht="60" outlineLevel="1" x14ac:dyDescent="0.25">
      <c r="A39" s="143">
        <v>21</v>
      </c>
      <c r="B39" s="162" t="s">
        <v>34</v>
      </c>
      <c r="C39" s="163" t="s">
        <v>215</v>
      </c>
      <c r="D39" s="164">
        <v>43998</v>
      </c>
      <c r="E39" s="186">
        <v>10002</v>
      </c>
      <c r="F39" s="166" t="s">
        <v>216</v>
      </c>
      <c r="G39" s="163" t="s">
        <v>129</v>
      </c>
      <c r="H39" s="166" t="s">
        <v>217</v>
      </c>
      <c r="I39" s="166" t="s">
        <v>218</v>
      </c>
      <c r="J39" s="162">
        <v>7.47</v>
      </c>
    </row>
    <row r="40" spans="1:14" x14ac:dyDescent="0.25">
      <c r="A40" s="153" t="s">
        <v>17</v>
      </c>
      <c r="B40" s="154"/>
      <c r="C40" s="154" t="str">
        <f>"за "&amp;LOWER($A$36)</f>
        <v>за июнь</v>
      </c>
      <c r="D40" s="155">
        <f>COUNTA(июн_пр)</f>
        <v>3</v>
      </c>
      <c r="E40" s="156">
        <f>SUM(июн_кол)</f>
        <v>30008</v>
      </c>
      <c r="F40" s="157">
        <f>COUNTA(акт_вх_июн)</f>
        <v>3</v>
      </c>
      <c r="G40" s="167"/>
      <c r="H40" s="167"/>
      <c r="I40" s="167"/>
      <c r="J40" s="159">
        <f>SUM(кол_отб_июн)</f>
        <v>22.41</v>
      </c>
    </row>
    <row r="41" spans="1:14" ht="31.5" customHeight="1" x14ac:dyDescent="0.25">
      <c r="A41" s="168" t="s">
        <v>17</v>
      </c>
      <c r="B41" s="169"/>
      <c r="C41" s="169" t="s">
        <v>109</v>
      </c>
      <c r="D41" s="170">
        <f>SUM(D29,D35,D40)</f>
        <v>10</v>
      </c>
      <c r="E41" s="171">
        <f>SUM(E29,E35,E40)</f>
        <v>99958</v>
      </c>
      <c r="F41" s="172">
        <f>SUM(F29,F35,F40)</f>
        <v>10</v>
      </c>
      <c r="G41" s="169"/>
      <c r="H41" s="169" t="str">
        <f>"Кп= "&amp;ROUNDDOWN((F41/D41)*100,1)&amp;"%"</f>
        <v>Кп= 100%</v>
      </c>
      <c r="I41" s="169" t="str">
        <f>"Км= "&amp;ROUNDDOWN((J41/E41)*100,2)&amp;"%"</f>
        <v>Км= 0,07%</v>
      </c>
      <c r="J41" s="173">
        <f>SUM(J29,J35,J40)</f>
        <v>74.7</v>
      </c>
    </row>
    <row r="42" spans="1:14" ht="31.5" customHeight="1" x14ac:dyDescent="0.25">
      <c r="A42" s="168" t="s">
        <v>17</v>
      </c>
      <c r="B42" s="169"/>
      <c r="C42" s="169" t="s">
        <v>110</v>
      </c>
      <c r="D42" s="170">
        <f>SUM(D23,D41)</f>
        <v>21</v>
      </c>
      <c r="E42" s="171">
        <f>SUM(E41,E23)</f>
        <v>199766</v>
      </c>
      <c r="F42" s="172">
        <f>SUM(F41,F23)</f>
        <v>21</v>
      </c>
      <c r="G42" s="169"/>
      <c r="H42" s="169" t="str">
        <f>"Кп= "&amp;ROUNDDOWN((F42/D42)*100,1)&amp;"%"</f>
        <v>Кп= 100%</v>
      </c>
      <c r="I42" s="169" t="str">
        <f>"Км= "&amp;ROUNDDOWN((J42/E42)*100,2)&amp;"%"</f>
        <v>Км= 0,09%</v>
      </c>
      <c r="J42" s="173">
        <f>SUM(J41,J23)</f>
        <v>196.39</v>
      </c>
    </row>
    <row r="43" spans="1:14" ht="26.25" customHeight="1" outlineLevel="1" x14ac:dyDescent="0.25">
      <c r="A43" s="238" t="s">
        <v>20</v>
      </c>
      <c r="B43" s="238"/>
      <c r="C43" s="238"/>
      <c r="D43" s="239"/>
      <c r="E43" s="238"/>
      <c r="F43" s="238"/>
      <c r="G43" s="238" t="s">
        <v>21</v>
      </c>
      <c r="H43" s="238"/>
      <c r="I43" s="238"/>
      <c r="J43" s="238"/>
    </row>
    <row r="44" spans="1:14" x14ac:dyDescent="0.25">
      <c r="A44" s="304" t="s">
        <v>11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июль</v>
      </c>
      <c r="D50" s="29">
        <f>COUNTA(июл_пр)</f>
        <v>0</v>
      </c>
      <c r="E50" s="24">
        <f>SUM(июл_кол)</f>
        <v>0</v>
      </c>
      <c r="F50" s="25">
        <f>COUNTA(акт_вх_июл)+COUNTA(акт_отб_июл)</f>
        <v>0</v>
      </c>
      <c r="G50" s="44"/>
      <c r="H50" s="44"/>
      <c r="I50" s="44"/>
      <c r="J50" s="26">
        <f>SUM(кол_отб_июл)</f>
        <v>0</v>
      </c>
    </row>
    <row r="51" spans="1:10" x14ac:dyDescent="0.25">
      <c r="A51" s="304" t="s">
        <v>13</v>
      </c>
      <c r="B51" s="304"/>
      <c r="C51" s="304"/>
      <c r="D51" s="304"/>
      <c r="E51" s="304"/>
      <c r="F51" s="304"/>
      <c r="G51" s="304"/>
      <c r="H51" s="304"/>
      <c r="I51" s="304"/>
      <c r="J51" s="304"/>
    </row>
    <row r="52" spans="1:10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collapsed="1" x14ac:dyDescent="0.25">
      <c r="A57" s="6" t="s">
        <v>17</v>
      </c>
      <c r="B57" s="7"/>
      <c r="C57" s="7" t="str">
        <f>"за "&amp;LOWER($A$51)</f>
        <v>за август</v>
      </c>
      <c r="D57" s="29">
        <f>COUNTA(авг_пр)</f>
        <v>0</v>
      </c>
      <c r="E57" s="24">
        <f>SUM(авг_кол)</f>
        <v>0</v>
      </c>
      <c r="F57" s="25">
        <f>COUNTA(акт_вх_авг)+COUNTA(акт_отб_авг)</f>
        <v>0</v>
      </c>
      <c r="G57" s="44"/>
      <c r="H57" s="44"/>
      <c r="I57" s="44"/>
      <c r="J57" s="26">
        <f>SUM(кол_отб_авг)</f>
        <v>0</v>
      </c>
    </row>
    <row r="58" spans="1:10" x14ac:dyDescent="0.25">
      <c r="A58" s="304" t="s">
        <v>12</v>
      </c>
      <c r="B58" s="304"/>
      <c r="C58" s="304"/>
      <c r="D58" s="304"/>
      <c r="E58" s="304"/>
      <c r="F58" s="304"/>
      <c r="G58" s="304"/>
      <c r="H58" s="304"/>
      <c r="I58" s="304"/>
      <c r="J58" s="304"/>
    </row>
    <row r="59" spans="1:10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collapsed="1" x14ac:dyDescent="0.25">
      <c r="A64" s="6" t="s">
        <v>17</v>
      </c>
      <c r="B64" s="7"/>
      <c r="C64" s="7" t="str">
        <f>"за "&amp;LOWER($A$58)</f>
        <v>за сентябрь</v>
      </c>
      <c r="D64" s="29">
        <f>COUNTA(снт_пр)</f>
        <v>0</v>
      </c>
      <c r="E64" s="24">
        <f>SUM(снт_кол)</f>
        <v>0</v>
      </c>
      <c r="F64" s="25">
        <f>COUNTA(акт_вх_снт)+COUNTA(акт_отб_снт)</f>
        <v>0</v>
      </c>
      <c r="G64" s="44"/>
      <c r="H64" s="44"/>
      <c r="I64" s="44"/>
      <c r="J64" s="26">
        <f>SUM(кол_отб_снт)</f>
        <v>0</v>
      </c>
    </row>
    <row r="65" spans="1:10" ht="30" customHeight="1" x14ac:dyDescent="0.25">
      <c r="A65" s="38" t="s">
        <v>17</v>
      </c>
      <c r="B65" s="39"/>
      <c r="C65" s="39" t="s">
        <v>111</v>
      </c>
      <c r="D65" s="40">
        <f>SUM(D50,D57,D64)</f>
        <v>0</v>
      </c>
      <c r="E65" s="41">
        <f>SUM(E50,E57,E64)</f>
        <v>0</v>
      </c>
      <c r="F65" s="42">
        <f>SUM(F50,F57,F64)</f>
        <v>0</v>
      </c>
      <c r="G65" s="39"/>
      <c r="H65" s="39" t="e">
        <f>"Кп= "&amp;ROUNDDOWN((F65/D65)*100,1)&amp;"%"</f>
        <v>#DIV/0!</v>
      </c>
      <c r="I65" s="39" t="e">
        <f>"Км= "&amp;ROUNDDOWN((J65/E65)*100,2)&amp;"%"</f>
        <v>#DIV/0!</v>
      </c>
      <c r="J65" s="43">
        <f>SUM(J50,J57,J64)</f>
        <v>0</v>
      </c>
    </row>
    <row r="66" spans="1:10" ht="30" customHeight="1" x14ac:dyDescent="0.25">
      <c r="A66" s="38" t="s">
        <v>17</v>
      </c>
      <c r="B66" s="39"/>
      <c r="C66" s="39" t="s">
        <v>113</v>
      </c>
      <c r="D66" s="40">
        <f>SUM(D42,D65)</f>
        <v>21</v>
      </c>
      <c r="E66" s="41">
        <f>SUM(E65,E42)</f>
        <v>199766</v>
      </c>
      <c r="F66" s="42">
        <f>SUM(F65,F42)</f>
        <v>21</v>
      </c>
      <c r="G66" s="39"/>
      <c r="H66" s="39" t="str">
        <f>"Кп= "&amp;ROUNDDOWN((F66/D66)*100,1)&amp;"%"</f>
        <v>Кп= 100%</v>
      </c>
      <c r="I66" s="39" t="str">
        <f>"Км= "&amp;ROUNDDOWN((J66/E66)*100,2)&amp;"%"</f>
        <v>Км= 0,09%</v>
      </c>
      <c r="J66" s="43">
        <f>SUM(J65,J42)</f>
        <v>196.39</v>
      </c>
    </row>
    <row r="67" spans="1:10" ht="29.25" hidden="1" customHeight="1" outlineLevel="1" x14ac:dyDescent="0.25">
      <c r="A67" s="8" t="s">
        <v>19</v>
      </c>
      <c r="B67" s="8"/>
      <c r="C67" s="8"/>
      <c r="D67" s="9"/>
      <c r="E67" s="8"/>
      <c r="F67" s="8"/>
      <c r="G67" s="8" t="s">
        <v>22</v>
      </c>
      <c r="H67" s="8"/>
      <c r="I67" s="8"/>
      <c r="J67" s="8"/>
    </row>
    <row r="68" spans="1:10" ht="24.75" hidden="1" customHeight="1" outlineLevel="1" x14ac:dyDescent="0.25">
      <c r="A68" s="8" t="s">
        <v>20</v>
      </c>
      <c r="B68" s="8"/>
      <c r="C68" s="8"/>
      <c r="D68" s="9"/>
      <c r="E68" s="8"/>
      <c r="F68" s="8"/>
      <c r="G68" s="8" t="s">
        <v>21</v>
      </c>
      <c r="H68" s="8"/>
      <c r="I68" s="8"/>
      <c r="J68" s="8"/>
    </row>
    <row r="69" spans="1:10" ht="15" customHeight="1" collapsed="1" x14ac:dyDescent="0.25">
      <c r="A69" s="304" t="s">
        <v>14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октябрь</v>
      </c>
      <c r="D75" s="29">
        <f>COUNTA(окт_пр)</f>
        <v>0</v>
      </c>
      <c r="E75" s="24">
        <f>SUM(окт_кол)</f>
        <v>0</v>
      </c>
      <c r="F75" s="25">
        <f>COUNTA(акт_вх_окт)+COUNTA(акт_отб_окт)</f>
        <v>0</v>
      </c>
      <c r="G75" s="44"/>
      <c r="H75" s="44"/>
      <c r="I75" s="44"/>
      <c r="J75" s="26">
        <f>SUM(кол_отб_окт)</f>
        <v>0</v>
      </c>
    </row>
    <row r="76" spans="1:10" x14ac:dyDescent="0.25">
      <c r="A76" s="304" t="s">
        <v>15</v>
      </c>
      <c r="B76" s="304"/>
      <c r="C76" s="304"/>
      <c r="D76" s="304"/>
      <c r="E76" s="304"/>
      <c r="F76" s="304"/>
      <c r="G76" s="304"/>
      <c r="H76" s="304"/>
      <c r="I76" s="304"/>
      <c r="J76" s="304"/>
    </row>
    <row r="77" spans="1:10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collapsed="1" x14ac:dyDescent="0.25">
      <c r="A82" s="6" t="s">
        <v>17</v>
      </c>
      <c r="B82" s="7"/>
      <c r="C82" s="7" t="str">
        <f>"за "&amp;LOWER($A$76)</f>
        <v>за ноябрь</v>
      </c>
      <c r="D82" s="29">
        <f>COUNTA(нбр_пр)</f>
        <v>0</v>
      </c>
      <c r="E82" s="24">
        <f>SUM(нбр_кол)</f>
        <v>0</v>
      </c>
      <c r="F82" s="25">
        <f>COUNTA(акт_вх_нбр)+COUNTA(акт_отб_нбр)</f>
        <v>0</v>
      </c>
      <c r="G82" s="44"/>
      <c r="H82" s="44"/>
      <c r="I82" s="44"/>
      <c r="J82" s="26">
        <f>SUM(кол_отб_нбр)</f>
        <v>0</v>
      </c>
    </row>
    <row r="83" spans="1:10" x14ac:dyDescent="0.25">
      <c r="A83" s="304" t="s">
        <v>16</v>
      </c>
      <c r="B83" s="304"/>
      <c r="C83" s="304"/>
      <c r="D83" s="304"/>
      <c r="E83" s="304"/>
      <c r="F83" s="304"/>
      <c r="G83" s="304"/>
      <c r="H83" s="304"/>
      <c r="I83" s="304"/>
      <c r="J83" s="304"/>
    </row>
    <row r="84" spans="1:10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</row>
    <row r="89" spans="1:10" collapsed="1" x14ac:dyDescent="0.25">
      <c r="A89" s="6" t="s">
        <v>17</v>
      </c>
      <c r="B89" s="7"/>
      <c r="C89" s="7" t="str">
        <f>"за "&amp;LOWER($A$83)</f>
        <v>за декабрь</v>
      </c>
      <c r="D89" s="29">
        <f>COUNTA(дкб_пр)</f>
        <v>0</v>
      </c>
      <c r="E89" s="24">
        <f>SUM(дкб_кол)</f>
        <v>0</v>
      </c>
      <c r="F89" s="25">
        <f>COUNTA(акт_вх_дкб)+COUNTA(акт_отб_дкб)</f>
        <v>0</v>
      </c>
      <c r="G89" s="44"/>
      <c r="H89" s="44"/>
      <c r="I89" s="44"/>
      <c r="J89" s="26">
        <f>SUM(кол_отб_дкб)</f>
        <v>0</v>
      </c>
    </row>
    <row r="90" spans="1:10" ht="32.25" customHeight="1" x14ac:dyDescent="0.25">
      <c r="A90" s="38" t="s">
        <v>17</v>
      </c>
      <c r="B90" s="39"/>
      <c r="C90" s="39" t="s">
        <v>112</v>
      </c>
      <c r="D90" s="40">
        <f>SUM(D75,D82,D89)</f>
        <v>0</v>
      </c>
      <c r="E90" s="41">
        <f>SUM(E75,E82,E89)</f>
        <v>0</v>
      </c>
      <c r="F90" s="42">
        <f>SUM(F75,F82,F89)</f>
        <v>0</v>
      </c>
      <c r="G90" s="39"/>
      <c r="H90" s="39" t="e">
        <f>"Кп= "&amp;ROUNDDOWN((F90/D90)*100,1)&amp;"%"</f>
        <v>#DIV/0!</v>
      </c>
      <c r="I90" s="39" t="e">
        <f>"Км= "&amp;ROUNDDOWN((J90/E90)*100,2)&amp;"%"</f>
        <v>#DIV/0!</v>
      </c>
      <c r="J90" s="43">
        <f>SUM(J75,J82,J89)</f>
        <v>0</v>
      </c>
    </row>
    <row r="91" spans="1:10" ht="27" customHeight="1" x14ac:dyDescent="0.25">
      <c r="A91" s="38" t="s">
        <v>17</v>
      </c>
      <c r="B91" s="39"/>
      <c r="C91" s="39" t="s">
        <v>114</v>
      </c>
      <c r="D91" s="40">
        <f>SUM(D90,D66)</f>
        <v>21</v>
      </c>
      <c r="E91" s="41">
        <f>SUM(E90,E66)</f>
        <v>199766</v>
      </c>
      <c r="F91" s="42">
        <f>SUM(F90,F66)</f>
        <v>21</v>
      </c>
      <c r="G91" s="39"/>
      <c r="H91" s="39" t="str">
        <f>"Кп= "&amp;ROUNDDOWN((F91/D91)*100,1)&amp;"%"</f>
        <v>Кп= 100%</v>
      </c>
      <c r="I91" s="39" t="str">
        <f>"Км= "&amp;ROUNDDOWN((J91/E91)*100,2)&amp;"%"</f>
        <v>Км= 0,09%</v>
      </c>
      <c r="J91" s="43">
        <f>SUM(J90,J66)</f>
        <v>196.39</v>
      </c>
    </row>
    <row r="92" spans="1:10" ht="26.25" customHeight="1" x14ac:dyDescent="0.25">
      <c r="A92" s="8" t="s">
        <v>20</v>
      </c>
      <c r="B92" s="8"/>
      <c r="C92" s="8"/>
      <c r="D92" s="9"/>
      <c r="E92" s="8"/>
      <c r="F92" s="8"/>
      <c r="G92" s="8" t="s">
        <v>21</v>
      </c>
      <c r="H92" s="8"/>
      <c r="I92" s="8"/>
      <c r="J92" s="8"/>
    </row>
  </sheetData>
  <sheetProtection algorithmName="SHA-512" hashValue="2QWF+7d1PR8yoeKlEp8k2JUQljTrselinCm2QWiE57ua0an3hvbKUrcv1QCuymr8sflJ6r+xqqNplLSxUu2aAw==" saltValue="cH2qE3QuuDIUHHlP0a7whA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3:J83"/>
    <mergeCell ref="A6:J6"/>
    <mergeCell ref="A10:J10"/>
    <mergeCell ref="A17:J17"/>
    <mergeCell ref="A25:J25"/>
    <mergeCell ref="A30:J30"/>
    <mergeCell ref="A36:J36"/>
    <mergeCell ref="A44:J44"/>
    <mergeCell ref="A51:J51"/>
    <mergeCell ref="A58:J58"/>
    <mergeCell ref="A69:J69"/>
    <mergeCell ref="A76:J76"/>
  </mergeCells>
  <phoneticPr fontId="14" type="noConversion"/>
  <printOptions horizontalCentered="1"/>
  <pageMargins left="0.7" right="0.7" top="0.75" bottom="0.75" header="0.3" footer="0.3"/>
  <pageSetup paperSize="9" scale="7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32B2A-1597-464A-88DA-79A04E3660AE}">
  <sheetPr codeName="Лист6">
    <pageSetUpPr fitToPage="1"/>
  </sheetPr>
  <dimension ref="A1:N97"/>
  <sheetViews>
    <sheetView zoomScale="85" zoomScaleNormal="85" workbookViewId="0">
      <pane ySplit="4" topLeftCell="A5" activePane="bottomLeft" state="frozen"/>
      <selection activeCell="A2" sqref="A2:J2"/>
      <selection pane="bottomLeft" activeCell="J48" sqref="A1:J48"/>
    </sheetView>
  </sheetViews>
  <sheetFormatPr defaultRowHeight="15" outlineLevelRow="1" x14ac:dyDescent="0.25"/>
  <cols>
    <col min="1" max="1" width="5" customWidth="1"/>
    <col min="2" max="2" width="44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237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1">
        <v>1</v>
      </c>
      <c r="B5" s="141">
        <v>2</v>
      </c>
      <c r="C5" s="141">
        <v>3</v>
      </c>
      <c r="D5" s="141">
        <v>4</v>
      </c>
      <c r="E5" s="141">
        <v>5</v>
      </c>
      <c r="F5" s="141">
        <v>6</v>
      </c>
      <c r="G5" s="141">
        <v>7</v>
      </c>
      <c r="H5" s="141">
        <v>8</v>
      </c>
      <c r="I5" s="141">
        <v>9</v>
      </c>
      <c r="J5" s="141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ht="90" x14ac:dyDescent="0.25">
      <c r="A7" s="143">
        <v>1</v>
      </c>
      <c r="B7" s="144" t="s">
        <v>131</v>
      </c>
      <c r="C7" s="145" t="s">
        <v>121</v>
      </c>
      <c r="D7" s="146">
        <v>43850</v>
      </c>
      <c r="E7" s="147">
        <v>20000</v>
      </c>
      <c r="F7" s="148" t="s">
        <v>122</v>
      </c>
      <c r="G7" s="145" t="s">
        <v>128</v>
      </c>
      <c r="H7" s="141"/>
      <c r="I7" s="141"/>
      <c r="J7" s="141"/>
    </row>
    <row r="8" spans="1:14" hidden="1" outlineLevel="1" x14ac:dyDescent="0.25">
      <c r="A8" s="149"/>
      <c r="B8" s="149"/>
      <c r="C8" s="150"/>
      <c r="D8" s="151"/>
      <c r="E8" s="152"/>
      <c r="F8" s="141"/>
      <c r="G8" s="141"/>
      <c r="H8" s="141"/>
      <c r="I8" s="141"/>
      <c r="J8" s="141"/>
    </row>
    <row r="9" spans="1:14" hidden="1" outlineLevel="1" x14ac:dyDescent="0.25">
      <c r="A9" s="149"/>
      <c r="B9" s="149"/>
      <c r="C9" s="150"/>
      <c r="D9" s="151"/>
      <c r="E9" s="152"/>
      <c r="F9" s="141"/>
      <c r="G9" s="141"/>
      <c r="H9" s="141"/>
      <c r="I9" s="141"/>
      <c r="J9" s="141"/>
    </row>
    <row r="10" spans="1:14" hidden="1" outlineLevel="1" x14ac:dyDescent="0.25">
      <c r="A10" s="149"/>
      <c r="B10" s="149"/>
      <c r="C10" s="150"/>
      <c r="D10" s="151"/>
      <c r="E10" s="152"/>
      <c r="F10" s="141"/>
      <c r="G10" s="141"/>
      <c r="H10" s="141"/>
      <c r="I10" s="141"/>
      <c r="J10" s="141"/>
    </row>
    <row r="11" spans="1:14" hidden="1" outlineLevel="1" x14ac:dyDescent="0.25">
      <c r="A11" s="149"/>
      <c r="B11" s="149"/>
      <c r="C11" s="150"/>
      <c r="D11" s="151"/>
      <c r="E11" s="152"/>
      <c r="F11" s="141"/>
      <c r="G11" s="141"/>
      <c r="H11" s="141"/>
      <c r="I11" s="141"/>
      <c r="J11" s="141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20000</v>
      </c>
      <c r="F12" s="157">
        <f>COUNTA(акт_вх_янв)+COUNTA(акт_отб_янв)</f>
        <v>1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45" x14ac:dyDescent="0.25">
      <c r="A14" s="143">
        <v>2</v>
      </c>
      <c r="B14" s="144" t="s">
        <v>131</v>
      </c>
      <c r="C14" s="145" t="s">
        <v>147</v>
      </c>
      <c r="D14" s="146">
        <v>43882</v>
      </c>
      <c r="E14" s="147">
        <v>20000</v>
      </c>
      <c r="F14" s="148" t="s">
        <v>156</v>
      </c>
      <c r="G14" s="145" t="s">
        <v>236</v>
      </c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20000</v>
      </c>
      <c r="F19" s="157">
        <f>COUNTA(акт_вх_фев)+COUNTA(акт_отб_фев)</f>
        <v>1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s="138" customFormat="1" ht="45" x14ac:dyDescent="0.25">
      <c r="A21" s="143">
        <v>3</v>
      </c>
      <c r="B21" s="144" t="s">
        <v>131</v>
      </c>
      <c r="C21" s="163" t="s">
        <v>164</v>
      </c>
      <c r="D21" s="164">
        <v>43906</v>
      </c>
      <c r="E21" s="165">
        <v>20000</v>
      </c>
      <c r="F21" s="191" t="s">
        <v>233</v>
      </c>
      <c r="G21" s="145" t="s">
        <v>236</v>
      </c>
      <c r="H21" s="149"/>
      <c r="I21" s="149"/>
      <c r="J21" s="149"/>
      <c r="L21" s="230"/>
      <c r="M21" s="230"/>
      <c r="N21" s="230"/>
    </row>
    <row r="22" spans="1:14" s="138" customFormat="1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230"/>
      <c r="M22" s="230"/>
      <c r="N22" s="230"/>
    </row>
    <row r="23" spans="1:14" s="138" customFormat="1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230"/>
      <c r="M23" s="230"/>
      <c r="N23" s="230"/>
    </row>
    <row r="24" spans="1:14" s="138" customFormat="1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230"/>
      <c r="M24" s="230"/>
      <c r="N24" s="230"/>
    </row>
    <row r="25" spans="1:14" s="138" customFormat="1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230"/>
      <c r="M25" s="230"/>
      <c r="N25" s="230"/>
    </row>
    <row r="26" spans="1:14" s="138" customFormat="1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1</v>
      </c>
      <c r="E26" s="156">
        <f>SUM(мрт_кол)</f>
        <v>20000</v>
      </c>
      <c r="F26" s="157">
        <f>COUNTA(акт_вх_мрт)+COUNTA(акт_отб_мрт)</f>
        <v>1</v>
      </c>
      <c r="G26" s="167"/>
      <c r="H26" s="167"/>
      <c r="I26" s="167"/>
      <c r="J26" s="159">
        <f>SUM(кол_отб_мрт)</f>
        <v>0</v>
      </c>
      <c r="L26" s="230"/>
      <c r="M26" s="230"/>
      <c r="N26" s="230"/>
    </row>
    <row r="27" spans="1:14" s="138" customFormat="1" ht="31.5" customHeight="1" x14ac:dyDescent="0.25">
      <c r="A27" s="168" t="s">
        <v>17</v>
      </c>
      <c r="B27" s="169"/>
      <c r="C27" s="169" t="s">
        <v>18</v>
      </c>
      <c r="D27" s="170">
        <f>SUM(D12,D19,D26)</f>
        <v>3</v>
      </c>
      <c r="E27" s="171">
        <f>SUM(E12,E19,E26)</f>
        <v>60000</v>
      </c>
      <c r="F27" s="172">
        <f>SUM(F12,F19,F26)</f>
        <v>3</v>
      </c>
      <c r="G27" s="169"/>
      <c r="H27" s="169" t="str">
        <f>"Кп= "&amp;ROUNDDOWN((F27/D27)*100,1)&amp;"%"</f>
        <v>Кп= 100%</v>
      </c>
      <c r="I27" s="169" t="str">
        <f>"Км= "&amp;ROUNDDOWN((J27/E27)*100,2)&amp;"%"</f>
        <v>Км= 0%</v>
      </c>
      <c r="J27" s="173">
        <f>SUM(J12,J19,J26)</f>
        <v>0</v>
      </c>
      <c r="L27" s="230"/>
      <c r="M27" s="230"/>
      <c r="N27" s="230"/>
    </row>
    <row r="28" spans="1:14" ht="31.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s="138" customFormat="1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230"/>
      <c r="M29" s="230"/>
      <c r="N29" s="230"/>
    </row>
    <row r="30" spans="1:14" s="138" customFormat="1" x14ac:dyDescent="0.25">
      <c r="A30" s="241"/>
      <c r="B30" s="241"/>
      <c r="C30" s="241"/>
      <c r="D30" s="241"/>
      <c r="E30" s="241"/>
      <c r="F30" s="241"/>
      <c r="G30" s="241"/>
      <c r="H30" s="241"/>
      <c r="I30" s="241"/>
      <c r="J30" s="241"/>
      <c r="L30" s="230"/>
      <c r="M30" s="230"/>
      <c r="N30" s="230"/>
    </row>
    <row r="31" spans="1:14" s="138" customFormat="1" hidden="1" outlineLevel="1" x14ac:dyDescent="0.25">
      <c r="A31" s="241"/>
      <c r="B31" s="241"/>
      <c r="C31" s="241"/>
      <c r="D31" s="241"/>
      <c r="E31" s="241"/>
      <c r="F31" s="241"/>
      <c r="G31" s="241"/>
      <c r="H31" s="241"/>
      <c r="I31" s="241"/>
      <c r="J31" s="241"/>
      <c r="L31" s="230"/>
      <c r="M31" s="230"/>
      <c r="N31" s="230"/>
    </row>
    <row r="32" spans="1:14" s="138" customFormat="1" hidden="1" outlineLevel="1" x14ac:dyDescent="0.25">
      <c r="A32" s="241"/>
      <c r="B32" s="241"/>
      <c r="C32" s="241"/>
      <c r="D32" s="241"/>
      <c r="E32" s="241"/>
      <c r="F32" s="241"/>
      <c r="G32" s="241"/>
      <c r="H32" s="241"/>
      <c r="I32" s="241"/>
      <c r="J32" s="241"/>
      <c r="L32" s="230"/>
      <c r="M32" s="230"/>
      <c r="N32" s="230"/>
    </row>
    <row r="33" spans="1:14" s="138" customFormat="1" hidden="1" outlineLevel="1" x14ac:dyDescent="0.25">
      <c r="A33" s="241"/>
      <c r="B33" s="241"/>
      <c r="C33" s="241"/>
      <c r="D33" s="241"/>
      <c r="E33" s="241"/>
      <c r="F33" s="241"/>
      <c r="G33" s="241"/>
      <c r="H33" s="241"/>
      <c r="I33" s="241"/>
      <c r="J33" s="241"/>
      <c r="L33" s="230"/>
      <c r="M33" s="230"/>
      <c r="N33" s="230"/>
    </row>
    <row r="34" spans="1:14" s="138" customFormat="1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230"/>
      <c r="M34" s="230"/>
      <c r="N34" s="230"/>
    </row>
    <row r="35" spans="1:14" s="138" customFormat="1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230"/>
      <c r="M35" s="230"/>
      <c r="N35" s="230"/>
    </row>
    <row r="36" spans="1:14" s="138" customFormat="1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230"/>
      <c r="M36" s="230"/>
      <c r="N36" s="230"/>
    </row>
    <row r="37" spans="1:14" s="138" customFormat="1" ht="45" x14ac:dyDescent="0.25">
      <c r="A37" s="143">
        <v>4</v>
      </c>
      <c r="B37" s="180" t="s">
        <v>131</v>
      </c>
      <c r="C37" s="181" t="s">
        <v>190</v>
      </c>
      <c r="D37" s="182">
        <v>43964</v>
      </c>
      <c r="E37" s="190">
        <v>20000</v>
      </c>
      <c r="F37" s="191" t="s">
        <v>234</v>
      </c>
      <c r="G37" s="145" t="s">
        <v>236</v>
      </c>
      <c r="H37" s="240"/>
      <c r="I37" s="240"/>
      <c r="J37" s="240"/>
      <c r="L37" s="230"/>
      <c r="M37" s="230"/>
      <c r="N37" s="230"/>
    </row>
    <row r="38" spans="1:14" s="138" customFormat="1" ht="45" outlineLevel="1" x14ac:dyDescent="0.25">
      <c r="A38" s="234">
        <v>5</v>
      </c>
      <c r="B38" s="162" t="s">
        <v>131</v>
      </c>
      <c r="C38" s="163" t="s">
        <v>201</v>
      </c>
      <c r="D38" s="164">
        <v>43970</v>
      </c>
      <c r="E38" s="186">
        <v>20000</v>
      </c>
      <c r="F38" s="191" t="s">
        <v>200</v>
      </c>
      <c r="G38" s="181" t="s">
        <v>236</v>
      </c>
      <c r="H38" s="231"/>
      <c r="I38" s="231"/>
      <c r="J38" s="231"/>
      <c r="L38" s="230"/>
      <c r="M38" s="230"/>
      <c r="N38" s="230"/>
    </row>
    <row r="39" spans="1:14" s="138" customFormat="1" x14ac:dyDescent="0.25">
      <c r="A39" s="153" t="s">
        <v>17</v>
      </c>
      <c r="B39" s="154"/>
      <c r="C39" s="154" t="str">
        <f>"за "&amp;LOWER($A$36)</f>
        <v>за май</v>
      </c>
      <c r="D39" s="155">
        <f>COUNTA(май_пр)</f>
        <v>2</v>
      </c>
      <c r="E39" s="156">
        <f>SUM(май_кол)</f>
        <v>40000</v>
      </c>
      <c r="F39" s="157">
        <f>COUNTA(акт_вх_май)+COUNTA(акт_отб_май)</f>
        <v>2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hidden="1" outlineLevel="1" x14ac:dyDescent="0.25">
      <c r="A41" s="232"/>
      <c r="B41" s="232"/>
      <c r="C41" s="232"/>
      <c r="D41" s="237"/>
      <c r="E41" s="232"/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collapsed="1" x14ac:dyDescent="0.25">
      <c r="A45" s="153" t="s">
        <v>17</v>
      </c>
      <c r="B45" s="154"/>
      <c r="C45" s="154" t="str">
        <f>"за "&amp;LOWER($A$40)</f>
        <v>за июнь</v>
      </c>
      <c r="D45" s="155">
        <f>COUNTA(июн_пр)</f>
        <v>0</v>
      </c>
      <c r="E45" s="156">
        <f>SUM(июн_кол)</f>
        <v>0</v>
      </c>
      <c r="F45" s="157">
        <f>COUNTA(акт_вх_июн)+COUNTA(акт_отб_июн)</f>
        <v>0</v>
      </c>
      <c r="G45" s="167"/>
      <c r="H45" s="167"/>
      <c r="I45" s="167"/>
      <c r="J45" s="159">
        <f>SUM(кол_отб_июн)</f>
        <v>0</v>
      </c>
    </row>
    <row r="46" spans="1:14" s="138" customFormat="1" ht="31.5" customHeight="1" x14ac:dyDescent="0.25">
      <c r="A46" s="168" t="s">
        <v>17</v>
      </c>
      <c r="B46" s="169"/>
      <c r="C46" s="169" t="s">
        <v>109</v>
      </c>
      <c r="D46" s="170">
        <f>SUM(D35,D39,D45)</f>
        <v>2</v>
      </c>
      <c r="E46" s="171">
        <f>SUM(E35,E39,E45)</f>
        <v>40000</v>
      </c>
      <c r="F46" s="172">
        <f>SUM(F35,F39,F45)</f>
        <v>2</v>
      </c>
      <c r="G46" s="169"/>
      <c r="H46" s="169" t="str">
        <f>"Кп= "&amp;ROUNDDOWN((F46/D46)*100,1)&amp;"%"</f>
        <v>Кп= 100%</v>
      </c>
      <c r="I46" s="169" t="str">
        <f>"Км= "&amp;ROUNDDOWN((J46/E46)*100,2)&amp;"%"</f>
        <v>Км= 0%</v>
      </c>
      <c r="J46" s="173">
        <f>SUM(J35,J39,J45)</f>
        <v>0</v>
      </c>
    </row>
    <row r="47" spans="1:14" s="138" customFormat="1" ht="31.5" customHeight="1" x14ac:dyDescent="0.25">
      <c r="A47" s="168" t="s">
        <v>17</v>
      </c>
      <c r="B47" s="169"/>
      <c r="C47" s="169" t="s">
        <v>110</v>
      </c>
      <c r="D47" s="170">
        <f>SUM(D27,D46)</f>
        <v>5</v>
      </c>
      <c r="E47" s="171">
        <f>SUM(E46,E27)</f>
        <v>100000</v>
      </c>
      <c r="F47" s="172">
        <f>SUM(F46,F27)</f>
        <v>5</v>
      </c>
      <c r="G47" s="169"/>
      <c r="H47" s="169" t="str">
        <f>"Кп= "&amp;ROUNDDOWN((F47/D47)*100,1)&amp;"%"</f>
        <v>Кп= 100%</v>
      </c>
      <c r="I47" s="169" t="str">
        <f>"Км= "&amp;ROUNDDOWN((J47/E47)*100,2)&amp;"%"</f>
        <v>Км= 0%</v>
      </c>
      <c r="J47" s="173">
        <f>SUM(J46,J27)</f>
        <v>0</v>
      </c>
    </row>
    <row r="48" spans="1:14" ht="26.25" customHeight="1" outlineLevel="1" x14ac:dyDescent="0.25">
      <c r="A48" s="8" t="s">
        <v>20</v>
      </c>
      <c r="B48" s="8"/>
      <c r="C48" s="8"/>
      <c r="D48" s="9"/>
      <c r="E48" s="8"/>
      <c r="F48" s="8"/>
      <c r="G48" s="8" t="s">
        <v>21</v>
      </c>
      <c r="H48" s="8"/>
      <c r="I48" s="8"/>
      <c r="J48" s="8"/>
    </row>
    <row r="49" spans="1:10" x14ac:dyDescent="0.25">
      <c r="A49" s="304" t="s">
        <v>11</v>
      </c>
      <c r="B49" s="304"/>
      <c r="C49" s="304"/>
      <c r="D49" s="304"/>
      <c r="E49" s="304"/>
      <c r="F49" s="304"/>
      <c r="G49" s="304"/>
      <c r="H49" s="304"/>
      <c r="I49" s="304"/>
      <c r="J49" s="304"/>
    </row>
    <row r="50" spans="1:10" x14ac:dyDescent="0.25">
      <c r="A50" s="31"/>
      <c r="B50" s="31"/>
      <c r="C50" s="31"/>
      <c r="D50" s="32"/>
      <c r="E50" s="31"/>
      <c r="F50" s="31"/>
      <c r="G50" s="31"/>
      <c r="H50" s="31"/>
      <c r="I50" s="31"/>
      <c r="J50" s="31"/>
    </row>
    <row r="51" spans="1:10" hidden="1" outlineLevel="1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collapsed="1" x14ac:dyDescent="0.25">
      <c r="A55" s="6" t="s">
        <v>17</v>
      </c>
      <c r="B55" s="7"/>
      <c r="C55" s="7" t="str">
        <f>"за "&amp;LOWER($A$49)</f>
        <v>за июль</v>
      </c>
      <c r="D55" s="29">
        <f>COUNTA(июл_пр)</f>
        <v>0</v>
      </c>
      <c r="E55" s="24">
        <f>SUM(июл_кол)</f>
        <v>0</v>
      </c>
      <c r="F55" s="25">
        <f>COUNTA(акт_вх_июл)+COUNTA(акт_отб_июл)</f>
        <v>0</v>
      </c>
      <c r="G55" s="44"/>
      <c r="H55" s="44"/>
      <c r="I55" s="44"/>
      <c r="J55" s="26">
        <f>SUM(кол_отб_июл)</f>
        <v>0</v>
      </c>
    </row>
    <row r="56" spans="1:10" x14ac:dyDescent="0.25">
      <c r="A56" s="304" t="s">
        <v>13</v>
      </c>
      <c r="B56" s="304"/>
      <c r="C56" s="304"/>
      <c r="D56" s="304"/>
      <c r="E56" s="304"/>
      <c r="F56" s="304"/>
      <c r="G56" s="304"/>
      <c r="H56" s="304"/>
      <c r="I56" s="304"/>
      <c r="J56" s="304"/>
    </row>
    <row r="57" spans="1:10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collapsed="1" x14ac:dyDescent="0.25">
      <c r="A62" s="6" t="s">
        <v>17</v>
      </c>
      <c r="B62" s="7"/>
      <c r="C62" s="7" t="str">
        <f>"за "&amp;LOWER($A$56)</f>
        <v>за август</v>
      </c>
      <c r="D62" s="29">
        <f>COUNTA(авг_пр)</f>
        <v>0</v>
      </c>
      <c r="E62" s="24">
        <f>SUM(авг_кол)</f>
        <v>0</v>
      </c>
      <c r="F62" s="25">
        <f>COUNTA(акт_вх_авг)+COUNTA(акт_отб_авг)</f>
        <v>0</v>
      </c>
      <c r="G62" s="44"/>
      <c r="H62" s="44"/>
      <c r="I62" s="44"/>
      <c r="J62" s="26">
        <f>SUM(кол_отб_авг)</f>
        <v>0</v>
      </c>
    </row>
    <row r="63" spans="1:10" x14ac:dyDescent="0.25">
      <c r="A63" s="304" t="s">
        <v>12</v>
      </c>
      <c r="B63" s="304"/>
      <c r="C63" s="304"/>
      <c r="D63" s="304"/>
      <c r="E63" s="304"/>
      <c r="F63" s="304"/>
      <c r="G63" s="304"/>
      <c r="H63" s="304"/>
      <c r="I63" s="304"/>
      <c r="J63" s="304"/>
    </row>
    <row r="64" spans="1:10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collapsed="1" x14ac:dyDescent="0.25">
      <c r="A69" s="6" t="s">
        <v>17</v>
      </c>
      <c r="B69" s="7"/>
      <c r="C69" s="7" t="str">
        <f>"за "&amp;LOWER($A$63)</f>
        <v>за сентябрь</v>
      </c>
      <c r="D69" s="29">
        <f>COUNTA(снт_пр)</f>
        <v>0</v>
      </c>
      <c r="E69" s="24">
        <f>SUM(снт_кол)</f>
        <v>0</v>
      </c>
      <c r="F69" s="25">
        <f>COUNTA(акт_вх_снт)+COUNTA(акт_отб_снт)</f>
        <v>0</v>
      </c>
      <c r="G69" s="44"/>
      <c r="H69" s="44"/>
      <c r="I69" s="44"/>
      <c r="J69" s="26">
        <f>SUM(кол_отб_снт)</f>
        <v>0</v>
      </c>
    </row>
    <row r="70" spans="1:10" ht="30" customHeight="1" x14ac:dyDescent="0.25">
      <c r="A70" s="38" t="s">
        <v>17</v>
      </c>
      <c r="B70" s="39"/>
      <c r="C70" s="39" t="s">
        <v>111</v>
      </c>
      <c r="D70" s="40">
        <f>SUM(D55,D62,D69)</f>
        <v>0</v>
      </c>
      <c r="E70" s="41">
        <f>SUM(E55,E62,E69)</f>
        <v>0</v>
      </c>
      <c r="F70" s="42">
        <f>SUM(F55,F62,F69)</f>
        <v>0</v>
      </c>
      <c r="G70" s="39"/>
      <c r="H70" s="39" t="e">
        <f>"Кп= "&amp;ROUNDDOWN((F70/D70)*100,1)&amp;"%"</f>
        <v>#DIV/0!</v>
      </c>
      <c r="I70" s="39" t="e">
        <f>"Км= "&amp;ROUNDDOWN((J70/E70)*100,2)&amp;"%"</f>
        <v>#DIV/0!</v>
      </c>
      <c r="J70" s="43">
        <f>SUM(J55,J62,J69)</f>
        <v>0</v>
      </c>
    </row>
    <row r="71" spans="1:10" ht="30" customHeight="1" x14ac:dyDescent="0.25">
      <c r="A71" s="38" t="s">
        <v>17</v>
      </c>
      <c r="B71" s="39"/>
      <c r="C71" s="39" t="s">
        <v>113</v>
      </c>
      <c r="D71" s="40">
        <f>SUM(D47,D70)</f>
        <v>5</v>
      </c>
      <c r="E71" s="41">
        <f>SUM(E70,E47)</f>
        <v>100000</v>
      </c>
      <c r="F71" s="42">
        <f>SUM(F70,F47)</f>
        <v>5</v>
      </c>
      <c r="G71" s="39"/>
      <c r="H71" s="39" t="str">
        <f>"Кп= "&amp;ROUNDDOWN((F71/D71)*100,1)&amp;"%"</f>
        <v>Кп= 100%</v>
      </c>
      <c r="I71" s="39" t="str">
        <f>"Км= "&amp;ROUNDDOWN((J71/E71)*100,2)&amp;"%"</f>
        <v>Км= 0%</v>
      </c>
      <c r="J71" s="43">
        <f>SUM(J70,J47)</f>
        <v>0</v>
      </c>
    </row>
    <row r="72" spans="1:10" ht="29.25" hidden="1" customHeight="1" outlineLevel="1" x14ac:dyDescent="0.25">
      <c r="A72" s="8" t="s">
        <v>19</v>
      </c>
      <c r="B72" s="8"/>
      <c r="C72" s="8"/>
      <c r="D72" s="9"/>
      <c r="E72" s="8"/>
      <c r="F72" s="8"/>
      <c r="G72" s="8" t="s">
        <v>22</v>
      </c>
      <c r="H72" s="8"/>
      <c r="I72" s="8"/>
      <c r="J72" s="8"/>
    </row>
    <row r="73" spans="1:10" ht="24.75" hidden="1" customHeight="1" outlineLevel="1" x14ac:dyDescent="0.25">
      <c r="A73" s="8" t="s">
        <v>20</v>
      </c>
      <c r="B73" s="8"/>
      <c r="C73" s="8"/>
      <c r="D73" s="9"/>
      <c r="E73" s="8"/>
      <c r="F73" s="8"/>
      <c r="G73" s="8" t="s">
        <v>21</v>
      </c>
      <c r="H73" s="8"/>
      <c r="I73" s="8"/>
      <c r="J73" s="8"/>
    </row>
    <row r="74" spans="1:10" ht="15" customHeight="1" collapsed="1" x14ac:dyDescent="0.25">
      <c r="A74" s="304" t="s">
        <v>14</v>
      </c>
      <c r="B74" s="304"/>
      <c r="C74" s="304"/>
      <c r="D74" s="304"/>
      <c r="E74" s="304"/>
      <c r="F74" s="304"/>
      <c r="G74" s="304"/>
      <c r="H74" s="304"/>
      <c r="I74" s="304"/>
      <c r="J74" s="304"/>
    </row>
    <row r="75" spans="1:10" x14ac:dyDescent="0.25">
      <c r="A75" s="31"/>
      <c r="B75" s="31"/>
      <c r="C75" s="31"/>
      <c r="D75" s="32"/>
      <c r="E75" s="31"/>
      <c r="F75" s="31"/>
      <c r="G75" s="31"/>
      <c r="H75" s="31"/>
      <c r="I75" s="31"/>
      <c r="J75" s="31"/>
    </row>
    <row r="76" spans="1:10" hidden="1" outlineLevel="1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collapsed="1" x14ac:dyDescent="0.25">
      <c r="A80" s="6" t="s">
        <v>17</v>
      </c>
      <c r="B80" s="7"/>
      <c r="C80" s="7" t="str">
        <f>"за "&amp;LOWER($A$74)</f>
        <v>за октябрь</v>
      </c>
      <c r="D80" s="29">
        <f>COUNTA(окт_пр)</f>
        <v>0</v>
      </c>
      <c r="E80" s="24">
        <f>SUM(окт_кол)</f>
        <v>0</v>
      </c>
      <c r="F80" s="25">
        <f>COUNTA(акт_вх_окт)+COUNTA(акт_отб_окт)</f>
        <v>0</v>
      </c>
      <c r="G80" s="44"/>
      <c r="H80" s="44"/>
      <c r="I80" s="44"/>
      <c r="J80" s="26">
        <f>SUM(кол_отб_окт)</f>
        <v>0</v>
      </c>
    </row>
    <row r="81" spans="1:10" x14ac:dyDescent="0.25">
      <c r="A81" s="304" t="s">
        <v>15</v>
      </c>
      <c r="B81" s="304"/>
      <c r="C81" s="304"/>
      <c r="D81" s="304"/>
      <c r="E81" s="304"/>
      <c r="F81" s="304"/>
      <c r="G81" s="304"/>
      <c r="H81" s="304"/>
      <c r="I81" s="304"/>
      <c r="J81" s="304"/>
    </row>
    <row r="82" spans="1:10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collapsed="1" x14ac:dyDescent="0.25">
      <c r="A87" s="6" t="s">
        <v>17</v>
      </c>
      <c r="B87" s="7"/>
      <c r="C87" s="7" t="str">
        <f>"за "&amp;LOWER($A$81)</f>
        <v>за ноябрь</v>
      </c>
      <c r="D87" s="29">
        <f>COUNTA(нбр_пр)</f>
        <v>0</v>
      </c>
      <c r="E87" s="24">
        <f>SUM(нбр_кол)</f>
        <v>0</v>
      </c>
      <c r="F87" s="25">
        <f>COUNTA(акт_вх_нбр)+COUNTA(акт_отб_нбр)</f>
        <v>0</v>
      </c>
      <c r="G87" s="44"/>
      <c r="H87" s="44"/>
      <c r="I87" s="44"/>
      <c r="J87" s="26">
        <f>SUM(кол_отб_нбр)</f>
        <v>0</v>
      </c>
    </row>
    <row r="88" spans="1:10" x14ac:dyDescent="0.25">
      <c r="A88" s="304" t="s">
        <v>16</v>
      </c>
      <c r="B88" s="304"/>
      <c r="C88" s="304"/>
      <c r="D88" s="304"/>
      <c r="E88" s="304"/>
      <c r="F88" s="304"/>
      <c r="G88" s="304"/>
      <c r="H88" s="304"/>
      <c r="I88" s="304"/>
      <c r="J88" s="304"/>
    </row>
    <row r="89" spans="1:10" x14ac:dyDescent="0.25">
      <c r="A89" s="31"/>
      <c r="B89" s="31"/>
      <c r="C89" s="31"/>
      <c r="D89" s="31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collapsed="1" x14ac:dyDescent="0.25">
      <c r="A94" s="6" t="s">
        <v>17</v>
      </c>
      <c r="B94" s="7"/>
      <c r="C94" s="7" t="str">
        <f>"за "&amp;LOWER($A$88)</f>
        <v>за декабрь</v>
      </c>
      <c r="D94" s="29">
        <f>COUNTA(дкб_пр)</f>
        <v>0</v>
      </c>
      <c r="E94" s="24">
        <f>SUM(дкб_кол)</f>
        <v>0</v>
      </c>
      <c r="F94" s="25">
        <f>COUNTA(акт_вх_дкб)+COUNTA(акт_отб_дкб)</f>
        <v>0</v>
      </c>
      <c r="G94" s="44"/>
      <c r="H94" s="44"/>
      <c r="I94" s="44"/>
      <c r="J94" s="26">
        <f>SUM(кол_отб_дкб)</f>
        <v>0</v>
      </c>
    </row>
    <row r="95" spans="1:10" ht="32.25" customHeight="1" x14ac:dyDescent="0.25">
      <c r="A95" s="38" t="s">
        <v>17</v>
      </c>
      <c r="B95" s="39"/>
      <c r="C95" s="39" t="s">
        <v>112</v>
      </c>
      <c r="D95" s="40">
        <f>SUM(D80,D87,D94)</f>
        <v>0</v>
      </c>
      <c r="E95" s="41">
        <f>SUM(E80,E87,E94)</f>
        <v>0</v>
      </c>
      <c r="F95" s="42">
        <f>SUM(F80,F87,F94)</f>
        <v>0</v>
      </c>
      <c r="G95" s="39"/>
      <c r="H95" s="39" t="e">
        <f>"Кп= "&amp;ROUNDDOWN((F95/D95)*100,1)&amp;"%"</f>
        <v>#DIV/0!</v>
      </c>
      <c r="I95" s="39" t="e">
        <f>"Км= "&amp;ROUNDDOWN((J95/E95)*100,2)&amp;"%"</f>
        <v>#DIV/0!</v>
      </c>
      <c r="J95" s="43">
        <f>SUM(J80,J87,J94)</f>
        <v>0</v>
      </c>
    </row>
    <row r="96" spans="1:10" ht="27" customHeight="1" x14ac:dyDescent="0.25">
      <c r="A96" s="38" t="s">
        <v>17</v>
      </c>
      <c r="B96" s="39"/>
      <c r="C96" s="39" t="s">
        <v>114</v>
      </c>
      <c r="D96" s="40">
        <f>SUM(D95,D71)</f>
        <v>5</v>
      </c>
      <c r="E96" s="41">
        <f>SUM(E95,E71)</f>
        <v>100000</v>
      </c>
      <c r="F96" s="42">
        <f>SUM(F95,F71)</f>
        <v>5</v>
      </c>
      <c r="G96" s="39"/>
      <c r="H96" s="39" t="str">
        <f>"Кп= "&amp;ROUNDDOWN((F96/D96)*100,1)&amp;"%"</f>
        <v>Кп= 100%</v>
      </c>
      <c r="I96" s="39" t="str">
        <f>"Км= "&amp;ROUNDDOWN((J96/E96)*100,2)&amp;"%"</f>
        <v>Км= 0%</v>
      </c>
      <c r="J96" s="43">
        <f>SUM(J95,J71)</f>
        <v>0</v>
      </c>
    </row>
    <row r="97" spans="1:10" ht="26.25" customHeight="1" x14ac:dyDescent="0.25">
      <c r="A97" s="8" t="s">
        <v>20</v>
      </c>
      <c r="B97" s="8"/>
      <c r="C97" s="8"/>
      <c r="D97" s="9"/>
      <c r="E97" s="8"/>
      <c r="F97" s="8"/>
      <c r="G97" s="8" t="s">
        <v>21</v>
      </c>
      <c r="H97" s="8"/>
      <c r="I97" s="8"/>
      <c r="J97" s="8"/>
    </row>
  </sheetData>
  <sheetProtection algorithmName="SHA-512" hashValue="3Vn0y85HpXBSF7iEmVc39M01RRJTdCEEjZURlYj1xWfjjIpKvU+IpMb24HiWJ/hNW5F2WM40o7Kbf1dKrQt2JQ==" saltValue="UJFig7KQEs1+++Hde7s0a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8:J88"/>
    <mergeCell ref="A6:J6"/>
    <mergeCell ref="A13:J13"/>
    <mergeCell ref="A20:J20"/>
    <mergeCell ref="A29:J29"/>
    <mergeCell ref="A36:J36"/>
    <mergeCell ref="A40:J40"/>
    <mergeCell ref="A49:J49"/>
    <mergeCell ref="A56:J56"/>
    <mergeCell ref="A63:J63"/>
    <mergeCell ref="A74:J74"/>
    <mergeCell ref="A81:J81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45" fitToWidth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22C04-4948-4B0F-A644-5E9F9C32B2EE}">
  <sheetPr codeName="Лист10">
    <pageSetUpPr fitToPage="1"/>
  </sheetPr>
  <dimension ref="A1:N92"/>
  <sheetViews>
    <sheetView zoomScale="85" zoomScaleNormal="85" workbookViewId="0">
      <pane ySplit="4" topLeftCell="A5" activePane="bottomLeft" state="frozen"/>
      <selection activeCell="A2" sqref="A2:J2"/>
      <selection pane="bottomLeft" activeCell="J43" sqref="A1:J43"/>
    </sheetView>
  </sheetViews>
  <sheetFormatPr defaultRowHeight="15" outlineLevelRow="1" x14ac:dyDescent="0.25"/>
  <cols>
    <col min="1" max="1" width="5" customWidth="1"/>
    <col min="2" max="2" width="24.2851562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227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53</v>
      </c>
      <c r="C7" s="145" t="s">
        <v>118</v>
      </c>
      <c r="D7" s="146">
        <v>43845</v>
      </c>
      <c r="E7" s="147">
        <v>3722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3722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30" x14ac:dyDescent="0.25">
      <c r="A14" s="143">
        <v>2</v>
      </c>
      <c r="B14" s="144" t="s">
        <v>53</v>
      </c>
      <c r="C14" s="145" t="s">
        <v>136</v>
      </c>
      <c r="D14" s="146">
        <v>43872</v>
      </c>
      <c r="E14" s="147">
        <v>13761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60" t="s">
        <v>53</v>
      </c>
      <c r="C15" s="145" t="s">
        <v>146</v>
      </c>
      <c r="D15" s="146">
        <v>43881</v>
      </c>
      <c r="E15" s="147">
        <v>1000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14761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53</v>
      </c>
      <c r="C18" s="163" t="s">
        <v>162</v>
      </c>
      <c r="D18" s="164">
        <v>43900</v>
      </c>
      <c r="E18" s="186">
        <v>5035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5035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23518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ht="31.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1"/>
      <c r="M25" s="1"/>
      <c r="N25" s="1"/>
    </row>
    <row r="26" spans="1:14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1"/>
      <c r="M26" s="1"/>
      <c r="N26" s="1"/>
    </row>
    <row r="27" spans="1:14" x14ac:dyDescent="0.25">
      <c r="A27" s="143">
        <v>5</v>
      </c>
      <c r="B27" s="180" t="s">
        <v>53</v>
      </c>
      <c r="C27" s="181" t="s">
        <v>173</v>
      </c>
      <c r="D27" s="182">
        <v>43935</v>
      </c>
      <c r="E27" s="190">
        <v>4474</v>
      </c>
      <c r="F27" s="243"/>
      <c r="G27" s="243"/>
      <c r="H27" s="243"/>
      <c r="I27" s="243"/>
      <c r="J27" s="243"/>
      <c r="L27" s="1"/>
      <c r="M27" s="1"/>
      <c r="N27" s="1"/>
    </row>
    <row r="28" spans="1:14" outlineLevel="1" x14ac:dyDescent="0.25">
      <c r="A28" s="143">
        <v>6</v>
      </c>
      <c r="B28" s="180" t="s">
        <v>53</v>
      </c>
      <c r="C28" s="181" t="s">
        <v>178</v>
      </c>
      <c r="D28" s="182">
        <v>43943</v>
      </c>
      <c r="E28" s="190">
        <v>7960</v>
      </c>
      <c r="F28" s="243"/>
      <c r="G28" s="243"/>
      <c r="H28" s="243"/>
      <c r="I28" s="243"/>
      <c r="J28" s="243"/>
      <c r="L28" s="1"/>
      <c r="M28" s="1"/>
      <c r="N28" s="1"/>
    </row>
    <row r="29" spans="1:14" x14ac:dyDescent="0.25">
      <c r="A29" s="153" t="s">
        <v>17</v>
      </c>
      <c r="B29" s="154"/>
      <c r="C29" s="154" t="str">
        <f>"за "&amp;LOWER($A$26)</f>
        <v>за апрель</v>
      </c>
      <c r="D29" s="155">
        <f>COUNTA(апр_пр)</f>
        <v>2</v>
      </c>
      <c r="E29" s="156">
        <f>SUM(апр_кол)</f>
        <v>12434</v>
      </c>
      <c r="F29" s="157">
        <f>COUNTA(акт_вх_апр)+COUNTA(акт_отб_апр)</f>
        <v>0</v>
      </c>
      <c r="G29" s="167"/>
      <c r="H29" s="167"/>
      <c r="I29" s="167"/>
      <c r="J29" s="159">
        <f>SUM(кол_отб_апр)</f>
        <v>0</v>
      </c>
      <c r="L29" s="1"/>
      <c r="M29" s="1"/>
      <c r="N29" s="1"/>
    </row>
    <row r="30" spans="1:14" x14ac:dyDescent="0.25">
      <c r="A30" s="318" t="s">
        <v>9</v>
      </c>
      <c r="B30" s="318"/>
      <c r="C30" s="318"/>
      <c r="D30" s="318"/>
      <c r="E30" s="318"/>
      <c r="F30" s="318"/>
      <c r="G30" s="318"/>
      <c r="H30" s="318"/>
      <c r="I30" s="318"/>
      <c r="J30" s="318"/>
      <c r="L30" s="1"/>
      <c r="M30" s="1"/>
      <c r="N30" s="1"/>
    </row>
    <row r="31" spans="1:14" s="138" customFormat="1" x14ac:dyDescent="0.25">
      <c r="A31" s="244">
        <v>7</v>
      </c>
      <c r="B31" s="185" t="s">
        <v>52</v>
      </c>
      <c r="C31" s="188" t="s">
        <v>241</v>
      </c>
      <c r="D31" s="146">
        <v>43965</v>
      </c>
      <c r="E31" s="189">
        <v>2985</v>
      </c>
      <c r="F31" s="244"/>
      <c r="G31" s="244"/>
      <c r="H31" s="244"/>
      <c r="I31" s="244"/>
      <c r="J31" s="244"/>
      <c r="L31" s="230"/>
      <c r="M31" s="230"/>
      <c r="N31" s="230"/>
    </row>
    <row r="32" spans="1:14" hidden="1" outlineLevel="1" x14ac:dyDescent="0.25">
      <c r="A32" s="231"/>
      <c r="B32" s="231"/>
      <c r="C32" s="231"/>
      <c r="D32" s="231"/>
      <c r="E32" s="231"/>
      <c r="F32" s="231"/>
      <c r="G32" s="231"/>
      <c r="H32" s="231"/>
      <c r="I32" s="231"/>
      <c r="J32" s="231"/>
      <c r="L32" s="1"/>
      <c r="M32" s="1"/>
      <c r="N32" s="1"/>
    </row>
    <row r="33" spans="1:14" hidden="1" outlineLevel="1" x14ac:dyDescent="0.25">
      <c r="A33" s="231"/>
      <c r="B33" s="231"/>
      <c r="C33" s="231"/>
      <c r="D33" s="231"/>
      <c r="E33" s="231"/>
      <c r="F33" s="231"/>
      <c r="G33" s="231"/>
      <c r="H33" s="231"/>
      <c r="I33" s="231"/>
      <c r="J33" s="231"/>
      <c r="L33" s="1"/>
      <c r="M33" s="1"/>
      <c r="N33" s="1"/>
    </row>
    <row r="34" spans="1:14" hidden="1" outlineLevel="1" x14ac:dyDescent="0.25">
      <c r="A34" s="231"/>
      <c r="B34" s="231"/>
      <c r="C34" s="231"/>
      <c r="D34" s="231"/>
      <c r="E34" s="231"/>
      <c r="F34" s="231"/>
      <c r="G34" s="231"/>
      <c r="H34" s="231"/>
      <c r="I34" s="231"/>
      <c r="J34" s="231"/>
      <c r="L34" s="1"/>
      <c r="M34" s="1"/>
      <c r="N34" s="1"/>
    </row>
    <row r="35" spans="1:14" hidden="1" outlineLevel="1" x14ac:dyDescent="0.25">
      <c r="A35" s="235"/>
      <c r="B35" s="235"/>
      <c r="C35" s="235"/>
      <c r="D35" s="236"/>
      <c r="E35" s="235"/>
      <c r="F35" s="235"/>
      <c r="G35" s="235"/>
      <c r="H35" s="235"/>
      <c r="I35" s="235"/>
      <c r="J35" s="235"/>
    </row>
    <row r="36" spans="1:14" collapsed="1" x14ac:dyDescent="0.25">
      <c r="A36" s="153" t="s">
        <v>17</v>
      </c>
      <c r="B36" s="154"/>
      <c r="C36" s="154" t="str">
        <f>"за "&amp;LOWER($A$30)</f>
        <v>за май</v>
      </c>
      <c r="D36" s="155">
        <f>COUNTA(май_пр)</f>
        <v>1</v>
      </c>
      <c r="E36" s="156">
        <f>SUM(май_кол)</f>
        <v>2985</v>
      </c>
      <c r="F36" s="157">
        <f>COUNTA(акт_вх_май)+COUNTA(акт_отб_май)</f>
        <v>0</v>
      </c>
      <c r="G36" s="167"/>
      <c r="H36" s="167"/>
      <c r="I36" s="167"/>
      <c r="J36" s="159">
        <f>SUM(кол_отб_май)</f>
        <v>0</v>
      </c>
    </row>
    <row r="37" spans="1:14" x14ac:dyDescent="0.25">
      <c r="A37" s="318" t="s">
        <v>10</v>
      </c>
      <c r="B37" s="318"/>
      <c r="C37" s="318"/>
      <c r="D37" s="318"/>
      <c r="E37" s="318"/>
      <c r="F37" s="318"/>
      <c r="G37" s="318"/>
      <c r="H37" s="318"/>
      <c r="I37" s="318"/>
      <c r="J37" s="318"/>
    </row>
    <row r="38" spans="1:14" x14ac:dyDescent="0.25">
      <c r="A38" s="143">
        <v>8</v>
      </c>
      <c r="B38" s="180" t="s">
        <v>53</v>
      </c>
      <c r="C38" s="181" t="s">
        <v>208</v>
      </c>
      <c r="D38" s="182">
        <v>43986</v>
      </c>
      <c r="E38" s="183">
        <v>4226</v>
      </c>
      <c r="F38" s="232"/>
      <c r="G38" s="232"/>
      <c r="H38" s="232"/>
      <c r="I38" s="232"/>
      <c r="J38" s="232"/>
    </row>
    <row r="39" spans="1:14" outlineLevel="1" x14ac:dyDescent="0.25">
      <c r="A39" s="143">
        <v>9</v>
      </c>
      <c r="B39" s="180" t="s">
        <v>53</v>
      </c>
      <c r="C39" s="181" t="s">
        <v>219</v>
      </c>
      <c r="D39" s="182">
        <v>44005</v>
      </c>
      <c r="E39" s="183">
        <v>3000</v>
      </c>
      <c r="F39" s="232"/>
      <c r="G39" s="232"/>
      <c r="H39" s="232"/>
      <c r="I39" s="232"/>
      <c r="J39" s="232"/>
    </row>
    <row r="40" spans="1:14" x14ac:dyDescent="0.25">
      <c r="A40" s="153" t="s">
        <v>17</v>
      </c>
      <c r="B40" s="154"/>
      <c r="C40" s="154" t="str">
        <f>"за "&amp;LOWER($A$37)</f>
        <v>за июнь</v>
      </c>
      <c r="D40" s="155">
        <f>COUNTA(июн_пр)</f>
        <v>2</v>
      </c>
      <c r="E40" s="156">
        <f>SUM(июн_кол)</f>
        <v>7226</v>
      </c>
      <c r="F40" s="157">
        <f>COUNTA(акт_вх_июн)+COUNTA(акт_отб_июн)</f>
        <v>0</v>
      </c>
      <c r="G40" s="167"/>
      <c r="H40" s="167"/>
      <c r="I40" s="167"/>
      <c r="J40" s="159">
        <f>SUM(кол_отб_июн)</f>
        <v>0</v>
      </c>
    </row>
    <row r="41" spans="1:14" ht="31.5" customHeight="1" x14ac:dyDescent="0.25">
      <c r="A41" s="168" t="s">
        <v>17</v>
      </c>
      <c r="B41" s="169"/>
      <c r="C41" s="169" t="s">
        <v>109</v>
      </c>
      <c r="D41" s="170">
        <f>SUM(D29,D36,D40)</f>
        <v>5</v>
      </c>
      <c r="E41" s="171">
        <f>SUM(E29,E36,E40)</f>
        <v>22645</v>
      </c>
      <c r="F41" s="172">
        <f>SUM(F29,F36,F40)</f>
        <v>0</v>
      </c>
      <c r="G41" s="169"/>
      <c r="H41" s="169" t="str">
        <f>"Кп= "&amp;ROUNDDOWN((F41/D41)*100,1)&amp;"%"</f>
        <v>Кп= 0%</v>
      </c>
      <c r="I41" s="169" t="str">
        <f>"Км= "&amp;ROUNDDOWN((J41/E41)*100,2)&amp;"%"</f>
        <v>Км= 0%</v>
      </c>
      <c r="J41" s="173">
        <f>SUM(J29,J36,J40)</f>
        <v>0</v>
      </c>
    </row>
    <row r="42" spans="1:14" ht="31.5" customHeight="1" x14ac:dyDescent="0.25">
      <c r="A42" s="168" t="s">
        <v>17</v>
      </c>
      <c r="B42" s="169"/>
      <c r="C42" s="169" t="s">
        <v>110</v>
      </c>
      <c r="D42" s="170">
        <f>SUM(D24,D41)</f>
        <v>9</v>
      </c>
      <c r="E42" s="171">
        <f>SUM(E41,E24)</f>
        <v>46163</v>
      </c>
      <c r="F42" s="172">
        <f>SUM(F41,F24)</f>
        <v>0</v>
      </c>
      <c r="G42" s="169"/>
      <c r="H42" s="169" t="str">
        <f>"Кп= "&amp;ROUNDDOWN((F42/D42)*100,1)&amp;"%"</f>
        <v>Кп= 0%</v>
      </c>
      <c r="I42" s="169" t="str">
        <f>"Км= "&amp;ROUNDDOWN((J42/E42)*100,2)&amp;"%"</f>
        <v>Км= 0%</v>
      </c>
      <c r="J42" s="173">
        <f>SUM(J41,J24)</f>
        <v>0</v>
      </c>
    </row>
    <row r="43" spans="1:14" ht="26.25" customHeight="1" outlineLevel="1" x14ac:dyDescent="0.25">
      <c r="A43" s="238" t="s">
        <v>20</v>
      </c>
      <c r="B43" s="238"/>
      <c r="C43" s="238"/>
      <c r="D43" s="239"/>
      <c r="E43" s="238"/>
      <c r="F43" s="238"/>
      <c r="G43" s="238" t="s">
        <v>21</v>
      </c>
      <c r="H43" s="238"/>
      <c r="I43" s="238"/>
      <c r="J43" s="238"/>
    </row>
    <row r="44" spans="1:14" x14ac:dyDescent="0.25">
      <c r="A44" s="304" t="s">
        <v>11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июль</v>
      </c>
      <c r="D50" s="29">
        <f>COUNTA(июл_пр)</f>
        <v>0</v>
      </c>
      <c r="E50" s="24">
        <f>SUM(июл_кол)</f>
        <v>0</v>
      </c>
      <c r="F50" s="25">
        <f>COUNTA(акт_вх_июл)+COUNTA(акт_отб_июл)</f>
        <v>0</v>
      </c>
      <c r="G50" s="44"/>
      <c r="H50" s="44"/>
      <c r="I50" s="44"/>
      <c r="J50" s="26">
        <f>SUM(кол_отб_июл)</f>
        <v>0</v>
      </c>
    </row>
    <row r="51" spans="1:10" x14ac:dyDescent="0.25">
      <c r="A51" s="304" t="s">
        <v>13</v>
      </c>
      <c r="B51" s="304"/>
      <c r="C51" s="304"/>
      <c r="D51" s="304"/>
      <c r="E51" s="304"/>
      <c r="F51" s="304"/>
      <c r="G51" s="304"/>
      <c r="H51" s="304"/>
      <c r="I51" s="304"/>
      <c r="J51" s="304"/>
    </row>
    <row r="52" spans="1:10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collapsed="1" x14ac:dyDescent="0.25">
      <c r="A57" s="6" t="s">
        <v>17</v>
      </c>
      <c r="B57" s="7"/>
      <c r="C57" s="7" t="str">
        <f>"за "&amp;LOWER($A$51)</f>
        <v>за август</v>
      </c>
      <c r="D57" s="29">
        <f>COUNTA(авг_пр)</f>
        <v>0</v>
      </c>
      <c r="E57" s="24">
        <f>SUM(авг_кол)</f>
        <v>0</v>
      </c>
      <c r="F57" s="25">
        <f>COUNTA(акт_вх_авг)+COUNTA(акт_отб_авг)</f>
        <v>0</v>
      </c>
      <c r="G57" s="44"/>
      <c r="H57" s="44"/>
      <c r="I57" s="44"/>
      <c r="J57" s="26">
        <f>SUM(кол_отб_авг)</f>
        <v>0</v>
      </c>
    </row>
    <row r="58" spans="1:10" x14ac:dyDescent="0.25">
      <c r="A58" s="304" t="s">
        <v>12</v>
      </c>
      <c r="B58" s="304"/>
      <c r="C58" s="304"/>
      <c r="D58" s="304"/>
      <c r="E58" s="304"/>
      <c r="F58" s="304"/>
      <c r="G58" s="304"/>
      <c r="H58" s="304"/>
      <c r="I58" s="304"/>
      <c r="J58" s="304"/>
    </row>
    <row r="59" spans="1:10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collapsed="1" x14ac:dyDescent="0.25">
      <c r="A64" s="6" t="s">
        <v>17</v>
      </c>
      <c r="B64" s="7"/>
      <c r="C64" s="7" t="str">
        <f>"за "&amp;LOWER($A$58)</f>
        <v>за сентябрь</v>
      </c>
      <c r="D64" s="29">
        <f>COUNTA(снт_пр)</f>
        <v>0</v>
      </c>
      <c r="E64" s="24">
        <f>SUM(снт_кол)</f>
        <v>0</v>
      </c>
      <c r="F64" s="25">
        <f>COUNTA(акт_вх_снт)+COUNTA(акт_отб_снт)</f>
        <v>0</v>
      </c>
      <c r="G64" s="44"/>
      <c r="H64" s="44"/>
      <c r="I64" s="44"/>
      <c r="J64" s="26">
        <f>SUM(кол_отб_снт)</f>
        <v>0</v>
      </c>
    </row>
    <row r="65" spans="1:10" ht="30" customHeight="1" x14ac:dyDescent="0.25">
      <c r="A65" s="38" t="s">
        <v>17</v>
      </c>
      <c r="B65" s="39"/>
      <c r="C65" s="39" t="s">
        <v>111</v>
      </c>
      <c r="D65" s="40">
        <f>SUM(D50,D57,D64)</f>
        <v>0</v>
      </c>
      <c r="E65" s="41">
        <f>SUM(E50,E57,E64)</f>
        <v>0</v>
      </c>
      <c r="F65" s="42">
        <f>SUM(F50,F57,F64)</f>
        <v>0</v>
      </c>
      <c r="G65" s="39"/>
      <c r="H65" s="39" t="e">
        <f>"Кп= "&amp;ROUNDDOWN((F65/D65)*100,1)&amp;"%"</f>
        <v>#DIV/0!</v>
      </c>
      <c r="I65" s="39" t="e">
        <f>"Км= "&amp;ROUNDDOWN((J65/E65)*100,2)&amp;"%"</f>
        <v>#DIV/0!</v>
      </c>
      <c r="J65" s="43">
        <f>SUM(J50,J57,J64)</f>
        <v>0</v>
      </c>
    </row>
    <row r="66" spans="1:10" ht="30" customHeight="1" x14ac:dyDescent="0.25">
      <c r="A66" s="38" t="s">
        <v>17</v>
      </c>
      <c r="B66" s="39"/>
      <c r="C66" s="39" t="s">
        <v>113</v>
      </c>
      <c r="D66" s="40">
        <f>SUM(D42,D65)</f>
        <v>9</v>
      </c>
      <c r="E66" s="41">
        <f>SUM(E65,E42)</f>
        <v>46163</v>
      </c>
      <c r="F66" s="42">
        <f>SUM(F65,F42)</f>
        <v>0</v>
      </c>
      <c r="G66" s="39"/>
      <c r="H66" s="39" t="str">
        <f>"Кп= "&amp;ROUNDDOWN((F66/D66)*100,1)&amp;"%"</f>
        <v>Кп= 0%</v>
      </c>
      <c r="I66" s="39" t="str">
        <f>"Км= "&amp;ROUNDDOWN((J66/E66)*100,2)&amp;"%"</f>
        <v>Км= 0%</v>
      </c>
      <c r="J66" s="43">
        <f>SUM(J65,J42)</f>
        <v>0</v>
      </c>
    </row>
    <row r="67" spans="1:10" ht="29.25" hidden="1" customHeight="1" outlineLevel="1" x14ac:dyDescent="0.25">
      <c r="A67" s="8" t="s">
        <v>19</v>
      </c>
      <c r="B67" s="8"/>
      <c r="C67" s="8"/>
      <c r="D67" s="9"/>
      <c r="E67" s="8"/>
      <c r="F67" s="8"/>
      <c r="G67" s="8" t="s">
        <v>22</v>
      </c>
      <c r="H67" s="8"/>
      <c r="I67" s="8"/>
      <c r="J67" s="8"/>
    </row>
    <row r="68" spans="1:10" ht="24.75" hidden="1" customHeight="1" outlineLevel="1" x14ac:dyDescent="0.25">
      <c r="A68" s="8" t="s">
        <v>20</v>
      </c>
      <c r="B68" s="8"/>
      <c r="C68" s="8"/>
      <c r="D68" s="9"/>
      <c r="E68" s="8"/>
      <c r="F68" s="8"/>
      <c r="G68" s="8" t="s">
        <v>21</v>
      </c>
      <c r="H68" s="8"/>
      <c r="I68" s="8"/>
      <c r="J68" s="8"/>
    </row>
    <row r="69" spans="1:10" ht="15" customHeight="1" collapsed="1" x14ac:dyDescent="0.25">
      <c r="A69" s="304" t="s">
        <v>14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октябрь</v>
      </c>
      <c r="D75" s="29">
        <f>COUNTA(окт_пр)</f>
        <v>0</v>
      </c>
      <c r="E75" s="24">
        <f>SUM(окт_кол)</f>
        <v>0</v>
      </c>
      <c r="F75" s="25">
        <f>COUNTA(акт_вх_окт)+COUNTA(акт_отб_окт)</f>
        <v>0</v>
      </c>
      <c r="G75" s="44"/>
      <c r="H75" s="44"/>
      <c r="I75" s="44"/>
      <c r="J75" s="26">
        <f>SUM(кол_отб_окт)</f>
        <v>0</v>
      </c>
    </row>
    <row r="76" spans="1:10" x14ac:dyDescent="0.25">
      <c r="A76" s="304" t="s">
        <v>15</v>
      </c>
      <c r="B76" s="304"/>
      <c r="C76" s="304"/>
      <c r="D76" s="304"/>
      <c r="E76" s="304"/>
      <c r="F76" s="304"/>
      <c r="G76" s="304"/>
      <c r="H76" s="304"/>
      <c r="I76" s="304"/>
      <c r="J76" s="304"/>
    </row>
    <row r="77" spans="1:10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collapsed="1" x14ac:dyDescent="0.25">
      <c r="A82" s="6" t="s">
        <v>17</v>
      </c>
      <c r="B82" s="7"/>
      <c r="C82" s="7" t="str">
        <f>"за "&amp;LOWER($A$76)</f>
        <v>за ноябрь</v>
      </c>
      <c r="D82" s="29">
        <f>COUNTA(нбр_пр)</f>
        <v>0</v>
      </c>
      <c r="E82" s="24">
        <f>SUM(нбр_кол)</f>
        <v>0</v>
      </c>
      <c r="F82" s="25">
        <f>COUNTA(акт_вх_нбр)+COUNTA(акт_отб_нбр)</f>
        <v>0</v>
      </c>
      <c r="G82" s="44"/>
      <c r="H82" s="44"/>
      <c r="I82" s="44"/>
      <c r="J82" s="26">
        <f>SUM(кол_отб_нбр)</f>
        <v>0</v>
      </c>
    </row>
    <row r="83" spans="1:10" x14ac:dyDescent="0.25">
      <c r="A83" s="304" t="s">
        <v>16</v>
      </c>
      <c r="B83" s="304"/>
      <c r="C83" s="304"/>
      <c r="D83" s="304"/>
      <c r="E83" s="304"/>
      <c r="F83" s="304"/>
      <c r="G83" s="304"/>
      <c r="H83" s="304"/>
      <c r="I83" s="304"/>
      <c r="J83" s="304"/>
    </row>
    <row r="84" spans="1:10" x14ac:dyDescent="0.25">
      <c r="A84" s="31"/>
      <c r="B84" s="31"/>
      <c r="C84" s="31"/>
      <c r="D84" s="31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1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1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1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1"/>
      <c r="E88" s="31"/>
      <c r="F88" s="31"/>
      <c r="G88" s="31"/>
      <c r="H88" s="31"/>
      <c r="I88" s="31"/>
      <c r="J88" s="31"/>
    </row>
    <row r="89" spans="1:10" collapsed="1" x14ac:dyDescent="0.25">
      <c r="A89" s="6" t="s">
        <v>17</v>
      </c>
      <c r="B89" s="7"/>
      <c r="C89" s="7" t="str">
        <f>"за "&amp;LOWER($A$83)</f>
        <v>за декабрь</v>
      </c>
      <c r="D89" s="29">
        <f>COUNTA(дкб_пр)</f>
        <v>0</v>
      </c>
      <c r="E89" s="24">
        <f>SUM(дкб_кол)</f>
        <v>0</v>
      </c>
      <c r="F89" s="25">
        <f>COUNTA(акт_вх_дкб)+COUNTA(акт_отб_дкб)</f>
        <v>0</v>
      </c>
      <c r="G89" s="44"/>
      <c r="H89" s="44"/>
      <c r="I89" s="44"/>
      <c r="J89" s="26">
        <f>SUM(кол_отб_дкб)</f>
        <v>0</v>
      </c>
    </row>
    <row r="90" spans="1:10" ht="32.25" customHeight="1" x14ac:dyDescent="0.25">
      <c r="A90" s="38" t="s">
        <v>17</v>
      </c>
      <c r="B90" s="39"/>
      <c r="C90" s="39" t="s">
        <v>112</v>
      </c>
      <c r="D90" s="40">
        <f>SUM(D75,D82,D89)</f>
        <v>0</v>
      </c>
      <c r="E90" s="41">
        <f>SUM(E75,E82,E89)</f>
        <v>0</v>
      </c>
      <c r="F90" s="42">
        <f>SUM(F75,F82,F89)</f>
        <v>0</v>
      </c>
      <c r="G90" s="39"/>
      <c r="H90" s="39" t="e">
        <f>"Кп= "&amp;ROUNDDOWN((F90/D90)*100,1)&amp;"%"</f>
        <v>#DIV/0!</v>
      </c>
      <c r="I90" s="39" t="e">
        <f>"Км= "&amp;ROUNDDOWN((J90/E90)*100,2)&amp;"%"</f>
        <v>#DIV/0!</v>
      </c>
      <c r="J90" s="43">
        <f>SUM(J75,J82,J89)</f>
        <v>0</v>
      </c>
    </row>
    <row r="91" spans="1:10" ht="27" customHeight="1" x14ac:dyDescent="0.25">
      <c r="A91" s="38" t="s">
        <v>17</v>
      </c>
      <c r="B91" s="39"/>
      <c r="C91" s="39" t="s">
        <v>114</v>
      </c>
      <c r="D91" s="40">
        <f>SUM(D90,D66)</f>
        <v>9</v>
      </c>
      <c r="E91" s="41">
        <f>SUM(E90,E66)</f>
        <v>46163</v>
      </c>
      <c r="F91" s="42">
        <f>SUM(F90,F66)</f>
        <v>0</v>
      </c>
      <c r="G91" s="39"/>
      <c r="H91" s="39" t="str">
        <f>"Кп= "&amp;ROUNDDOWN((F91/D91)*100,1)&amp;"%"</f>
        <v>Кп= 0%</v>
      </c>
      <c r="I91" s="39" t="str">
        <f>"Км= "&amp;ROUNDDOWN((J91/E91)*100,2)&amp;"%"</f>
        <v>Км= 0%</v>
      </c>
      <c r="J91" s="43">
        <f>SUM(J90,J66)</f>
        <v>0</v>
      </c>
    </row>
    <row r="92" spans="1:10" ht="26.25" customHeight="1" x14ac:dyDescent="0.25">
      <c r="A92" s="8" t="s">
        <v>20</v>
      </c>
      <c r="B92" s="8"/>
      <c r="C92" s="8"/>
      <c r="D92" s="9"/>
      <c r="E92" s="8"/>
      <c r="F92" s="8"/>
      <c r="G92" s="8" t="s">
        <v>21</v>
      </c>
      <c r="H92" s="8"/>
      <c r="I92" s="8"/>
      <c r="J92" s="8"/>
    </row>
  </sheetData>
  <sheetProtection algorithmName="SHA-512" hashValue="T3PWSvloYeapoGLGTYMNy2ho9tpGmGuO5HInXtwDg7sT2/aUZQ1lLDQ2GA7CmlbVVKKJCgYVHB2PmUxpXUauug==" saltValue="5V9TR/51wHhQYil8CbMcf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3:J83"/>
    <mergeCell ref="A6:J6"/>
    <mergeCell ref="A13:J13"/>
    <mergeCell ref="A17:J17"/>
    <mergeCell ref="A26:J26"/>
    <mergeCell ref="A30:J30"/>
    <mergeCell ref="A37:J37"/>
    <mergeCell ref="A44:J44"/>
    <mergeCell ref="A51:J51"/>
    <mergeCell ref="A58:J58"/>
    <mergeCell ref="A69:J69"/>
    <mergeCell ref="A76:J7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93EE9-87AB-48AA-ACD0-0280FCB0D43F}">
  <sheetPr codeName="Лист9">
    <pageSetUpPr fitToPage="1"/>
  </sheetPr>
  <dimension ref="A1:N98"/>
  <sheetViews>
    <sheetView zoomScaleNormal="100" workbookViewId="0">
      <pane ySplit="4" topLeftCell="A15" activePane="bottomLeft" state="frozen"/>
      <selection activeCell="A2" sqref="A2:J2"/>
      <selection pane="bottomLeft" activeCell="E34" sqref="E3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228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51</v>
      </c>
      <c r="C7" s="145">
        <v>5</v>
      </c>
      <c r="D7" s="146">
        <v>43839</v>
      </c>
      <c r="E7" s="147">
        <v>5500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5500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85" t="s">
        <v>51</v>
      </c>
      <c r="C14" s="145" t="s">
        <v>126</v>
      </c>
      <c r="D14" s="146">
        <v>43866</v>
      </c>
      <c r="E14" s="147">
        <v>7000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60" t="s">
        <v>51</v>
      </c>
      <c r="C15" s="145" t="s">
        <v>138</v>
      </c>
      <c r="D15" s="146">
        <v>43873</v>
      </c>
      <c r="E15" s="147">
        <v>1500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8500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51</v>
      </c>
      <c r="C18" s="163" t="s">
        <v>163</v>
      </c>
      <c r="D18" s="164">
        <v>43901</v>
      </c>
      <c r="E18" s="186">
        <v>6000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6000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20000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s="138" customFormat="1" ht="31.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230"/>
      <c r="M25" s="230"/>
      <c r="N25" s="230"/>
    </row>
    <row r="26" spans="1:14" s="138" customFormat="1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230"/>
      <c r="M26" s="230"/>
      <c r="N26" s="230"/>
    </row>
    <row r="27" spans="1:14" s="138" customFormat="1" x14ac:dyDescent="0.25">
      <c r="A27" s="243">
        <v>5</v>
      </c>
      <c r="B27" s="185" t="s">
        <v>51</v>
      </c>
      <c r="C27" s="188" t="s">
        <v>241</v>
      </c>
      <c r="D27" s="146">
        <v>43927</v>
      </c>
      <c r="E27" s="189">
        <v>9500</v>
      </c>
      <c r="F27" s="243"/>
      <c r="G27" s="243"/>
      <c r="H27" s="243"/>
      <c r="I27" s="243"/>
      <c r="J27" s="243"/>
      <c r="L27" s="230"/>
      <c r="M27" s="230"/>
      <c r="N27" s="230"/>
    </row>
    <row r="28" spans="1:14" s="138" customFormat="1" hidden="1" outlineLevel="1" x14ac:dyDescent="0.25">
      <c r="A28" s="243"/>
      <c r="B28" s="243"/>
      <c r="C28" s="243"/>
      <c r="D28" s="243"/>
      <c r="E28" s="243"/>
      <c r="F28" s="243"/>
      <c r="G28" s="243"/>
      <c r="H28" s="243"/>
      <c r="I28" s="243"/>
      <c r="J28" s="243"/>
      <c r="L28" s="230"/>
      <c r="M28" s="230"/>
      <c r="N28" s="230"/>
    </row>
    <row r="29" spans="1:14" s="138" customFormat="1" hidden="1" outlineLevel="1" x14ac:dyDescent="0.25">
      <c r="A29" s="243"/>
      <c r="B29" s="243"/>
      <c r="C29" s="243"/>
      <c r="D29" s="243"/>
      <c r="E29" s="243"/>
      <c r="F29" s="243"/>
      <c r="G29" s="243"/>
      <c r="H29" s="243"/>
      <c r="I29" s="243"/>
      <c r="J29" s="243"/>
      <c r="L29" s="230"/>
      <c r="M29" s="230"/>
      <c r="N29" s="230"/>
    </row>
    <row r="30" spans="1:14" s="138" customFormat="1" hidden="1" outlineLevel="1" x14ac:dyDescent="0.25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L30" s="230"/>
      <c r="M30" s="230"/>
      <c r="N30" s="230"/>
    </row>
    <row r="31" spans="1:14" s="138" customFormat="1" hidden="1" outlineLevel="1" x14ac:dyDescent="0.25">
      <c r="A31" s="232"/>
      <c r="B31" s="232"/>
      <c r="C31" s="232"/>
      <c r="D31" s="237"/>
      <c r="E31" s="232"/>
      <c r="F31" s="232"/>
      <c r="G31" s="232"/>
      <c r="H31" s="232"/>
      <c r="I31" s="232"/>
      <c r="J31" s="232"/>
      <c r="L31" s="230"/>
      <c r="M31" s="230"/>
      <c r="N31" s="230"/>
    </row>
    <row r="32" spans="1:14" s="138" customFormat="1" collapsed="1" x14ac:dyDescent="0.25">
      <c r="A32" s="153" t="s">
        <v>17</v>
      </c>
      <c r="B32" s="154"/>
      <c r="C32" s="154" t="str">
        <f>"за "&amp;LOWER($A$26)</f>
        <v>за апрель</v>
      </c>
      <c r="D32" s="155">
        <f>COUNTA(апр_пр)</f>
        <v>1</v>
      </c>
      <c r="E32" s="156">
        <f>SUM(апр_кол)</f>
        <v>9500</v>
      </c>
      <c r="F32" s="157">
        <f>COUNTA(акт_вх_апр)+COUNTA(акт_отб_апр)</f>
        <v>0</v>
      </c>
      <c r="G32" s="167"/>
      <c r="H32" s="167"/>
      <c r="I32" s="167"/>
      <c r="J32" s="159">
        <f>SUM(кол_отб_апр)</f>
        <v>0</v>
      </c>
      <c r="L32" s="230"/>
      <c r="M32" s="230"/>
      <c r="N32" s="230"/>
    </row>
    <row r="33" spans="1:14" s="138" customFormat="1" x14ac:dyDescent="0.25">
      <c r="A33" s="318" t="s">
        <v>9</v>
      </c>
      <c r="B33" s="318"/>
      <c r="C33" s="318"/>
      <c r="D33" s="318"/>
      <c r="E33" s="318"/>
      <c r="F33" s="318"/>
      <c r="G33" s="318"/>
      <c r="H33" s="318"/>
      <c r="I33" s="318"/>
      <c r="J33" s="318"/>
      <c r="L33" s="230"/>
      <c r="M33" s="230"/>
      <c r="N33" s="230"/>
    </row>
    <row r="34" spans="1:14" s="138" customFormat="1" x14ac:dyDescent="0.25">
      <c r="A34" s="143">
        <v>6</v>
      </c>
      <c r="B34" s="180" t="s">
        <v>51</v>
      </c>
      <c r="C34" s="181" t="s">
        <v>185</v>
      </c>
      <c r="D34" s="182">
        <v>43963</v>
      </c>
      <c r="E34" s="190">
        <v>6000</v>
      </c>
      <c r="F34" s="244"/>
      <c r="G34" s="244"/>
      <c r="H34" s="244"/>
      <c r="I34" s="244"/>
      <c r="J34" s="244"/>
      <c r="L34" s="230"/>
      <c r="M34" s="230"/>
      <c r="N34" s="230"/>
    </row>
    <row r="35" spans="1:14" s="138" customFormat="1" hidden="1" outlineLevel="1" x14ac:dyDescent="0.25">
      <c r="A35" s="231"/>
      <c r="B35" s="231"/>
      <c r="C35" s="231"/>
      <c r="D35" s="231"/>
      <c r="E35" s="231"/>
      <c r="F35" s="231"/>
      <c r="G35" s="231"/>
      <c r="H35" s="231"/>
      <c r="I35" s="231"/>
      <c r="J35" s="231"/>
      <c r="L35" s="230"/>
      <c r="M35" s="230"/>
      <c r="N35" s="230"/>
    </row>
    <row r="36" spans="1:14" s="138" customFormat="1" hidden="1" outlineLevel="1" x14ac:dyDescent="0.25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L36" s="230"/>
      <c r="M36" s="230"/>
      <c r="N36" s="230"/>
    </row>
    <row r="37" spans="1:14" s="138" customFormat="1" hidden="1" outlineLevel="1" x14ac:dyDescent="0.25">
      <c r="A37" s="231"/>
      <c r="B37" s="231"/>
      <c r="C37" s="231"/>
      <c r="D37" s="231"/>
      <c r="E37" s="231"/>
      <c r="F37" s="231"/>
      <c r="G37" s="231"/>
      <c r="H37" s="231"/>
      <c r="I37" s="231"/>
      <c r="J37" s="231"/>
      <c r="L37" s="230"/>
      <c r="M37" s="230"/>
      <c r="N37" s="230"/>
    </row>
    <row r="38" spans="1:14" s="138" customFormat="1" hidden="1" outlineLevel="1" x14ac:dyDescent="0.25">
      <c r="A38" s="235"/>
      <c r="B38" s="235"/>
      <c r="C38" s="235"/>
      <c r="D38" s="236"/>
      <c r="E38" s="235"/>
      <c r="F38" s="235"/>
      <c r="G38" s="235"/>
      <c r="H38" s="235"/>
      <c r="I38" s="235"/>
      <c r="J38" s="235"/>
    </row>
    <row r="39" spans="1:14" s="138" customFormat="1" collapsed="1" x14ac:dyDescent="0.25">
      <c r="A39" s="153" t="s">
        <v>17</v>
      </c>
      <c r="B39" s="154"/>
      <c r="C39" s="154" t="str">
        <f>"за "&amp;LOWER($A$33)</f>
        <v>за май</v>
      </c>
      <c r="D39" s="155">
        <f>COUNTA(май_пр)</f>
        <v>1</v>
      </c>
      <c r="E39" s="156">
        <f>SUM(май_кол)</f>
        <v>6000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x14ac:dyDescent="0.25">
      <c r="A41" s="143">
        <v>7</v>
      </c>
      <c r="B41" s="180" t="s">
        <v>51</v>
      </c>
      <c r="C41" s="181" t="s">
        <v>209</v>
      </c>
      <c r="D41" s="182">
        <v>43986</v>
      </c>
      <c r="E41" s="183">
        <v>8000</v>
      </c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8000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SUM(D32,D39,D46)</f>
        <v>3</v>
      </c>
      <c r="E47" s="171">
        <f>SUM(E32,E39,E46)</f>
        <v>23500</v>
      </c>
      <c r="F47" s="172">
        <f>SUM(F32,F39,F46)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SUM(J32,J39,J46)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SUM(D24,D47)</f>
        <v>7</v>
      </c>
      <c r="E48" s="171">
        <f>SUM(E47,E24)</f>
        <v>43500</v>
      </c>
      <c r="F48" s="172">
        <f>SUM(F47,F24)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SUM(J47,J24)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7</v>
      </c>
      <c r="E72" s="41">
        <f>SUM(E71,E48)</f>
        <v>43500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7</v>
      </c>
      <c r="E97" s="41">
        <f>SUM(E96,E72)</f>
        <v>43500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JcI/O9es0mKsbOSsWV8rcBk6TvBFNv0CSMLiPtiHSscu3Q7M+T8cYSdJbyVgwEKIFFCvL6odhR3Ofb2JBKPJzA==" saltValue="xr2VPRGLWBhFRqgnzEMqPw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17:J17"/>
    <mergeCell ref="A26:J26"/>
    <mergeCell ref="A33:J33"/>
    <mergeCell ref="A40:J40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08690C-0A6D-4FC8-BEC9-833A94259A79}">
  <sheetPr codeName="Лист11">
    <pageSetUpPr fitToPage="1"/>
  </sheetPr>
  <dimension ref="A1:N101"/>
  <sheetViews>
    <sheetView zoomScaleNormal="100" workbookViewId="0">
      <pane ySplit="4" topLeftCell="A5" activePane="bottomLeft" state="frozen"/>
      <selection activeCell="A2" sqref="A2:J2"/>
      <selection pane="bottomLeft" activeCell="J52" sqref="A1:J52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231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30" x14ac:dyDescent="0.25">
      <c r="A14" s="143">
        <v>1</v>
      </c>
      <c r="B14" s="160" t="s">
        <v>55</v>
      </c>
      <c r="C14" s="145" t="s">
        <v>140</v>
      </c>
      <c r="D14" s="146">
        <v>43875</v>
      </c>
      <c r="E14" s="147">
        <v>1888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1888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25.5" customHeight="1" x14ac:dyDescent="0.25">
      <c r="A27" s="168" t="s">
        <v>17</v>
      </c>
      <c r="B27" s="169"/>
      <c r="C27" s="169" t="s">
        <v>18</v>
      </c>
      <c r="D27" s="170">
        <f>SUM(D12,D19,D26)</f>
        <v>1</v>
      </c>
      <c r="E27" s="171">
        <f>SUM(E12,E19,E26)</f>
        <v>1888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26.2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0</v>
      </c>
      <c r="E42" s="156">
        <f>SUM(май_кол)</f>
        <v>0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0</v>
      </c>
      <c r="E50" s="171">
        <f>SUM(E35,E42,E49)</f>
        <v>0</v>
      </c>
      <c r="F50" s="172">
        <f>SUM(F35,F42,F49)</f>
        <v>0</v>
      </c>
      <c r="G50" s="169"/>
      <c r="H50" s="169" t="s">
        <v>245</v>
      </c>
      <c r="I50" s="169" t="s">
        <v>245</v>
      </c>
      <c r="J50" s="173">
        <f>SUM(J35,J42,J49)</f>
        <v>0</v>
      </c>
    </row>
    <row r="51" spans="1:10" ht="31.5" customHeight="1" x14ac:dyDescent="0.25">
      <c r="A51" s="168" t="s">
        <v>17</v>
      </c>
      <c r="B51" s="169"/>
      <c r="C51" s="169" t="s">
        <v>110</v>
      </c>
      <c r="D51" s="170">
        <f>SUM(D27,D50)</f>
        <v>1</v>
      </c>
      <c r="E51" s="171">
        <f>SUM(E50,E27)</f>
        <v>1888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26.25" customHeight="1" outlineLevel="1" x14ac:dyDescent="0.25">
      <c r="A52" s="238" t="s">
        <v>20</v>
      </c>
      <c r="B52" s="238"/>
      <c r="C52" s="238"/>
      <c r="D52" s="239"/>
      <c r="E52" s="238"/>
      <c r="F52" s="238"/>
      <c r="G52" s="238" t="s">
        <v>21</v>
      </c>
      <c r="H52" s="238"/>
      <c r="I52" s="238"/>
      <c r="J52" s="238"/>
    </row>
    <row r="53" spans="1:10" x14ac:dyDescent="0.25">
      <c r="A53" s="304" t="s">
        <v>11</v>
      </c>
      <c r="B53" s="304"/>
      <c r="C53" s="304"/>
      <c r="D53" s="304"/>
      <c r="E53" s="304"/>
      <c r="F53" s="304"/>
      <c r="G53" s="304"/>
      <c r="H53" s="304"/>
      <c r="I53" s="304"/>
      <c r="J53" s="304"/>
    </row>
    <row r="54" spans="1:10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collapsed="1" x14ac:dyDescent="0.25">
      <c r="A59" s="6" t="s">
        <v>17</v>
      </c>
      <c r="B59" s="7"/>
      <c r="C59" s="7" t="str">
        <f>"за "&amp;LOWER($A$53)</f>
        <v>за июль</v>
      </c>
      <c r="D59" s="29">
        <f>COUNTA(июл_пр)</f>
        <v>0</v>
      </c>
      <c r="E59" s="24">
        <f>SUM(июл_кол)</f>
        <v>0</v>
      </c>
      <c r="F59" s="25">
        <f>COUNTA(акт_вх_июл)+COUNTA(акт_отб_июл)</f>
        <v>0</v>
      </c>
      <c r="G59" s="44"/>
      <c r="H59" s="44"/>
      <c r="I59" s="44"/>
      <c r="J59" s="26">
        <f>SUM(кол_отб_июл)</f>
        <v>0</v>
      </c>
    </row>
    <row r="60" spans="1:10" x14ac:dyDescent="0.25">
      <c r="A60" s="304" t="s">
        <v>13</v>
      </c>
      <c r="B60" s="304"/>
      <c r="C60" s="304"/>
      <c r="D60" s="304"/>
      <c r="E60" s="304"/>
      <c r="F60" s="304"/>
      <c r="G60" s="304"/>
      <c r="H60" s="304"/>
      <c r="I60" s="304"/>
      <c r="J60" s="304"/>
    </row>
    <row r="61" spans="1:10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collapsed="1" x14ac:dyDescent="0.25">
      <c r="A66" s="6" t="s">
        <v>17</v>
      </c>
      <c r="B66" s="7"/>
      <c r="C66" s="7" t="str">
        <f>"за "&amp;LOWER($A$60)</f>
        <v>за август</v>
      </c>
      <c r="D66" s="29">
        <f>COUNTA(авг_пр)</f>
        <v>0</v>
      </c>
      <c r="E66" s="24">
        <f>SUM(авг_кол)</f>
        <v>0</v>
      </c>
      <c r="F66" s="25">
        <f>COUNTA(акт_вх_авг)+COUNTA(акт_отб_авг)</f>
        <v>0</v>
      </c>
      <c r="G66" s="44"/>
      <c r="H66" s="44"/>
      <c r="I66" s="44"/>
      <c r="J66" s="26">
        <f>SUM(кол_отб_авг)</f>
        <v>0</v>
      </c>
    </row>
    <row r="67" spans="1:10" x14ac:dyDescent="0.25">
      <c r="A67" s="304" t="s">
        <v>12</v>
      </c>
      <c r="B67" s="304"/>
      <c r="C67" s="304"/>
      <c r="D67" s="304"/>
      <c r="E67" s="304"/>
      <c r="F67" s="304"/>
      <c r="G67" s="304"/>
      <c r="H67" s="304"/>
      <c r="I67" s="304"/>
      <c r="J67" s="304"/>
    </row>
    <row r="68" spans="1:10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collapsed="1" x14ac:dyDescent="0.25">
      <c r="A73" s="6" t="s">
        <v>17</v>
      </c>
      <c r="B73" s="7"/>
      <c r="C73" s="7" t="str">
        <f>"за "&amp;LOWER($A$67)</f>
        <v>за сентябрь</v>
      </c>
      <c r="D73" s="29">
        <f>COUNTA(снт_пр)</f>
        <v>0</v>
      </c>
      <c r="E73" s="24">
        <f>SUM(снт_кол)</f>
        <v>0</v>
      </c>
      <c r="F73" s="25">
        <f>COUNTA(акт_вх_снт)+COUNTA(акт_отб_снт)</f>
        <v>0</v>
      </c>
      <c r="G73" s="44"/>
      <c r="H73" s="44"/>
      <c r="I73" s="44"/>
      <c r="J73" s="26">
        <f>SUM(кол_отб_снт)</f>
        <v>0</v>
      </c>
    </row>
    <row r="74" spans="1:10" ht="30" customHeight="1" x14ac:dyDescent="0.25">
      <c r="A74" s="38" t="s">
        <v>17</v>
      </c>
      <c r="B74" s="39"/>
      <c r="C74" s="39" t="s">
        <v>111</v>
      </c>
      <c r="D74" s="40">
        <f>SUM(D59,D66,D73)</f>
        <v>0</v>
      </c>
      <c r="E74" s="41">
        <f>SUM(E59,E66,E73)</f>
        <v>0</v>
      </c>
      <c r="F74" s="42">
        <f>SUM(F59,F66,F73)</f>
        <v>0</v>
      </c>
      <c r="G74" s="39"/>
      <c r="H74" s="39" t="e">
        <f>"Кп= "&amp;ROUNDDOWN((F74/D74)*100,1)&amp;"%"</f>
        <v>#DIV/0!</v>
      </c>
      <c r="I74" s="39" t="e">
        <f>"Км= "&amp;ROUNDDOWN((J74/E74)*100,2)&amp;"%"</f>
        <v>#DIV/0!</v>
      </c>
      <c r="J74" s="43">
        <f>SUM(J59,J66,J73)</f>
        <v>0</v>
      </c>
    </row>
    <row r="75" spans="1:10" ht="30" customHeight="1" x14ac:dyDescent="0.25">
      <c r="A75" s="38" t="s">
        <v>17</v>
      </c>
      <c r="B75" s="39"/>
      <c r="C75" s="39" t="s">
        <v>113</v>
      </c>
      <c r="D75" s="40">
        <f>SUM(D51,D74)</f>
        <v>1</v>
      </c>
      <c r="E75" s="41">
        <f>SUM(E74,E51)</f>
        <v>1888</v>
      </c>
      <c r="F75" s="42">
        <f>SUM(F74,F51)</f>
        <v>0</v>
      </c>
      <c r="G75" s="39"/>
      <c r="H75" s="39" t="str">
        <f>"Кп= "&amp;ROUNDDOWN((F75/D75)*100,1)&amp;"%"</f>
        <v>Кп= 0%</v>
      </c>
      <c r="I75" s="39" t="str">
        <f>"Км= "&amp;ROUNDDOWN((J75/E75)*100,2)&amp;"%"</f>
        <v>Км= 0%</v>
      </c>
      <c r="J75" s="43">
        <f>SUM(J74,J51)</f>
        <v>0</v>
      </c>
    </row>
    <row r="76" spans="1:10" ht="29.25" hidden="1" customHeight="1" outlineLevel="1" x14ac:dyDescent="0.25">
      <c r="A76" s="8" t="s">
        <v>19</v>
      </c>
      <c r="B76" s="8"/>
      <c r="C76" s="8"/>
      <c r="D76" s="9"/>
      <c r="E76" s="8"/>
      <c r="F76" s="8"/>
      <c r="G76" s="8" t="s">
        <v>22</v>
      </c>
      <c r="H76" s="8"/>
      <c r="I76" s="8"/>
      <c r="J76" s="8"/>
    </row>
    <row r="77" spans="1:10" ht="24.75" hidden="1" customHeight="1" outlineLevel="1" x14ac:dyDescent="0.25">
      <c r="A77" s="8" t="s">
        <v>20</v>
      </c>
      <c r="B77" s="8"/>
      <c r="C77" s="8"/>
      <c r="D77" s="9"/>
      <c r="E77" s="8"/>
      <c r="F77" s="8"/>
      <c r="G77" s="8" t="s">
        <v>21</v>
      </c>
      <c r="H77" s="8"/>
      <c r="I77" s="8"/>
      <c r="J77" s="8"/>
    </row>
    <row r="78" spans="1:10" ht="15" customHeight="1" collapsed="1" x14ac:dyDescent="0.25">
      <c r="A78" s="304" t="s">
        <v>14</v>
      </c>
      <c r="B78" s="304"/>
      <c r="C78" s="304"/>
      <c r="D78" s="304"/>
      <c r="E78" s="304"/>
      <c r="F78" s="304"/>
      <c r="G78" s="304"/>
      <c r="H78" s="304"/>
      <c r="I78" s="304"/>
      <c r="J78" s="304"/>
    </row>
    <row r="79" spans="1:10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collapsed="1" x14ac:dyDescent="0.25">
      <c r="A84" s="6" t="s">
        <v>17</v>
      </c>
      <c r="B84" s="7"/>
      <c r="C84" s="7" t="str">
        <f>"за "&amp;LOWER($A$78)</f>
        <v>за октябрь</v>
      </c>
      <c r="D84" s="29">
        <f>COUNTA(окт_пр)</f>
        <v>0</v>
      </c>
      <c r="E84" s="24">
        <f>SUM(окт_кол)</f>
        <v>0</v>
      </c>
      <c r="F84" s="25">
        <f>COUNTA(акт_вх_окт)+COUNTA(акт_отб_окт)</f>
        <v>0</v>
      </c>
      <c r="G84" s="44"/>
      <c r="H84" s="44"/>
      <c r="I84" s="44"/>
      <c r="J84" s="26">
        <f>SUM(кол_отб_окт)</f>
        <v>0</v>
      </c>
    </row>
    <row r="85" spans="1:10" x14ac:dyDescent="0.25">
      <c r="A85" s="304" t="s">
        <v>15</v>
      </c>
      <c r="B85" s="304"/>
      <c r="C85" s="304"/>
      <c r="D85" s="304"/>
      <c r="E85" s="304"/>
      <c r="F85" s="304"/>
      <c r="G85" s="304"/>
      <c r="H85" s="304"/>
      <c r="I85" s="304"/>
      <c r="J85" s="304"/>
    </row>
    <row r="86" spans="1:10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collapsed="1" x14ac:dyDescent="0.25">
      <c r="A91" s="6" t="s">
        <v>17</v>
      </c>
      <c r="B91" s="7"/>
      <c r="C91" s="7" t="str">
        <f>"за "&amp;LOWER($A$85)</f>
        <v>за ноябрь</v>
      </c>
      <c r="D91" s="29">
        <f>COUNTA(нбр_пр)</f>
        <v>0</v>
      </c>
      <c r="E91" s="24">
        <f>SUM(нбр_кол)</f>
        <v>0</v>
      </c>
      <c r="F91" s="25">
        <f>COUNTA(акт_вх_нбр)+COUNTA(акт_отб_нбр)</f>
        <v>0</v>
      </c>
      <c r="G91" s="44"/>
      <c r="H91" s="44"/>
      <c r="I91" s="44"/>
      <c r="J91" s="26">
        <f>SUM(кол_отб_нбр)</f>
        <v>0</v>
      </c>
    </row>
    <row r="92" spans="1:10" x14ac:dyDescent="0.25">
      <c r="A92" s="304" t="s">
        <v>16</v>
      </c>
      <c r="B92" s="304"/>
      <c r="C92" s="304"/>
      <c r="D92" s="304"/>
      <c r="E92" s="304"/>
      <c r="F92" s="304"/>
      <c r="G92" s="304"/>
      <c r="H92" s="304"/>
      <c r="I92" s="304"/>
      <c r="J92" s="304"/>
    </row>
    <row r="93" spans="1:10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collapsed="1" x14ac:dyDescent="0.25">
      <c r="A98" s="6" t="s">
        <v>17</v>
      </c>
      <c r="B98" s="7"/>
      <c r="C98" s="7" t="str">
        <f>"за "&amp;LOWER($A$92)</f>
        <v>за декабрь</v>
      </c>
      <c r="D98" s="29">
        <f>COUNTA(дкб_пр)</f>
        <v>0</v>
      </c>
      <c r="E98" s="24">
        <f>SUM(дкб_кол)</f>
        <v>0</v>
      </c>
      <c r="F98" s="25">
        <f>COUNTA(акт_вх_дкб)+COUNTA(акт_отб_дкб)</f>
        <v>0</v>
      </c>
      <c r="G98" s="44"/>
      <c r="H98" s="44"/>
      <c r="I98" s="44"/>
      <c r="J98" s="26">
        <f>SUM(кол_отб_дкб)</f>
        <v>0</v>
      </c>
    </row>
    <row r="99" spans="1:10" ht="32.25" customHeight="1" x14ac:dyDescent="0.25">
      <c r="A99" s="38" t="s">
        <v>17</v>
      </c>
      <c r="B99" s="39"/>
      <c r="C99" s="39" t="s">
        <v>112</v>
      </c>
      <c r="D99" s="40">
        <f>SUM(D84,D91,D98)</f>
        <v>0</v>
      </c>
      <c r="E99" s="41">
        <f>SUM(E84,E91,E98)</f>
        <v>0</v>
      </c>
      <c r="F99" s="42">
        <f>SUM(F84,F91,F98)</f>
        <v>0</v>
      </c>
      <c r="G99" s="39"/>
      <c r="H99" s="39" t="e">
        <f>"Кп= "&amp;ROUNDDOWN((F99/D99)*100,1)&amp;"%"</f>
        <v>#DIV/0!</v>
      </c>
      <c r="I99" s="39" t="e">
        <f>"Км= "&amp;ROUNDDOWN((J99/E99)*100,2)&amp;"%"</f>
        <v>#DIV/0!</v>
      </c>
      <c r="J99" s="43">
        <f>SUM(J84,J91,J98)</f>
        <v>0</v>
      </c>
    </row>
    <row r="100" spans="1:10" ht="27" customHeight="1" x14ac:dyDescent="0.25">
      <c r="A100" s="38" t="s">
        <v>17</v>
      </c>
      <c r="B100" s="39"/>
      <c r="C100" s="39" t="s">
        <v>114</v>
      </c>
      <c r="D100" s="40">
        <f>SUM(D99,D75)</f>
        <v>1</v>
      </c>
      <c r="E100" s="41">
        <f>SUM(E99,E75)</f>
        <v>1888</v>
      </c>
      <c r="F100" s="42">
        <f>SUM(F99,F75)</f>
        <v>0</v>
      </c>
      <c r="G100" s="39"/>
      <c r="H100" s="39" t="str">
        <f>"Кп= "&amp;ROUNDDOWN((F100/D100)*100,1)&amp;"%"</f>
        <v>Кп= 0%</v>
      </c>
      <c r="I100" s="39" t="str">
        <f>"Км= "&amp;ROUNDDOWN((J100/E100)*100,2)&amp;"%"</f>
        <v>Км= 0%</v>
      </c>
      <c r="J100" s="43">
        <f>SUM(J99,J75)</f>
        <v>0</v>
      </c>
    </row>
    <row r="101" spans="1:10" ht="26.25" customHeight="1" x14ac:dyDescent="0.25">
      <c r="A101" s="8" t="s">
        <v>20</v>
      </c>
      <c r="B101" s="8"/>
      <c r="C101" s="8"/>
      <c r="D101" s="9"/>
      <c r="E101" s="8"/>
      <c r="F101" s="8"/>
      <c r="G101" s="8" t="s">
        <v>21</v>
      </c>
      <c r="H101" s="8"/>
      <c r="I101" s="8"/>
      <c r="J101" s="8"/>
    </row>
  </sheetData>
  <sheetProtection algorithmName="SHA-512" hashValue="Tx5gv34r1LnNdx+boq+TXlZ8RCqRcjmQHS1TKSCT1Mhaz+r9yp4sfnaZp7ngwE1mCa2o50luw7Px9jhW0BDdCw==" saltValue="NpU8yXZbRb4wbnAac2QPrg==" spinCount="100000" sheet="1" formatCells="0" formatColumns="0" formatRows="0" insertColumns="0" insertRows="0" insertHyperlinks="0" deleteColumns="0" deleteRows="0" sort="0" autoFilter="0" pivotTables="0"/>
  <mergeCells count="21">
    <mergeCell ref="A92:J92"/>
    <mergeCell ref="A6:J6"/>
    <mergeCell ref="A13:J13"/>
    <mergeCell ref="A20:J20"/>
    <mergeCell ref="A29:J29"/>
    <mergeCell ref="A36:J36"/>
    <mergeCell ref="A43:J43"/>
    <mergeCell ref="A53:J53"/>
    <mergeCell ref="A60:J60"/>
    <mergeCell ref="A67:J67"/>
    <mergeCell ref="A78:J78"/>
    <mergeCell ref="A85:J85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6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CF3098-EBFA-43DA-80B2-CFF7E0138C64}">
  <sheetPr codeName="Лист13">
    <pageSetUpPr fitToPage="1"/>
  </sheetPr>
  <dimension ref="A1:N101"/>
  <sheetViews>
    <sheetView zoomScaleNormal="100" workbookViewId="0">
      <pane ySplit="4" topLeftCell="A5" activePane="bottomLeft" state="frozen"/>
      <selection activeCell="A2" sqref="A2:J2"/>
      <selection pane="bottomLeft" activeCell="G50" sqref="G50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244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85" t="s">
        <v>58</v>
      </c>
      <c r="C7" s="145" t="s">
        <v>123</v>
      </c>
      <c r="D7" s="146">
        <v>43860</v>
      </c>
      <c r="E7" s="147">
        <v>2954</v>
      </c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2954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60" t="s">
        <v>58</v>
      </c>
      <c r="C14" s="145" t="s">
        <v>139</v>
      </c>
      <c r="D14" s="146">
        <v>43875</v>
      </c>
      <c r="E14" s="147">
        <v>237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237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17</v>
      </c>
      <c r="B27" s="169"/>
      <c r="C27" s="169" t="s">
        <v>18</v>
      </c>
      <c r="D27" s="170">
        <f>SUM(D12,D19,D26)</f>
        <v>2</v>
      </c>
      <c r="E27" s="171">
        <f>SUM(E12,E19,E26)</f>
        <v>3191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24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x14ac:dyDescent="0.25">
      <c r="A37" s="228"/>
      <c r="B37" s="228"/>
      <c r="C37" s="228"/>
      <c r="D37" s="228"/>
      <c r="E37" s="228"/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0</v>
      </c>
      <c r="E42" s="156">
        <f>SUM(май_кол)</f>
        <v>0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0</v>
      </c>
      <c r="E50" s="171">
        <f>SUM(E35,E42,E49)</f>
        <v>0</v>
      </c>
      <c r="F50" s="172">
        <f>SUM(F35,F42,F49)</f>
        <v>0</v>
      </c>
      <c r="G50" s="169"/>
      <c r="H50" s="169" t="s">
        <v>242</v>
      </c>
      <c r="I50" s="169" t="s">
        <v>243</v>
      </c>
      <c r="J50" s="173">
        <f>SUM(J35,J42,J49)</f>
        <v>0</v>
      </c>
    </row>
    <row r="51" spans="1:10" ht="31.5" customHeight="1" x14ac:dyDescent="0.25">
      <c r="A51" s="168" t="s">
        <v>17</v>
      </c>
      <c r="B51" s="169"/>
      <c r="C51" s="169" t="s">
        <v>110</v>
      </c>
      <c r="D51" s="170">
        <f>SUM(D27,D50)</f>
        <v>2</v>
      </c>
      <c r="E51" s="171">
        <f>SUM(E50,E27)</f>
        <v>3191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26.25" customHeight="1" outlineLevel="1" x14ac:dyDescent="0.25">
      <c r="A52" s="238" t="s">
        <v>20</v>
      </c>
      <c r="B52" s="238"/>
      <c r="C52" s="238"/>
      <c r="D52" s="239"/>
      <c r="E52" s="238"/>
      <c r="F52" s="238"/>
      <c r="G52" s="238" t="s">
        <v>21</v>
      </c>
      <c r="H52" s="238"/>
      <c r="I52" s="238"/>
      <c r="J52" s="238"/>
    </row>
    <row r="53" spans="1:10" x14ac:dyDescent="0.25">
      <c r="A53" s="304" t="s">
        <v>11</v>
      </c>
      <c r="B53" s="304"/>
      <c r="C53" s="304"/>
      <c r="D53" s="304"/>
      <c r="E53" s="304"/>
      <c r="F53" s="304"/>
      <c r="G53" s="304"/>
      <c r="H53" s="304"/>
      <c r="I53" s="304"/>
      <c r="J53" s="304"/>
    </row>
    <row r="54" spans="1:10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collapsed="1" x14ac:dyDescent="0.25">
      <c r="A59" s="6" t="s">
        <v>17</v>
      </c>
      <c r="B59" s="7"/>
      <c r="C59" s="7" t="str">
        <f>"за "&amp;LOWER($A$53)</f>
        <v>за июль</v>
      </c>
      <c r="D59" s="29">
        <f>COUNTA(июл_пр)</f>
        <v>0</v>
      </c>
      <c r="E59" s="24">
        <f>SUM(июл_кол)</f>
        <v>0</v>
      </c>
      <c r="F59" s="25">
        <f>COUNTA(акт_вх_июл)+COUNTA(акт_отб_июл)</f>
        <v>0</v>
      </c>
      <c r="G59" s="44"/>
      <c r="H59" s="44"/>
      <c r="I59" s="44"/>
      <c r="J59" s="26">
        <f>SUM(кол_отб_июл)</f>
        <v>0</v>
      </c>
    </row>
    <row r="60" spans="1:10" x14ac:dyDescent="0.25">
      <c r="A60" s="304" t="s">
        <v>13</v>
      </c>
      <c r="B60" s="304"/>
      <c r="C60" s="304"/>
      <c r="D60" s="304"/>
      <c r="E60" s="304"/>
      <c r="F60" s="304"/>
      <c r="G60" s="304"/>
      <c r="H60" s="304"/>
      <c r="I60" s="304"/>
      <c r="J60" s="304"/>
    </row>
    <row r="61" spans="1:10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collapsed="1" x14ac:dyDescent="0.25">
      <c r="A66" s="6" t="s">
        <v>17</v>
      </c>
      <c r="B66" s="7"/>
      <c r="C66" s="7" t="str">
        <f>"за "&amp;LOWER($A$60)</f>
        <v>за август</v>
      </c>
      <c r="D66" s="29">
        <f>COUNTA(авг_пр)</f>
        <v>0</v>
      </c>
      <c r="E66" s="24">
        <f>SUM(авг_кол)</f>
        <v>0</v>
      </c>
      <c r="F66" s="25">
        <f>COUNTA(акт_вх_авг)+COUNTA(акт_отб_авг)</f>
        <v>0</v>
      </c>
      <c r="G66" s="44"/>
      <c r="H66" s="44"/>
      <c r="I66" s="44"/>
      <c r="J66" s="26">
        <f>SUM(кол_отб_авг)</f>
        <v>0</v>
      </c>
    </row>
    <row r="67" spans="1:10" x14ac:dyDescent="0.25">
      <c r="A67" s="304" t="s">
        <v>12</v>
      </c>
      <c r="B67" s="304"/>
      <c r="C67" s="304"/>
      <c r="D67" s="304"/>
      <c r="E67" s="304"/>
      <c r="F67" s="304"/>
      <c r="G67" s="304"/>
      <c r="H67" s="304"/>
      <c r="I67" s="304"/>
      <c r="J67" s="304"/>
    </row>
    <row r="68" spans="1:10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collapsed="1" x14ac:dyDescent="0.25">
      <c r="A73" s="6" t="s">
        <v>17</v>
      </c>
      <c r="B73" s="7"/>
      <c r="C73" s="7" t="str">
        <f>"за "&amp;LOWER($A$67)</f>
        <v>за сентябрь</v>
      </c>
      <c r="D73" s="29">
        <f>COUNTA(снт_пр)</f>
        <v>0</v>
      </c>
      <c r="E73" s="24">
        <f>SUM(снт_кол)</f>
        <v>0</v>
      </c>
      <c r="F73" s="25">
        <f>COUNTA(акт_вх_снт)+COUNTA(акт_отб_снт)</f>
        <v>0</v>
      </c>
      <c r="G73" s="44"/>
      <c r="H73" s="44"/>
      <c r="I73" s="44"/>
      <c r="J73" s="26">
        <f>SUM(кол_отб_снт)</f>
        <v>0</v>
      </c>
    </row>
    <row r="74" spans="1:10" ht="30" customHeight="1" x14ac:dyDescent="0.25">
      <c r="A74" s="38" t="s">
        <v>17</v>
      </c>
      <c r="B74" s="39"/>
      <c r="C74" s="39" t="s">
        <v>111</v>
      </c>
      <c r="D74" s="40">
        <f>SUM(D59,D66,D73)</f>
        <v>0</v>
      </c>
      <c r="E74" s="41">
        <f>SUM(E59,E66,E73)</f>
        <v>0</v>
      </c>
      <c r="F74" s="42">
        <f>SUM(F59,F66,F73)</f>
        <v>0</v>
      </c>
      <c r="G74" s="39"/>
      <c r="H74" s="39" t="e">
        <f>"Кп= "&amp;ROUNDDOWN((F74/D74)*100,1)&amp;"%"</f>
        <v>#DIV/0!</v>
      </c>
      <c r="I74" s="39" t="e">
        <f>"Км= "&amp;ROUNDDOWN((J74/E74)*100,2)&amp;"%"</f>
        <v>#DIV/0!</v>
      </c>
      <c r="J74" s="43">
        <f>SUM(J59,J66,J73)</f>
        <v>0</v>
      </c>
    </row>
    <row r="75" spans="1:10" ht="30" customHeight="1" x14ac:dyDescent="0.25">
      <c r="A75" s="38" t="s">
        <v>17</v>
      </c>
      <c r="B75" s="39"/>
      <c r="C75" s="39" t="s">
        <v>113</v>
      </c>
      <c r="D75" s="40">
        <f>SUM(D51,D74)</f>
        <v>2</v>
      </c>
      <c r="E75" s="41">
        <f>SUM(E74,E51)</f>
        <v>3191</v>
      </c>
      <c r="F75" s="42">
        <f>SUM(F74,F51)</f>
        <v>0</v>
      </c>
      <c r="G75" s="39"/>
      <c r="H75" s="39" t="str">
        <f>"Кп= "&amp;ROUNDDOWN((F75/D75)*100,1)&amp;"%"</f>
        <v>Кп= 0%</v>
      </c>
      <c r="I75" s="39" t="str">
        <f>"Км= "&amp;ROUNDDOWN((J75/E75)*100,2)&amp;"%"</f>
        <v>Км= 0%</v>
      </c>
      <c r="J75" s="43">
        <f>SUM(J74,J51)</f>
        <v>0</v>
      </c>
    </row>
    <row r="76" spans="1:10" ht="29.25" hidden="1" customHeight="1" outlineLevel="1" x14ac:dyDescent="0.25">
      <c r="A76" s="8" t="s">
        <v>19</v>
      </c>
      <c r="B76" s="8"/>
      <c r="C76" s="8"/>
      <c r="D76" s="9"/>
      <c r="E76" s="8"/>
      <c r="F76" s="8"/>
      <c r="G76" s="8" t="s">
        <v>22</v>
      </c>
      <c r="H76" s="8"/>
      <c r="I76" s="8"/>
      <c r="J76" s="8"/>
    </row>
    <row r="77" spans="1:10" ht="24.75" hidden="1" customHeight="1" outlineLevel="1" x14ac:dyDescent="0.25">
      <c r="A77" s="8" t="s">
        <v>20</v>
      </c>
      <c r="B77" s="8"/>
      <c r="C77" s="8"/>
      <c r="D77" s="9"/>
      <c r="E77" s="8"/>
      <c r="F77" s="8"/>
      <c r="G77" s="8" t="s">
        <v>21</v>
      </c>
      <c r="H77" s="8"/>
      <c r="I77" s="8"/>
      <c r="J77" s="8"/>
    </row>
    <row r="78" spans="1:10" ht="15" customHeight="1" collapsed="1" x14ac:dyDescent="0.25">
      <c r="A78" s="304" t="s">
        <v>14</v>
      </c>
      <c r="B78" s="304"/>
      <c r="C78" s="304"/>
      <c r="D78" s="304"/>
      <c r="E78" s="304"/>
      <c r="F78" s="304"/>
      <c r="G78" s="304"/>
      <c r="H78" s="304"/>
      <c r="I78" s="304"/>
      <c r="J78" s="304"/>
    </row>
    <row r="79" spans="1:10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collapsed="1" x14ac:dyDescent="0.25">
      <c r="A84" s="6" t="s">
        <v>17</v>
      </c>
      <c r="B84" s="7"/>
      <c r="C84" s="7" t="str">
        <f>"за "&amp;LOWER($A$78)</f>
        <v>за октябрь</v>
      </c>
      <c r="D84" s="29">
        <f>COUNTA(окт_пр)</f>
        <v>0</v>
      </c>
      <c r="E84" s="24">
        <f>SUM(окт_кол)</f>
        <v>0</v>
      </c>
      <c r="F84" s="25">
        <f>COUNTA(акт_вх_окт)+COUNTA(акт_отб_окт)</f>
        <v>0</v>
      </c>
      <c r="G84" s="44"/>
      <c r="H84" s="44"/>
      <c r="I84" s="44"/>
      <c r="J84" s="26">
        <f>SUM(кол_отб_окт)</f>
        <v>0</v>
      </c>
    </row>
    <row r="85" spans="1:10" x14ac:dyDescent="0.25">
      <c r="A85" s="304" t="s">
        <v>15</v>
      </c>
      <c r="B85" s="304"/>
      <c r="C85" s="304"/>
      <c r="D85" s="304"/>
      <c r="E85" s="304"/>
      <c r="F85" s="304"/>
      <c r="G85" s="304"/>
      <c r="H85" s="304"/>
      <c r="I85" s="304"/>
      <c r="J85" s="304"/>
    </row>
    <row r="86" spans="1:10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collapsed="1" x14ac:dyDescent="0.25">
      <c r="A91" s="6" t="s">
        <v>17</v>
      </c>
      <c r="B91" s="7"/>
      <c r="C91" s="7" t="str">
        <f>"за "&amp;LOWER($A$85)</f>
        <v>за ноябрь</v>
      </c>
      <c r="D91" s="29">
        <f>COUNTA(нбр_пр)</f>
        <v>0</v>
      </c>
      <c r="E91" s="24">
        <f>SUM(нбр_кол)</f>
        <v>0</v>
      </c>
      <c r="F91" s="25">
        <f>COUNTA(акт_вх_нбр)+COUNTA(акт_отб_нбр)</f>
        <v>0</v>
      </c>
      <c r="G91" s="44"/>
      <c r="H91" s="44"/>
      <c r="I91" s="44"/>
      <c r="J91" s="26">
        <f>SUM(кол_отб_нбр)</f>
        <v>0</v>
      </c>
    </row>
    <row r="92" spans="1:10" x14ac:dyDescent="0.25">
      <c r="A92" s="304" t="s">
        <v>16</v>
      </c>
      <c r="B92" s="304"/>
      <c r="C92" s="304"/>
      <c r="D92" s="304"/>
      <c r="E92" s="304"/>
      <c r="F92" s="304"/>
      <c r="G92" s="304"/>
      <c r="H92" s="304"/>
      <c r="I92" s="304"/>
      <c r="J92" s="304"/>
    </row>
    <row r="93" spans="1:10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collapsed="1" x14ac:dyDescent="0.25">
      <c r="A98" s="6" t="s">
        <v>17</v>
      </c>
      <c r="B98" s="7"/>
      <c r="C98" s="7" t="str">
        <f>"за "&amp;LOWER($A$92)</f>
        <v>за декабрь</v>
      </c>
      <c r="D98" s="29">
        <f>COUNTA(дкб_пр)</f>
        <v>0</v>
      </c>
      <c r="E98" s="24">
        <f>SUM(дкб_кол)</f>
        <v>0</v>
      </c>
      <c r="F98" s="25">
        <f>COUNTA(акт_вх_дкб)+COUNTA(акт_отб_дкб)</f>
        <v>0</v>
      </c>
      <c r="G98" s="44"/>
      <c r="H98" s="44"/>
      <c r="I98" s="44"/>
      <c r="J98" s="26">
        <f>SUM(кол_отб_дкб)</f>
        <v>0</v>
      </c>
    </row>
    <row r="99" spans="1:10" ht="32.25" customHeight="1" x14ac:dyDescent="0.25">
      <c r="A99" s="38" t="s">
        <v>17</v>
      </c>
      <c r="B99" s="39"/>
      <c r="C99" s="39" t="s">
        <v>112</v>
      </c>
      <c r="D99" s="40">
        <f>SUM(D84,D91,D98)</f>
        <v>0</v>
      </c>
      <c r="E99" s="41">
        <f>SUM(E84,E91,E98)</f>
        <v>0</v>
      </c>
      <c r="F99" s="42">
        <f>SUM(F84,F91,F98)</f>
        <v>0</v>
      </c>
      <c r="G99" s="39"/>
      <c r="H99" s="39" t="e">
        <f>"Кп= "&amp;ROUNDDOWN((F99/D99)*100,1)&amp;"%"</f>
        <v>#DIV/0!</v>
      </c>
      <c r="I99" s="39" t="e">
        <f>"Км= "&amp;ROUNDDOWN((J99/E99)*100,2)&amp;"%"</f>
        <v>#DIV/0!</v>
      </c>
      <c r="J99" s="43">
        <f>SUM(J84,J91,J98)</f>
        <v>0</v>
      </c>
    </row>
    <row r="100" spans="1:10" ht="27" customHeight="1" x14ac:dyDescent="0.25">
      <c r="A100" s="38" t="s">
        <v>17</v>
      </c>
      <c r="B100" s="39"/>
      <c r="C100" s="39" t="s">
        <v>114</v>
      </c>
      <c r="D100" s="40">
        <f>SUM(D99,D75)</f>
        <v>2</v>
      </c>
      <c r="E100" s="41">
        <f>SUM(E99,E75)</f>
        <v>3191</v>
      </c>
      <c r="F100" s="42">
        <f>SUM(F99,F75)</f>
        <v>0</v>
      </c>
      <c r="G100" s="39"/>
      <c r="H100" s="39" t="str">
        <f>"Кп= "&amp;ROUNDDOWN((F100/D100)*100,1)&amp;"%"</f>
        <v>Кп= 0%</v>
      </c>
      <c r="I100" s="39" t="str">
        <f>"Км= "&amp;ROUNDDOWN((J100/E100)*100,2)&amp;"%"</f>
        <v>Км= 0%</v>
      </c>
      <c r="J100" s="43">
        <f>SUM(J99,J75)</f>
        <v>0</v>
      </c>
    </row>
    <row r="101" spans="1:10" ht="26.25" customHeight="1" x14ac:dyDescent="0.25">
      <c r="A101" s="8" t="s">
        <v>20</v>
      </c>
      <c r="B101" s="8"/>
      <c r="C101" s="8"/>
      <c r="D101" s="9"/>
      <c r="E101" s="8"/>
      <c r="F101" s="8"/>
      <c r="G101" s="8" t="s">
        <v>21</v>
      </c>
      <c r="H101" s="8"/>
      <c r="I101" s="8"/>
      <c r="J101" s="8"/>
    </row>
  </sheetData>
  <sheetProtection algorithmName="SHA-512" hashValue="xNKGl4knSdCv97Aib+omTa2iZmJyY1Y6O5NErfruc2jWEQCZIWiYXbox9E2E8sDQVnKpUkhe2RO4EXJ73fPRRQ==" saltValue="+buOK6r7fCsIGPPco1yRmg==" spinCount="100000" sheet="1" formatCells="0" formatColumns="0" formatRows="0" insertColumns="0" insertRows="0" insertHyperlinks="0" deleteColumns="0" deleteRows="0" sort="0" autoFilter="0" pivotTables="0"/>
  <mergeCells count="21">
    <mergeCell ref="A92:J92"/>
    <mergeCell ref="A6:J6"/>
    <mergeCell ref="A13:J13"/>
    <mergeCell ref="A20:J20"/>
    <mergeCell ref="A29:J29"/>
    <mergeCell ref="A36:J36"/>
    <mergeCell ref="A43:J43"/>
    <mergeCell ref="A53:J53"/>
    <mergeCell ref="A60:J60"/>
    <mergeCell ref="A67:J67"/>
    <mergeCell ref="A78:J78"/>
    <mergeCell ref="A85:J85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336DE-7DAA-40D4-BDA2-B3AC39FFA70B}">
  <sheetPr codeName="Лист7">
    <pageSetUpPr fitToPage="1"/>
  </sheetPr>
  <dimension ref="A1:N102"/>
  <sheetViews>
    <sheetView zoomScale="70" zoomScaleNormal="70" workbookViewId="0">
      <pane ySplit="4" topLeftCell="A5" activePane="bottomLeft" state="frozen"/>
      <selection activeCell="A2" sqref="A2:J2"/>
      <selection pane="bottomLeft" activeCell="A54" sqref="A54:J54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230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1</v>
      </c>
      <c r="B14" s="160" t="s">
        <v>60</v>
      </c>
      <c r="C14" s="145" t="s">
        <v>144</v>
      </c>
      <c r="D14" s="146">
        <v>43880</v>
      </c>
      <c r="E14" s="147">
        <v>3000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3000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x14ac:dyDescent="0.25">
      <c r="A21" s="176"/>
      <c r="B21" s="176"/>
      <c r="C21" s="177"/>
      <c r="D21" s="178"/>
      <c r="E21" s="176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0</v>
      </c>
      <c r="E26" s="156">
        <f>SUM(мрт_кол)</f>
        <v>0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192</v>
      </c>
      <c r="B27" s="169"/>
      <c r="C27" s="169" t="s">
        <v>18</v>
      </c>
      <c r="D27" s="170">
        <f>SUM(D12,D19,D26)</f>
        <v>1</v>
      </c>
      <c r="E27" s="171">
        <f>SUM(E12,E19,E26)</f>
        <v>3000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18.7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17" t="s">
        <v>8</v>
      </c>
      <c r="B29" s="317"/>
      <c r="C29" s="317"/>
      <c r="D29" s="317"/>
      <c r="E29" s="317"/>
      <c r="F29" s="317"/>
      <c r="G29" s="317"/>
      <c r="H29" s="317"/>
      <c r="I29" s="317"/>
      <c r="J29" s="317"/>
      <c r="L29" s="1"/>
      <c r="M29" s="1"/>
      <c r="N29" s="1"/>
    </row>
    <row r="30" spans="1:14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1"/>
      <c r="M30" s="1"/>
      <c r="N30" s="1"/>
    </row>
    <row r="31" spans="1:14" hidden="1" outlineLevel="1" x14ac:dyDescent="0.25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L31" s="1"/>
      <c r="M31" s="1"/>
      <c r="N31" s="1"/>
    </row>
    <row r="32" spans="1:14" hidden="1" outlineLevel="1" x14ac:dyDescent="0.25">
      <c r="A32" s="229"/>
      <c r="B32" s="229"/>
      <c r="C32" s="229"/>
      <c r="D32" s="229"/>
      <c r="E32" s="229"/>
      <c r="F32" s="229"/>
      <c r="G32" s="229"/>
      <c r="H32" s="229"/>
      <c r="I32" s="229"/>
      <c r="J32" s="229"/>
      <c r="L32" s="1"/>
      <c r="M32" s="1"/>
      <c r="N32" s="1"/>
    </row>
    <row r="33" spans="1:14" hidden="1" outlineLevel="1" x14ac:dyDescent="0.25">
      <c r="A33" s="229"/>
      <c r="B33" s="229"/>
      <c r="C33" s="229"/>
      <c r="D33" s="229"/>
      <c r="E33" s="229"/>
      <c r="F33" s="229"/>
      <c r="G33" s="229"/>
      <c r="H33" s="229"/>
      <c r="I33" s="229"/>
      <c r="J33" s="229"/>
      <c r="L33" s="1"/>
      <c r="M33" s="1"/>
      <c r="N33" s="1"/>
    </row>
    <row r="34" spans="1:14" hidden="1" outlineLevel="1" x14ac:dyDescent="0.25">
      <c r="A34" s="232"/>
      <c r="B34" s="232"/>
      <c r="C34" s="232"/>
      <c r="D34" s="237"/>
      <c r="E34" s="232"/>
      <c r="F34" s="232"/>
      <c r="G34" s="232"/>
      <c r="H34" s="232"/>
      <c r="I34" s="232"/>
      <c r="J34" s="232"/>
      <c r="L34" s="1"/>
      <c r="M34" s="1"/>
      <c r="N34" s="1"/>
    </row>
    <row r="35" spans="1:14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1"/>
      <c r="M35" s="1"/>
      <c r="N35" s="1"/>
    </row>
    <row r="36" spans="1:14" x14ac:dyDescent="0.25">
      <c r="A36" s="318" t="s">
        <v>9</v>
      </c>
      <c r="B36" s="318"/>
      <c r="C36" s="318"/>
      <c r="D36" s="318"/>
      <c r="E36" s="318"/>
      <c r="F36" s="318"/>
      <c r="G36" s="318"/>
      <c r="H36" s="318"/>
      <c r="I36" s="318"/>
      <c r="J36" s="318"/>
      <c r="L36" s="1"/>
      <c r="M36" s="1"/>
      <c r="N36" s="1"/>
    </row>
    <row r="37" spans="1:14" ht="27.75" customHeight="1" x14ac:dyDescent="0.25">
      <c r="A37" s="143">
        <v>2</v>
      </c>
      <c r="B37" s="162" t="s">
        <v>59</v>
      </c>
      <c r="C37" s="163" t="s">
        <v>186</v>
      </c>
      <c r="D37" s="164">
        <v>43964</v>
      </c>
      <c r="E37" s="165">
        <v>216</v>
      </c>
      <c r="F37" s="228"/>
      <c r="G37" s="228"/>
      <c r="H37" s="228"/>
      <c r="I37" s="228"/>
      <c r="J37" s="228"/>
      <c r="L37" s="1"/>
      <c r="M37" s="1"/>
      <c r="N37" s="1"/>
    </row>
    <row r="38" spans="1:14" hidden="1" outlineLevel="1" x14ac:dyDescent="0.25">
      <c r="A38" s="231"/>
      <c r="B38" s="231"/>
      <c r="C38" s="231"/>
      <c r="D38" s="231"/>
      <c r="E38" s="231"/>
      <c r="F38" s="231"/>
      <c r="G38" s="231"/>
      <c r="H38" s="231"/>
      <c r="I38" s="231"/>
      <c r="J38" s="231"/>
      <c r="L38" s="1"/>
      <c r="M38" s="1"/>
      <c r="N38" s="1"/>
    </row>
    <row r="39" spans="1:14" hidden="1" outlineLevel="1" x14ac:dyDescent="0.25">
      <c r="A39" s="231"/>
      <c r="B39" s="231"/>
      <c r="C39" s="231"/>
      <c r="D39" s="231"/>
      <c r="E39" s="231"/>
      <c r="F39" s="231"/>
      <c r="G39" s="231"/>
      <c r="H39" s="231"/>
      <c r="I39" s="231"/>
      <c r="J39" s="231"/>
      <c r="L39" s="1"/>
      <c r="M39" s="1"/>
      <c r="N39" s="1"/>
    </row>
    <row r="40" spans="1:14" hidden="1" outlineLevel="1" x14ac:dyDescent="0.25">
      <c r="A40" s="231"/>
      <c r="B40" s="231"/>
      <c r="C40" s="231"/>
      <c r="D40" s="231"/>
      <c r="E40" s="231"/>
      <c r="F40" s="231"/>
      <c r="G40" s="231"/>
      <c r="H40" s="231"/>
      <c r="I40" s="231"/>
      <c r="J40" s="231"/>
      <c r="L40" s="1"/>
      <c r="M40" s="1"/>
      <c r="N40" s="1"/>
    </row>
    <row r="41" spans="1:14" hidden="1" outlineLevel="1" x14ac:dyDescent="0.25">
      <c r="A41" s="235"/>
      <c r="B41" s="235"/>
      <c r="C41" s="235"/>
      <c r="D41" s="236"/>
      <c r="E41" s="235"/>
      <c r="F41" s="235"/>
      <c r="G41" s="235"/>
      <c r="H41" s="235"/>
      <c r="I41" s="235"/>
      <c r="J41" s="235"/>
    </row>
    <row r="42" spans="1:14" collapsed="1" x14ac:dyDescent="0.25">
      <c r="A42" s="153" t="s">
        <v>17</v>
      </c>
      <c r="B42" s="154"/>
      <c r="C42" s="154" t="str">
        <f>"за "&amp;LOWER($A$36)</f>
        <v>за май</v>
      </c>
      <c r="D42" s="155">
        <f>COUNTA(май_пр)</f>
        <v>1</v>
      </c>
      <c r="E42" s="156">
        <f>SUM(май_кол)</f>
        <v>216</v>
      </c>
      <c r="F42" s="157">
        <f>COUNTA(акт_вх_май)+COUNTA(акт_отб_май)</f>
        <v>0</v>
      </c>
      <c r="G42" s="167"/>
      <c r="H42" s="167"/>
      <c r="I42" s="167"/>
      <c r="J42" s="159">
        <f>SUM(кол_отб_май)</f>
        <v>0</v>
      </c>
    </row>
    <row r="43" spans="1:14" x14ac:dyDescent="0.25">
      <c r="A43" s="318" t="s">
        <v>10</v>
      </c>
      <c r="B43" s="318"/>
      <c r="C43" s="318"/>
      <c r="D43" s="318"/>
      <c r="E43" s="318"/>
      <c r="F43" s="318"/>
      <c r="G43" s="318"/>
      <c r="H43" s="318"/>
      <c r="I43" s="318"/>
      <c r="J43" s="318"/>
    </row>
    <row r="44" spans="1:14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hidden="1" outlineLevel="1" x14ac:dyDescent="0.25">
      <c r="A46" s="232"/>
      <c r="B46" s="232"/>
      <c r="C46" s="232"/>
      <c r="D46" s="237"/>
      <c r="E46" s="232"/>
      <c r="F46" s="232"/>
      <c r="G46" s="232"/>
      <c r="H46" s="232"/>
      <c r="I46" s="232"/>
      <c r="J46" s="232"/>
    </row>
    <row r="47" spans="1:14" hidden="1" outlineLevel="1" x14ac:dyDescent="0.25">
      <c r="A47" s="232"/>
      <c r="B47" s="232"/>
      <c r="C47" s="232"/>
      <c r="D47" s="237"/>
      <c r="E47" s="232"/>
      <c r="F47" s="232"/>
      <c r="G47" s="232"/>
      <c r="H47" s="232"/>
      <c r="I47" s="232"/>
      <c r="J47" s="232"/>
    </row>
    <row r="48" spans="1:14" hidden="1" outlineLevel="1" x14ac:dyDescent="0.25">
      <c r="A48" s="232"/>
      <c r="B48" s="232"/>
      <c r="C48" s="232"/>
      <c r="D48" s="237"/>
      <c r="E48" s="232"/>
      <c r="F48" s="232"/>
      <c r="G48" s="232"/>
      <c r="H48" s="232"/>
      <c r="I48" s="232"/>
      <c r="J48" s="232"/>
    </row>
    <row r="49" spans="1:10" collapsed="1" x14ac:dyDescent="0.25">
      <c r="A49" s="153" t="s">
        <v>17</v>
      </c>
      <c r="B49" s="154"/>
      <c r="C49" s="154" t="str">
        <f>"за "&amp;LOWER($A$43)</f>
        <v>за июнь</v>
      </c>
      <c r="D49" s="155">
        <f>COUNTA(июн_пр)</f>
        <v>0</v>
      </c>
      <c r="E49" s="156">
        <f>SUM(июн_кол)</f>
        <v>0</v>
      </c>
      <c r="F49" s="157">
        <f>COUNTA(акт_вх_июн)+COUNTA(акт_отб_июн)</f>
        <v>0</v>
      </c>
      <c r="G49" s="167"/>
      <c r="H49" s="167"/>
      <c r="I49" s="167"/>
      <c r="J49" s="159">
        <f>SUM(кол_отб_июн)</f>
        <v>0</v>
      </c>
    </row>
    <row r="50" spans="1:10" ht="31.5" customHeight="1" x14ac:dyDescent="0.25">
      <c r="A50" s="168" t="s">
        <v>17</v>
      </c>
      <c r="B50" s="169"/>
      <c r="C50" s="169" t="s">
        <v>109</v>
      </c>
      <c r="D50" s="170">
        <f>SUM(D35,D42,D49)</f>
        <v>1</v>
      </c>
      <c r="E50" s="171">
        <f>SUM(E35,E42,E49)</f>
        <v>216</v>
      </c>
      <c r="F50" s="172">
        <f>SUM(F35,F42,F49)</f>
        <v>0</v>
      </c>
      <c r="G50" s="169"/>
      <c r="H50" s="169" t="str">
        <f>"Кп= "&amp;ROUNDDOWN((F50/D50)*100,1)&amp;"%"</f>
        <v>Кп= 0%</v>
      </c>
      <c r="I50" s="169" t="str">
        <f>"Км= "&amp;ROUNDDOWN((J50/E50)*100,2)&amp;"%"</f>
        <v>Км= 0%</v>
      </c>
      <c r="J50" s="173">
        <f>SUM(J35,J42,J49)</f>
        <v>0</v>
      </c>
    </row>
    <row r="51" spans="1:10" ht="31.5" customHeight="1" x14ac:dyDescent="0.25">
      <c r="A51" s="254" t="s">
        <v>192</v>
      </c>
      <c r="B51" s="169"/>
      <c r="C51" s="169" t="s">
        <v>110</v>
      </c>
      <c r="D51" s="170">
        <f>SUM(D27,D50)</f>
        <v>2</v>
      </c>
      <c r="E51" s="171">
        <f>SUM(E50,E27)</f>
        <v>3216</v>
      </c>
      <c r="F51" s="172">
        <f>SUM(F50,F27)</f>
        <v>0</v>
      </c>
      <c r="G51" s="169"/>
      <c r="H51" s="169" t="str">
        <f>"Кп= "&amp;ROUNDDOWN((F51/D51)*100,1)&amp;"%"</f>
        <v>Кп= 0%</v>
      </c>
      <c r="I51" s="169" t="str">
        <f>"Км= "&amp;ROUNDDOWN((J51/E51)*100,2)&amp;"%"</f>
        <v>Км= 0%</v>
      </c>
      <c r="J51" s="173">
        <f>SUM(J50,J27)</f>
        <v>0</v>
      </c>
    </row>
    <row r="52" spans="1:10" ht="31.5" customHeight="1" x14ac:dyDescent="0.25">
      <c r="A52" s="250" t="s">
        <v>193</v>
      </c>
      <c r="B52" s="250"/>
      <c r="C52" s="250"/>
      <c r="D52" s="251"/>
      <c r="E52" s="252"/>
      <c r="F52" s="253"/>
      <c r="G52" s="250"/>
      <c r="H52" s="250"/>
      <c r="I52" s="250"/>
      <c r="J52" s="252"/>
    </row>
    <row r="53" spans="1:10" ht="26.25" customHeight="1" outlineLevel="1" x14ac:dyDescent="0.25">
      <c r="A53" s="238" t="s">
        <v>20</v>
      </c>
      <c r="B53" s="238"/>
      <c r="C53" s="238"/>
      <c r="D53" s="239"/>
      <c r="E53" s="238"/>
      <c r="F53" s="238"/>
      <c r="G53" s="238" t="s">
        <v>21</v>
      </c>
      <c r="H53" s="238"/>
      <c r="I53" s="238"/>
      <c r="J53" s="238"/>
    </row>
    <row r="54" spans="1:10" x14ac:dyDescent="0.25">
      <c r="A54" s="304" t="s">
        <v>11</v>
      </c>
      <c r="B54" s="304"/>
      <c r="C54" s="304"/>
      <c r="D54" s="304"/>
      <c r="E54" s="304"/>
      <c r="F54" s="304"/>
      <c r="G54" s="304"/>
      <c r="H54" s="304"/>
      <c r="I54" s="304"/>
      <c r="J54" s="304"/>
    </row>
    <row r="55" spans="1:10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hidden="1" outlineLevel="1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collapsed="1" x14ac:dyDescent="0.25">
      <c r="A60" s="6" t="s">
        <v>17</v>
      </c>
      <c r="B60" s="7"/>
      <c r="C60" s="7" t="str">
        <f>"за "&amp;LOWER($A$54)</f>
        <v>за июль</v>
      </c>
      <c r="D60" s="29">
        <f>COUNTA(июл_пр)</f>
        <v>0</v>
      </c>
      <c r="E60" s="24">
        <f>SUM(июл_кол)</f>
        <v>0</v>
      </c>
      <c r="F60" s="25">
        <f>COUNTA(акт_вх_июл)+COUNTA(акт_отб_июл)</f>
        <v>0</v>
      </c>
      <c r="G60" s="44"/>
      <c r="H60" s="44"/>
      <c r="I60" s="44"/>
      <c r="J60" s="26">
        <f>SUM(кол_отб_июл)</f>
        <v>0</v>
      </c>
    </row>
    <row r="61" spans="1:10" x14ac:dyDescent="0.25">
      <c r="A61" s="304" t="s">
        <v>13</v>
      </c>
      <c r="B61" s="304"/>
      <c r="C61" s="304"/>
      <c r="D61" s="304"/>
      <c r="E61" s="304"/>
      <c r="F61" s="304"/>
      <c r="G61" s="304"/>
      <c r="H61" s="304"/>
      <c r="I61" s="304"/>
      <c r="J61" s="304"/>
    </row>
    <row r="62" spans="1:10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hidden="1" outlineLevel="1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collapsed="1" x14ac:dyDescent="0.25">
      <c r="A67" s="6" t="s">
        <v>17</v>
      </c>
      <c r="B67" s="7"/>
      <c r="C67" s="7" t="str">
        <f>"за "&amp;LOWER($A$61)</f>
        <v>за август</v>
      </c>
      <c r="D67" s="29">
        <f>COUNTA(авг_пр)</f>
        <v>0</v>
      </c>
      <c r="E67" s="24">
        <f>SUM(авг_кол)</f>
        <v>0</v>
      </c>
      <c r="F67" s="25">
        <f>COUNTA(акт_вх_авг)+COUNTA(акт_отб_авг)</f>
        <v>0</v>
      </c>
      <c r="G67" s="44"/>
      <c r="H67" s="44"/>
      <c r="I67" s="44"/>
      <c r="J67" s="26">
        <f>SUM(кол_отб_авг)</f>
        <v>0</v>
      </c>
    </row>
    <row r="68" spans="1:10" x14ac:dyDescent="0.25">
      <c r="A68" s="304" t="s">
        <v>12</v>
      </c>
      <c r="B68" s="304"/>
      <c r="C68" s="304"/>
      <c r="D68" s="304"/>
      <c r="E68" s="304"/>
      <c r="F68" s="304"/>
      <c r="G68" s="304"/>
      <c r="H68" s="304"/>
      <c r="I68" s="304"/>
      <c r="J68" s="304"/>
    </row>
    <row r="69" spans="1:10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hidden="1" outlineLevel="1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collapsed="1" x14ac:dyDescent="0.25">
      <c r="A74" s="6" t="s">
        <v>17</v>
      </c>
      <c r="B74" s="7"/>
      <c r="C74" s="7" t="str">
        <f>"за "&amp;LOWER($A$68)</f>
        <v>за сентябрь</v>
      </c>
      <c r="D74" s="29">
        <f>COUNTA(снт_пр)</f>
        <v>0</v>
      </c>
      <c r="E74" s="24">
        <f>SUM(снт_кол)</f>
        <v>0</v>
      </c>
      <c r="F74" s="25">
        <f>COUNTA(акт_вх_снт)+COUNTA(акт_отб_снт)</f>
        <v>0</v>
      </c>
      <c r="G74" s="44"/>
      <c r="H74" s="44"/>
      <c r="I74" s="44"/>
      <c r="J74" s="26">
        <f>SUM(кол_отб_снт)</f>
        <v>0</v>
      </c>
    </row>
    <row r="75" spans="1:10" ht="30" customHeight="1" x14ac:dyDescent="0.25">
      <c r="A75" s="38" t="s">
        <v>17</v>
      </c>
      <c r="B75" s="39"/>
      <c r="C75" s="39" t="s">
        <v>111</v>
      </c>
      <c r="D75" s="40">
        <f>SUM(D60,D67,D74)</f>
        <v>0</v>
      </c>
      <c r="E75" s="41">
        <f>SUM(E60,E67,E74)</f>
        <v>0</v>
      </c>
      <c r="F75" s="42">
        <f>SUM(F60,F67,F74)</f>
        <v>0</v>
      </c>
      <c r="G75" s="39"/>
      <c r="H75" s="39" t="e">
        <f>"Кп= "&amp;ROUNDDOWN((F75/D75)*100,1)&amp;"%"</f>
        <v>#DIV/0!</v>
      </c>
      <c r="I75" s="39" t="e">
        <f>"Км= "&amp;ROUNDDOWN((J75/E75)*100,2)&amp;"%"</f>
        <v>#DIV/0!</v>
      </c>
      <c r="J75" s="43">
        <f>SUM(J60,J67,J74)</f>
        <v>0</v>
      </c>
    </row>
    <row r="76" spans="1:10" ht="30" customHeight="1" x14ac:dyDescent="0.25">
      <c r="A76" s="38" t="s">
        <v>17</v>
      </c>
      <c r="B76" s="39"/>
      <c r="C76" s="39" t="s">
        <v>113</v>
      </c>
      <c r="D76" s="40">
        <f>SUM(D51,D75)</f>
        <v>2</v>
      </c>
      <c r="E76" s="41">
        <f>SUM(E75,E51)</f>
        <v>3216</v>
      </c>
      <c r="F76" s="42">
        <f>SUM(F75,F51)</f>
        <v>0</v>
      </c>
      <c r="G76" s="39"/>
      <c r="H76" s="39" t="str">
        <f>"Кп= "&amp;ROUNDDOWN((F76/D76)*100,1)&amp;"%"</f>
        <v>Кп= 0%</v>
      </c>
      <c r="I76" s="39" t="str">
        <f>"Км= "&amp;ROUNDDOWN((J76/E76)*100,2)&amp;"%"</f>
        <v>Км= 0%</v>
      </c>
      <c r="J76" s="43">
        <f>SUM(J75,J51)</f>
        <v>0</v>
      </c>
    </row>
    <row r="77" spans="1:10" ht="29.25" hidden="1" customHeight="1" outlineLevel="1" x14ac:dyDescent="0.25">
      <c r="A77" s="8" t="s">
        <v>19</v>
      </c>
      <c r="B77" s="8"/>
      <c r="C77" s="8"/>
      <c r="D77" s="9"/>
      <c r="E77" s="8"/>
      <c r="F77" s="8"/>
      <c r="G77" s="8" t="s">
        <v>22</v>
      </c>
      <c r="H77" s="8"/>
      <c r="I77" s="8"/>
      <c r="J77" s="8"/>
    </row>
    <row r="78" spans="1:10" ht="24.75" hidden="1" customHeight="1" outlineLevel="1" x14ac:dyDescent="0.25">
      <c r="A78" s="8" t="s">
        <v>20</v>
      </c>
      <c r="B78" s="8"/>
      <c r="C78" s="8"/>
      <c r="D78" s="9"/>
      <c r="E78" s="8"/>
      <c r="F78" s="8"/>
      <c r="G78" s="8" t="s">
        <v>21</v>
      </c>
      <c r="H78" s="8"/>
      <c r="I78" s="8"/>
      <c r="J78" s="8"/>
    </row>
    <row r="79" spans="1:10" ht="15" customHeight="1" collapsed="1" x14ac:dyDescent="0.25">
      <c r="A79" s="304" t="s">
        <v>14</v>
      </c>
      <c r="B79" s="304"/>
      <c r="C79" s="304"/>
      <c r="D79" s="304"/>
      <c r="E79" s="304"/>
      <c r="F79" s="304"/>
      <c r="G79" s="304"/>
      <c r="H79" s="304"/>
      <c r="I79" s="304"/>
      <c r="J79" s="304"/>
    </row>
    <row r="80" spans="1:10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hidden="1" outlineLevel="1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collapsed="1" x14ac:dyDescent="0.25">
      <c r="A85" s="6" t="s">
        <v>17</v>
      </c>
      <c r="B85" s="7"/>
      <c r="C85" s="7" t="str">
        <f>"за "&amp;LOWER($A$79)</f>
        <v>за октябрь</v>
      </c>
      <c r="D85" s="29">
        <f>COUNTA(окт_пр)</f>
        <v>0</v>
      </c>
      <c r="E85" s="24">
        <f>SUM(окт_кол)</f>
        <v>0</v>
      </c>
      <c r="F85" s="25">
        <f>COUNTA(акт_вх_окт)+COUNTA(акт_отб_окт)</f>
        <v>0</v>
      </c>
      <c r="G85" s="44"/>
      <c r="H85" s="44"/>
      <c r="I85" s="44"/>
      <c r="J85" s="26">
        <f>SUM(кол_отб_окт)</f>
        <v>0</v>
      </c>
    </row>
    <row r="86" spans="1:10" x14ac:dyDescent="0.25">
      <c r="A86" s="304" t="s">
        <v>15</v>
      </c>
      <c r="B86" s="304"/>
      <c r="C86" s="304"/>
      <c r="D86" s="304"/>
      <c r="E86" s="304"/>
      <c r="F86" s="304"/>
      <c r="G86" s="304"/>
      <c r="H86" s="304"/>
      <c r="I86" s="304"/>
      <c r="J86" s="304"/>
    </row>
    <row r="87" spans="1:10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hidden="1" outlineLevel="1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collapsed="1" x14ac:dyDescent="0.25">
      <c r="A92" s="6" t="s">
        <v>17</v>
      </c>
      <c r="B92" s="7"/>
      <c r="C92" s="7" t="str">
        <f>"за "&amp;LOWER($A$86)</f>
        <v>за ноябрь</v>
      </c>
      <c r="D92" s="29">
        <f>COUNTA(нбр_пр)</f>
        <v>0</v>
      </c>
      <c r="E92" s="24">
        <f>SUM(нбр_кол)</f>
        <v>0</v>
      </c>
      <c r="F92" s="25">
        <f>COUNTA(акт_вх_нбр)+COUNTA(акт_отб_нбр)</f>
        <v>0</v>
      </c>
      <c r="G92" s="44"/>
      <c r="H92" s="44"/>
      <c r="I92" s="44"/>
      <c r="J92" s="26">
        <f>SUM(кол_отб_нбр)</f>
        <v>0</v>
      </c>
    </row>
    <row r="93" spans="1:10" x14ac:dyDescent="0.25">
      <c r="A93" s="304" t="s">
        <v>16</v>
      </c>
      <c r="B93" s="304"/>
      <c r="C93" s="304"/>
      <c r="D93" s="304"/>
      <c r="E93" s="304"/>
      <c r="F93" s="304"/>
      <c r="G93" s="304"/>
      <c r="H93" s="304"/>
      <c r="I93" s="304"/>
      <c r="J93" s="304"/>
    </row>
    <row r="94" spans="1:10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hidden="1" outlineLevel="1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collapsed="1" x14ac:dyDescent="0.25">
      <c r="A99" s="6" t="s">
        <v>17</v>
      </c>
      <c r="B99" s="7"/>
      <c r="C99" s="7" t="str">
        <f>"за "&amp;LOWER($A$93)</f>
        <v>за декабрь</v>
      </c>
      <c r="D99" s="29">
        <f>COUNTA(дкб_пр)</f>
        <v>0</v>
      </c>
      <c r="E99" s="24">
        <f>SUM(дкб_кол)</f>
        <v>0</v>
      </c>
      <c r="F99" s="25">
        <f>COUNTA(акт_вх_дкб)+COUNTA(акт_отб_дкб)</f>
        <v>0</v>
      </c>
      <c r="G99" s="44"/>
      <c r="H99" s="44"/>
      <c r="I99" s="44"/>
      <c r="J99" s="26">
        <f>SUM(кол_отб_дкб)</f>
        <v>0</v>
      </c>
    </row>
    <row r="100" spans="1:10" ht="32.25" customHeight="1" x14ac:dyDescent="0.25">
      <c r="A100" s="38" t="s">
        <v>17</v>
      </c>
      <c r="B100" s="39"/>
      <c r="C100" s="39" t="s">
        <v>112</v>
      </c>
      <c r="D100" s="40">
        <f>SUM(D85,D92,D99)</f>
        <v>0</v>
      </c>
      <c r="E100" s="41">
        <f>SUM(E85,E92,E99)</f>
        <v>0</v>
      </c>
      <c r="F100" s="42">
        <f>SUM(F85,F92,F99)</f>
        <v>0</v>
      </c>
      <c r="G100" s="39"/>
      <c r="H100" s="39" t="e">
        <f>"Кп= "&amp;ROUNDDOWN((F100/D100)*100,1)&amp;"%"</f>
        <v>#DIV/0!</v>
      </c>
      <c r="I100" s="39" t="e">
        <f>"Км= "&amp;ROUNDDOWN((J100/E100)*100,2)&amp;"%"</f>
        <v>#DIV/0!</v>
      </c>
      <c r="J100" s="43">
        <f>SUM(J85,J92,J99)</f>
        <v>0</v>
      </c>
    </row>
    <row r="101" spans="1:10" ht="27" customHeight="1" x14ac:dyDescent="0.25">
      <c r="A101" s="38" t="s">
        <v>17</v>
      </c>
      <c r="B101" s="39"/>
      <c r="C101" s="39" t="s">
        <v>114</v>
      </c>
      <c r="D101" s="40">
        <f>SUM(D100,D76)</f>
        <v>2</v>
      </c>
      <c r="E101" s="41">
        <f>SUM(E100,E76)</f>
        <v>3216</v>
      </c>
      <c r="F101" s="42">
        <f>SUM(F100,F76)</f>
        <v>0</v>
      </c>
      <c r="G101" s="39"/>
      <c r="H101" s="39" t="str">
        <f>"Кп= "&amp;ROUNDDOWN((F101/D101)*100,1)&amp;"%"</f>
        <v>Кп= 0%</v>
      </c>
      <c r="I101" s="39" t="str">
        <f>"Км= "&amp;ROUNDDOWN((J101/E101)*100,2)&amp;"%"</f>
        <v>Км= 0%</v>
      </c>
      <c r="J101" s="43">
        <f>SUM(J100,J76)</f>
        <v>0</v>
      </c>
    </row>
    <row r="102" spans="1:10" ht="26.25" customHeight="1" x14ac:dyDescent="0.25">
      <c r="A102" s="8" t="s">
        <v>20</v>
      </c>
      <c r="B102" s="8"/>
      <c r="C102" s="8"/>
      <c r="D102" s="9"/>
      <c r="E102" s="8"/>
      <c r="F102" s="8"/>
      <c r="G102" s="8" t="s">
        <v>21</v>
      </c>
      <c r="H102" s="8"/>
      <c r="I102" s="8"/>
      <c r="J102" s="8"/>
    </row>
  </sheetData>
  <sheetProtection algorithmName="SHA-512" hashValue="87tF0CrLW1Ve5mboZhTNK2rsDMV/7o3OBQvQeiWYtUXtD2TwKFeZxICgJCdmgN6xO3DP6zgFYfIeSgyNG5pdhA==" saltValue="GQZ6NIkQvptdMrDaet7MAQ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93:J93"/>
    <mergeCell ref="A6:J6"/>
    <mergeCell ref="A13:J13"/>
    <mergeCell ref="A20:J20"/>
    <mergeCell ref="A29:J29"/>
    <mergeCell ref="A36:J36"/>
    <mergeCell ref="A43:J43"/>
    <mergeCell ref="A54:J54"/>
    <mergeCell ref="A61:J61"/>
    <mergeCell ref="A68:J68"/>
    <mergeCell ref="A79:J79"/>
    <mergeCell ref="A86:J86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2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4BA15-3112-4669-AEE3-4E9769445642}">
  <sheetPr codeName="Лист8">
    <pageSetUpPr fitToPage="1"/>
  </sheetPr>
  <dimension ref="A1:N98"/>
  <sheetViews>
    <sheetView zoomScaleNormal="100" workbookViewId="0">
      <pane ySplit="4" topLeftCell="A18" activePane="bottomLeft" state="frozen"/>
      <selection activeCell="A2" sqref="A2:J2"/>
      <selection pane="bottomLeft" activeCell="J49" sqref="A1:J49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229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245" t="s">
        <v>0</v>
      </c>
      <c r="G4" s="245" t="s">
        <v>4</v>
      </c>
      <c r="H4" s="245" t="s">
        <v>0</v>
      </c>
      <c r="I4" s="245" t="s">
        <v>4</v>
      </c>
      <c r="J4" s="320"/>
    </row>
    <row r="5" spans="1:14" ht="14.25" customHeight="1" x14ac:dyDescent="0.25">
      <c r="A5" s="244">
        <v>1</v>
      </c>
      <c r="B5" s="244">
        <v>2</v>
      </c>
      <c r="C5" s="244">
        <v>3</v>
      </c>
      <c r="D5" s="244">
        <v>4</v>
      </c>
      <c r="E5" s="244">
        <v>5</v>
      </c>
      <c r="F5" s="244">
        <v>6</v>
      </c>
      <c r="G5" s="244">
        <v>7</v>
      </c>
      <c r="H5" s="244">
        <v>8</v>
      </c>
      <c r="I5" s="244">
        <v>9</v>
      </c>
      <c r="J5" s="244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43">
        <v>1</v>
      </c>
      <c r="B7" s="144" t="s">
        <v>70</v>
      </c>
      <c r="C7" s="145">
        <v>57</v>
      </c>
      <c r="D7" s="146">
        <v>43845</v>
      </c>
      <c r="E7" s="147">
        <v>2016</v>
      </c>
      <c r="F7" s="244"/>
      <c r="G7" s="244"/>
      <c r="H7" s="244"/>
      <c r="I7" s="244"/>
      <c r="J7" s="244"/>
    </row>
    <row r="8" spans="1:14" hidden="1" outlineLevel="1" x14ac:dyDescent="0.25">
      <c r="A8" s="149"/>
      <c r="B8" s="149"/>
      <c r="C8" s="150"/>
      <c r="D8" s="151"/>
      <c r="E8" s="152"/>
      <c r="F8" s="244"/>
      <c r="G8" s="244"/>
      <c r="H8" s="244"/>
      <c r="I8" s="244"/>
      <c r="J8" s="244"/>
    </row>
    <row r="9" spans="1:14" hidden="1" outlineLevel="1" x14ac:dyDescent="0.25">
      <c r="A9" s="149"/>
      <c r="B9" s="149"/>
      <c r="C9" s="150"/>
      <c r="D9" s="151"/>
      <c r="E9" s="152"/>
      <c r="F9" s="244"/>
      <c r="G9" s="244"/>
      <c r="H9" s="244"/>
      <c r="I9" s="244"/>
      <c r="J9" s="244"/>
    </row>
    <row r="10" spans="1:14" hidden="1" outlineLevel="1" x14ac:dyDescent="0.25">
      <c r="A10" s="149"/>
      <c r="B10" s="149"/>
      <c r="C10" s="150"/>
      <c r="D10" s="151"/>
      <c r="E10" s="152"/>
      <c r="F10" s="244"/>
      <c r="G10" s="244"/>
      <c r="H10" s="244"/>
      <c r="I10" s="244"/>
      <c r="J10" s="244"/>
    </row>
    <row r="11" spans="1:14" hidden="1" outlineLevel="1" x14ac:dyDescent="0.25">
      <c r="A11" s="149"/>
      <c r="B11" s="149"/>
      <c r="C11" s="150"/>
      <c r="D11" s="151"/>
      <c r="E11" s="152"/>
      <c r="F11" s="244"/>
      <c r="G11" s="244"/>
      <c r="H11" s="244"/>
      <c r="I11" s="244"/>
      <c r="J11" s="244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1</v>
      </c>
      <c r="E12" s="156">
        <f>SUM(янв_кол)</f>
        <v>2016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x14ac:dyDescent="0.25">
      <c r="A14" s="143">
        <v>2</v>
      </c>
      <c r="B14" s="160" t="s">
        <v>70</v>
      </c>
      <c r="C14" s="145" t="s">
        <v>137</v>
      </c>
      <c r="D14" s="146">
        <v>43873</v>
      </c>
      <c r="E14" s="147">
        <v>2034</v>
      </c>
      <c r="F14" s="149"/>
      <c r="G14" s="149"/>
      <c r="H14" s="149"/>
      <c r="I14" s="149"/>
      <c r="J14" s="149"/>
      <c r="L14" s="1"/>
      <c r="M14" s="1"/>
      <c r="N14" s="1"/>
    </row>
    <row r="15" spans="1:14" outlineLevel="1" x14ac:dyDescent="0.25">
      <c r="A15" s="143">
        <v>3</v>
      </c>
      <c r="B15" s="180" t="s">
        <v>70</v>
      </c>
      <c r="C15" s="181" t="s">
        <v>148</v>
      </c>
      <c r="D15" s="182">
        <v>43882</v>
      </c>
      <c r="E15" s="183">
        <v>2016</v>
      </c>
      <c r="F15" s="149"/>
      <c r="G15" s="149"/>
      <c r="H15" s="149"/>
      <c r="I15" s="149"/>
      <c r="J15" s="149"/>
      <c r="L15" s="1"/>
      <c r="M15" s="1"/>
      <c r="N15" s="1"/>
    </row>
    <row r="16" spans="1:14" x14ac:dyDescent="0.25">
      <c r="A16" s="153" t="s">
        <v>17</v>
      </c>
      <c r="B16" s="154"/>
      <c r="C16" s="154" t="str">
        <f>"за "&amp;LOWER($A$13)</f>
        <v>за февраль</v>
      </c>
      <c r="D16" s="155">
        <f>COUNTA(фев_пр)</f>
        <v>2</v>
      </c>
      <c r="E16" s="156">
        <f>SUM(фев_кол)</f>
        <v>4050</v>
      </c>
      <c r="F16" s="157">
        <f>COUNTA(акт_вх_фев)+COUNTA(акт_отб_фев)</f>
        <v>0</v>
      </c>
      <c r="G16" s="158"/>
      <c r="H16" s="158"/>
      <c r="I16" s="158"/>
      <c r="J16" s="159">
        <f>SUM(кол_отб_фев)</f>
        <v>0</v>
      </c>
      <c r="L16" s="1"/>
      <c r="M16" s="1"/>
      <c r="N16" s="1"/>
    </row>
    <row r="17" spans="1:14" x14ac:dyDescent="0.25">
      <c r="A17" s="318" t="s">
        <v>7</v>
      </c>
      <c r="B17" s="318"/>
      <c r="C17" s="318"/>
      <c r="D17" s="318"/>
      <c r="E17" s="318"/>
      <c r="F17" s="318"/>
      <c r="G17" s="318"/>
      <c r="H17" s="318"/>
      <c r="I17" s="318"/>
      <c r="J17" s="318"/>
      <c r="L17" s="1"/>
      <c r="M17" s="1"/>
      <c r="N17" s="1"/>
    </row>
    <row r="18" spans="1:14" x14ac:dyDescent="0.25">
      <c r="A18" s="143">
        <v>4</v>
      </c>
      <c r="B18" s="162" t="s">
        <v>70</v>
      </c>
      <c r="C18" s="163" t="s">
        <v>172</v>
      </c>
      <c r="D18" s="164">
        <v>43908</v>
      </c>
      <c r="E18" s="165">
        <v>2520</v>
      </c>
      <c r="F18" s="149"/>
      <c r="G18" s="149"/>
      <c r="H18" s="149"/>
      <c r="I18" s="149"/>
      <c r="J18" s="149"/>
      <c r="L18" s="1"/>
      <c r="M18" s="1"/>
      <c r="N18" s="1"/>
    </row>
    <row r="19" spans="1:14" hidden="1" outlineLevel="1" x14ac:dyDescent="0.25">
      <c r="A19" s="149"/>
      <c r="B19" s="149"/>
      <c r="C19" s="150"/>
      <c r="D19" s="151"/>
      <c r="E19" s="149"/>
      <c r="F19" s="149"/>
      <c r="G19" s="149"/>
      <c r="H19" s="149"/>
      <c r="I19" s="149"/>
      <c r="J19" s="149"/>
      <c r="L19" s="1"/>
      <c r="M19" s="1"/>
      <c r="N19" s="1"/>
    </row>
    <row r="20" spans="1:14" hidden="1" outlineLevel="1" x14ac:dyDescent="0.25">
      <c r="A20" s="149"/>
      <c r="B20" s="149"/>
      <c r="C20" s="150"/>
      <c r="D20" s="151"/>
      <c r="E20" s="149"/>
      <c r="F20" s="149"/>
      <c r="G20" s="149"/>
      <c r="H20" s="149"/>
      <c r="I20" s="149"/>
      <c r="J20" s="149"/>
      <c r="L20" s="1"/>
      <c r="M20" s="1"/>
      <c r="N20" s="1"/>
    </row>
    <row r="21" spans="1:14" hidden="1" outlineLevel="1" x14ac:dyDescent="0.25">
      <c r="A21" s="149"/>
      <c r="B21" s="149"/>
      <c r="C21" s="150"/>
      <c r="D21" s="151"/>
      <c r="E21" s="149"/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collapsed="1" x14ac:dyDescent="0.25">
      <c r="A23" s="153" t="s">
        <v>17</v>
      </c>
      <c r="B23" s="154"/>
      <c r="C23" s="154" t="str">
        <f>"за "&amp;LOWER($A$17)</f>
        <v>за март</v>
      </c>
      <c r="D23" s="155">
        <f>COUNTA(мрт_пр)</f>
        <v>1</v>
      </c>
      <c r="E23" s="156">
        <f>SUM(мрт_кол)</f>
        <v>2520</v>
      </c>
      <c r="F23" s="157">
        <f>COUNTA(акт_вх_мрт)+COUNTA(акт_отб_мрт)</f>
        <v>0</v>
      </c>
      <c r="G23" s="167"/>
      <c r="H23" s="167"/>
      <c r="I23" s="167"/>
      <c r="J23" s="159">
        <f>SUM(кол_отб_мрт)</f>
        <v>0</v>
      </c>
      <c r="L23" s="1"/>
      <c r="M23" s="1"/>
      <c r="N23" s="1"/>
    </row>
    <row r="24" spans="1:14" ht="31.5" customHeight="1" x14ac:dyDescent="0.25">
      <c r="A24" s="168" t="s">
        <v>17</v>
      </c>
      <c r="B24" s="169"/>
      <c r="C24" s="169" t="s">
        <v>18</v>
      </c>
      <c r="D24" s="170">
        <f>SUM(D12,D16,D23)</f>
        <v>4</v>
      </c>
      <c r="E24" s="171">
        <f>SUM(E12,E16,E23)</f>
        <v>8586</v>
      </c>
      <c r="F24" s="172">
        <f>SUM(F12,F16,F23)</f>
        <v>0</v>
      </c>
      <c r="G24" s="169"/>
      <c r="H24" s="169" t="str">
        <f>"Кп= "&amp;ROUNDDOWN((F24/D24)*100,1)&amp;"%"</f>
        <v>Кп= 0%</v>
      </c>
      <c r="I24" s="169" t="str">
        <f>"Км= "&amp;ROUNDDOWN((J24/E24)*100,2)&amp;"%"</f>
        <v>Км= 0%</v>
      </c>
      <c r="J24" s="173">
        <f>SUM(J12,J16,J23)</f>
        <v>0</v>
      </c>
      <c r="L24" s="1"/>
      <c r="M24" s="1"/>
      <c r="N24" s="1"/>
    </row>
    <row r="25" spans="1:14" ht="15.75" hidden="1" customHeight="1" outlineLevel="1" x14ac:dyDescent="0.25">
      <c r="A25" s="153" t="s">
        <v>20</v>
      </c>
      <c r="B25" s="154"/>
      <c r="C25" s="154"/>
      <c r="D25" s="174"/>
      <c r="E25" s="154"/>
      <c r="F25" s="154"/>
      <c r="G25" s="154" t="s">
        <v>21</v>
      </c>
      <c r="H25" s="154"/>
      <c r="I25" s="154"/>
      <c r="J25" s="175"/>
      <c r="L25" s="1"/>
      <c r="M25" s="1"/>
      <c r="N25" s="1"/>
    </row>
    <row r="26" spans="1:14" collapsed="1" x14ac:dyDescent="0.25">
      <c r="A26" s="317" t="s">
        <v>8</v>
      </c>
      <c r="B26" s="317"/>
      <c r="C26" s="317"/>
      <c r="D26" s="317"/>
      <c r="E26" s="317"/>
      <c r="F26" s="317"/>
      <c r="G26" s="317"/>
      <c r="H26" s="317"/>
      <c r="I26" s="317"/>
      <c r="J26" s="317"/>
      <c r="L26" s="1"/>
      <c r="M26" s="1"/>
      <c r="N26" s="1"/>
    </row>
    <row r="27" spans="1:14" s="138" customFormat="1" x14ac:dyDescent="0.25">
      <c r="A27" s="143">
        <v>5</v>
      </c>
      <c r="B27" s="180" t="s">
        <v>70</v>
      </c>
      <c r="C27" s="181" t="s">
        <v>174</v>
      </c>
      <c r="D27" s="182">
        <v>43936</v>
      </c>
      <c r="E27" s="190">
        <v>2563</v>
      </c>
      <c r="F27" s="243"/>
      <c r="G27" s="243"/>
      <c r="H27" s="243"/>
      <c r="I27" s="243"/>
      <c r="J27" s="243"/>
      <c r="L27" s="230"/>
      <c r="M27" s="230"/>
      <c r="N27" s="230"/>
    </row>
    <row r="28" spans="1:14" s="138" customFormat="1" hidden="1" outlineLevel="1" x14ac:dyDescent="0.25">
      <c r="A28" s="243"/>
      <c r="B28" s="243"/>
      <c r="C28" s="243"/>
      <c r="D28" s="243"/>
      <c r="E28" s="243"/>
      <c r="F28" s="243"/>
      <c r="G28" s="243"/>
      <c r="H28" s="243"/>
      <c r="I28" s="243"/>
      <c r="J28" s="243"/>
      <c r="L28" s="230"/>
      <c r="M28" s="230"/>
      <c r="N28" s="230"/>
    </row>
    <row r="29" spans="1:14" s="138" customFormat="1" hidden="1" outlineLevel="1" x14ac:dyDescent="0.25">
      <c r="A29" s="243"/>
      <c r="B29" s="243"/>
      <c r="C29" s="243"/>
      <c r="D29" s="243"/>
      <c r="E29" s="243"/>
      <c r="F29" s="243"/>
      <c r="G29" s="243"/>
      <c r="H29" s="243"/>
      <c r="I29" s="243"/>
      <c r="J29" s="243"/>
      <c r="L29" s="230"/>
      <c r="M29" s="230"/>
      <c r="N29" s="230"/>
    </row>
    <row r="30" spans="1:14" s="138" customFormat="1" hidden="1" outlineLevel="1" x14ac:dyDescent="0.25">
      <c r="A30" s="243"/>
      <c r="B30" s="243"/>
      <c r="C30" s="243"/>
      <c r="D30" s="243"/>
      <c r="E30" s="243"/>
      <c r="F30" s="243"/>
      <c r="G30" s="243"/>
      <c r="H30" s="243"/>
      <c r="I30" s="243"/>
      <c r="J30" s="243"/>
      <c r="L30" s="230"/>
      <c r="M30" s="230"/>
      <c r="N30" s="230"/>
    </row>
    <row r="31" spans="1:14" s="138" customFormat="1" hidden="1" outlineLevel="1" x14ac:dyDescent="0.25">
      <c r="A31" s="232"/>
      <c r="B31" s="232"/>
      <c r="C31" s="232"/>
      <c r="D31" s="237"/>
      <c r="E31" s="232"/>
      <c r="F31" s="232"/>
      <c r="G31" s="232"/>
      <c r="H31" s="232"/>
      <c r="I31" s="232"/>
      <c r="J31" s="232"/>
      <c r="L31" s="230"/>
      <c r="M31" s="230"/>
      <c r="N31" s="230"/>
    </row>
    <row r="32" spans="1:14" s="138" customFormat="1" collapsed="1" x14ac:dyDescent="0.25">
      <c r="A32" s="153" t="s">
        <v>17</v>
      </c>
      <c r="B32" s="154"/>
      <c r="C32" s="154" t="str">
        <f>"за "&amp;LOWER($A$26)</f>
        <v>за апрель</v>
      </c>
      <c r="D32" s="155">
        <f>COUNTA(апр_пр)</f>
        <v>1</v>
      </c>
      <c r="E32" s="156">
        <f>SUM(апр_кол)</f>
        <v>2563</v>
      </c>
      <c r="F32" s="157">
        <f>COUNTA(акт_вх_апр)+COUNTA(акт_отб_апр)</f>
        <v>0</v>
      </c>
      <c r="G32" s="167"/>
      <c r="H32" s="167"/>
      <c r="I32" s="167"/>
      <c r="J32" s="159">
        <f>SUM(кол_отб_апр)</f>
        <v>0</v>
      </c>
      <c r="L32" s="230"/>
      <c r="M32" s="230"/>
      <c r="N32" s="230"/>
    </row>
    <row r="33" spans="1:14" s="138" customFormat="1" x14ac:dyDescent="0.25">
      <c r="A33" s="318" t="s">
        <v>9</v>
      </c>
      <c r="B33" s="318"/>
      <c r="C33" s="318"/>
      <c r="D33" s="318"/>
      <c r="E33" s="318"/>
      <c r="F33" s="318"/>
      <c r="G33" s="318"/>
      <c r="H33" s="318"/>
      <c r="I33" s="318"/>
      <c r="J33" s="318"/>
      <c r="L33" s="230"/>
      <c r="M33" s="230"/>
      <c r="N33" s="230"/>
    </row>
    <row r="34" spans="1:14" s="138" customFormat="1" x14ac:dyDescent="0.25">
      <c r="A34" s="143">
        <v>6</v>
      </c>
      <c r="B34" s="180" t="s">
        <v>70</v>
      </c>
      <c r="C34" s="181" t="s">
        <v>187</v>
      </c>
      <c r="D34" s="182">
        <v>43964</v>
      </c>
      <c r="E34" s="190">
        <v>4536</v>
      </c>
      <c r="F34" s="244"/>
      <c r="G34" s="244"/>
      <c r="H34" s="244"/>
      <c r="I34" s="244"/>
      <c r="J34" s="244"/>
      <c r="L34" s="230"/>
      <c r="M34" s="230"/>
      <c r="N34" s="230"/>
    </row>
    <row r="35" spans="1:14" s="138" customFormat="1" hidden="1" outlineLevel="1" x14ac:dyDescent="0.25">
      <c r="A35" s="231"/>
      <c r="B35" s="231"/>
      <c r="C35" s="231"/>
      <c r="D35" s="231"/>
      <c r="E35" s="231"/>
      <c r="F35" s="231"/>
      <c r="G35" s="231"/>
      <c r="H35" s="231"/>
      <c r="I35" s="231"/>
      <c r="J35" s="231"/>
      <c r="L35" s="230"/>
      <c r="M35" s="230"/>
      <c r="N35" s="230"/>
    </row>
    <row r="36" spans="1:14" s="138" customFormat="1" hidden="1" outlineLevel="1" x14ac:dyDescent="0.25">
      <c r="A36" s="231"/>
      <c r="B36" s="231"/>
      <c r="C36" s="231"/>
      <c r="D36" s="231"/>
      <c r="E36" s="231"/>
      <c r="F36" s="231"/>
      <c r="G36" s="231"/>
      <c r="H36" s="231"/>
      <c r="I36" s="231"/>
      <c r="J36" s="231"/>
      <c r="L36" s="230"/>
      <c r="M36" s="230"/>
      <c r="N36" s="230"/>
    </row>
    <row r="37" spans="1:14" s="138" customFormat="1" hidden="1" outlineLevel="1" x14ac:dyDescent="0.25">
      <c r="A37" s="231"/>
      <c r="B37" s="231"/>
      <c r="C37" s="231"/>
      <c r="D37" s="231"/>
      <c r="E37" s="231"/>
      <c r="F37" s="231"/>
      <c r="G37" s="231"/>
      <c r="H37" s="231"/>
      <c r="I37" s="231"/>
      <c r="J37" s="231"/>
      <c r="L37" s="230"/>
      <c r="M37" s="230"/>
      <c r="N37" s="230"/>
    </row>
    <row r="38" spans="1:14" s="138" customFormat="1" hidden="1" outlineLevel="1" x14ac:dyDescent="0.25">
      <c r="A38" s="235"/>
      <c r="B38" s="235"/>
      <c r="C38" s="235"/>
      <c r="D38" s="236"/>
      <c r="E38" s="235"/>
      <c r="F38" s="235"/>
      <c r="G38" s="235"/>
      <c r="H38" s="235"/>
      <c r="I38" s="235"/>
      <c r="J38" s="235"/>
    </row>
    <row r="39" spans="1:14" s="138" customFormat="1" collapsed="1" x14ac:dyDescent="0.25">
      <c r="A39" s="153" t="s">
        <v>17</v>
      </c>
      <c r="B39" s="154"/>
      <c r="C39" s="154" t="str">
        <f>"за "&amp;LOWER($A$33)</f>
        <v>за май</v>
      </c>
      <c r="D39" s="155">
        <f>COUNTA(май_пр)</f>
        <v>1</v>
      </c>
      <c r="E39" s="156">
        <f>SUM(май_кол)</f>
        <v>4536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s="138" customFormat="1" x14ac:dyDescent="0.25">
      <c r="A40" s="318" t="s">
        <v>10</v>
      </c>
      <c r="B40" s="318"/>
      <c r="C40" s="318"/>
      <c r="D40" s="318"/>
      <c r="E40" s="318"/>
      <c r="F40" s="318"/>
      <c r="G40" s="318"/>
      <c r="H40" s="318"/>
      <c r="I40" s="318"/>
      <c r="J40" s="318"/>
    </row>
    <row r="41" spans="1:14" s="138" customFormat="1" x14ac:dyDescent="0.25">
      <c r="A41" s="143">
        <v>7</v>
      </c>
      <c r="B41" s="162" t="s">
        <v>70</v>
      </c>
      <c r="C41" s="163" t="s">
        <v>220</v>
      </c>
      <c r="D41" s="164">
        <v>44005</v>
      </c>
      <c r="E41" s="186">
        <v>1512</v>
      </c>
      <c r="F41" s="232"/>
      <c r="G41" s="232"/>
      <c r="H41" s="232"/>
      <c r="I41" s="232"/>
      <c r="J41" s="232"/>
    </row>
    <row r="42" spans="1:14" s="138" customFormat="1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s="138" customFormat="1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s="138" customFormat="1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s="138" customFormat="1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1512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SUM(D32,D39,D46)</f>
        <v>3</v>
      </c>
      <c r="E47" s="171">
        <f>SUM(E32,E39,E46)</f>
        <v>8611</v>
      </c>
      <c r="F47" s="172">
        <f>SUM(F32,F39,F46)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SUM(J32,J39,J46)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SUM(D24,D47)</f>
        <v>7</v>
      </c>
      <c r="E48" s="171">
        <f>SUM(E47,E24)</f>
        <v>17197</v>
      </c>
      <c r="F48" s="172">
        <f>SUM(F47,F24)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SUM(J47,J24)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7</v>
      </c>
      <c r="E72" s="41">
        <f>SUM(E71,E48)</f>
        <v>17197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7</v>
      </c>
      <c r="E97" s="41">
        <f>SUM(E96,E72)</f>
        <v>17197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ls0qGzb60k3cx8gbNtB6BB9E903f3fQRrsvLd2aDskHG9tsjAnhoujEvMa8/0olGojIj9DzhMs8atPQmrvXcoQ==" saltValue="p1UZEbzTT8/VCjH42Dwpwg==" spinCount="100000" sheet="1" formatCells="0" formatColumns="0" formatRows="0" insertColumns="0" insertRows="0" insertHyperlinks="0" deleteColumns="0" deleteRows="0" sort="0" autoFilter="0" pivotTables="0"/>
  <mergeCells count="21">
    <mergeCell ref="A2:J2"/>
    <mergeCell ref="A3:A4"/>
    <mergeCell ref="B3:B4"/>
    <mergeCell ref="C3:C4"/>
    <mergeCell ref="D3:D4"/>
    <mergeCell ref="E3:E4"/>
    <mergeCell ref="F3:G3"/>
    <mergeCell ref="H3:I3"/>
    <mergeCell ref="J3:J4"/>
    <mergeCell ref="A89:J89"/>
    <mergeCell ref="A6:J6"/>
    <mergeCell ref="A13:J13"/>
    <mergeCell ref="A17:J17"/>
    <mergeCell ref="A26:J26"/>
    <mergeCell ref="A33:J33"/>
    <mergeCell ref="A40:J40"/>
    <mergeCell ref="A50:J50"/>
    <mergeCell ref="A57:J57"/>
    <mergeCell ref="A64:J64"/>
    <mergeCell ref="A75:J75"/>
    <mergeCell ref="A82:J82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4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5241-DBF5-46AF-8877-B0C292C6A445}">
  <sheetPr codeName="Лист14">
    <pageSetUpPr fitToPage="1"/>
  </sheetPr>
  <dimension ref="A1:N98"/>
  <sheetViews>
    <sheetView zoomScaleNormal="100" workbookViewId="0">
      <pane ySplit="4" topLeftCell="A37" activePane="bottomLeft" state="frozen"/>
      <selection activeCell="A2" sqref="A2:J2"/>
      <selection pane="bottomLeft" activeCell="J49" sqref="J49"/>
    </sheetView>
  </sheetViews>
  <sheetFormatPr defaultRowHeight="15" outlineLevelRow="1" x14ac:dyDescent="0.25"/>
  <cols>
    <col min="1" max="1" width="5" customWidth="1"/>
    <col min="2" max="2" width="24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138"/>
      <c r="B1" s="138"/>
      <c r="C1" s="138"/>
      <c r="D1" s="138"/>
      <c r="E1" s="138"/>
      <c r="F1" s="138"/>
      <c r="G1" s="138"/>
      <c r="H1" s="138"/>
      <c r="I1" s="138"/>
      <c r="J1" s="139" t="s">
        <v>94</v>
      </c>
    </row>
    <row r="2" spans="1:14" ht="33.75" customHeight="1" x14ac:dyDescent="0.4">
      <c r="A2" s="319" t="s">
        <v>226</v>
      </c>
      <c r="B2" s="319"/>
      <c r="C2" s="319"/>
      <c r="D2" s="319"/>
      <c r="E2" s="319"/>
      <c r="F2" s="319"/>
      <c r="G2" s="319"/>
      <c r="H2" s="319"/>
      <c r="I2" s="319"/>
      <c r="J2" s="319"/>
    </row>
    <row r="3" spans="1:14" x14ac:dyDescent="0.25">
      <c r="A3" s="320" t="s">
        <v>0</v>
      </c>
      <c r="B3" s="321" t="s">
        <v>97</v>
      </c>
      <c r="C3" s="320" t="s">
        <v>1</v>
      </c>
      <c r="D3" s="323" t="s">
        <v>23</v>
      </c>
      <c r="E3" s="320" t="s">
        <v>96</v>
      </c>
      <c r="F3" s="320" t="s">
        <v>3</v>
      </c>
      <c r="G3" s="320"/>
      <c r="H3" s="324" t="s">
        <v>2</v>
      </c>
      <c r="I3" s="325"/>
      <c r="J3" s="323" t="s">
        <v>93</v>
      </c>
    </row>
    <row r="4" spans="1:14" ht="32.25" customHeight="1" x14ac:dyDescent="0.25">
      <c r="A4" s="320"/>
      <c r="B4" s="322"/>
      <c r="C4" s="320"/>
      <c r="D4" s="320"/>
      <c r="E4" s="320"/>
      <c r="F4" s="140" t="s">
        <v>0</v>
      </c>
      <c r="G4" s="140" t="s">
        <v>4</v>
      </c>
      <c r="H4" s="140" t="s">
        <v>0</v>
      </c>
      <c r="I4" s="140" t="s">
        <v>4</v>
      </c>
      <c r="J4" s="320"/>
    </row>
    <row r="5" spans="1:14" ht="14.25" customHeight="1" x14ac:dyDescent="0.25">
      <c r="A5" s="142">
        <v>1</v>
      </c>
      <c r="B5" s="142">
        <v>2</v>
      </c>
      <c r="C5" s="142">
        <v>3</v>
      </c>
      <c r="D5" s="142">
        <v>4</v>
      </c>
      <c r="E5" s="142">
        <v>5</v>
      </c>
      <c r="F5" s="142">
        <v>6</v>
      </c>
      <c r="G5" s="142">
        <v>7</v>
      </c>
      <c r="H5" s="142">
        <v>8</v>
      </c>
      <c r="I5" s="142">
        <v>9</v>
      </c>
      <c r="J5" s="142">
        <v>10</v>
      </c>
      <c r="M5" s="18"/>
    </row>
    <row r="6" spans="1:14" x14ac:dyDescent="0.25">
      <c r="A6" s="318" t="s">
        <v>5</v>
      </c>
      <c r="B6" s="318"/>
      <c r="C6" s="318"/>
      <c r="D6" s="318"/>
      <c r="E6" s="318"/>
      <c r="F6" s="318"/>
      <c r="G6" s="318"/>
      <c r="H6" s="318"/>
      <c r="I6" s="318"/>
      <c r="J6" s="318"/>
    </row>
    <row r="7" spans="1:14" x14ac:dyDescent="0.25">
      <c r="A7" s="176"/>
      <c r="B7" s="176"/>
      <c r="C7" s="177"/>
      <c r="D7" s="178"/>
      <c r="E7" s="179"/>
      <c r="F7" s="142"/>
      <c r="G7" s="142"/>
      <c r="H7" s="142"/>
      <c r="I7" s="142"/>
      <c r="J7" s="142"/>
    </row>
    <row r="8" spans="1:14" hidden="1" outlineLevel="1" x14ac:dyDescent="0.25">
      <c r="A8" s="149"/>
      <c r="B8" s="149"/>
      <c r="C8" s="150"/>
      <c r="D8" s="151"/>
      <c r="E8" s="152"/>
      <c r="F8" s="142"/>
      <c r="G8" s="142"/>
      <c r="H8" s="142"/>
      <c r="I8" s="142"/>
      <c r="J8" s="142"/>
    </row>
    <row r="9" spans="1:14" hidden="1" outlineLevel="1" x14ac:dyDescent="0.25">
      <c r="A9" s="149"/>
      <c r="B9" s="149"/>
      <c r="C9" s="150"/>
      <c r="D9" s="151"/>
      <c r="E9" s="152"/>
      <c r="F9" s="142"/>
      <c r="G9" s="142"/>
      <c r="H9" s="142"/>
      <c r="I9" s="142"/>
      <c r="J9" s="142"/>
    </row>
    <row r="10" spans="1:14" hidden="1" outlineLevel="1" x14ac:dyDescent="0.25">
      <c r="A10" s="149"/>
      <c r="B10" s="149"/>
      <c r="C10" s="150"/>
      <c r="D10" s="151"/>
      <c r="E10" s="152"/>
      <c r="F10" s="142"/>
      <c r="G10" s="142"/>
      <c r="H10" s="142"/>
      <c r="I10" s="142"/>
      <c r="J10" s="142"/>
    </row>
    <row r="11" spans="1:14" hidden="1" outlineLevel="1" x14ac:dyDescent="0.25">
      <c r="A11" s="149"/>
      <c r="B11" s="149"/>
      <c r="C11" s="150"/>
      <c r="D11" s="151"/>
      <c r="E11" s="152"/>
      <c r="F11" s="142"/>
      <c r="G11" s="142"/>
      <c r="H11" s="142"/>
      <c r="I11" s="142"/>
      <c r="J11" s="142"/>
    </row>
    <row r="12" spans="1:14" s="1" customFormat="1" collapsed="1" x14ac:dyDescent="0.25">
      <c r="A12" s="153" t="s">
        <v>17</v>
      </c>
      <c r="B12" s="154"/>
      <c r="C12" s="154" t="str">
        <f>"за "&amp;LOWER($A$6)</f>
        <v>за январь</v>
      </c>
      <c r="D12" s="155">
        <f>COUNTA(янв_пр)</f>
        <v>0</v>
      </c>
      <c r="E12" s="156">
        <f>SUM(янв_кол)</f>
        <v>0</v>
      </c>
      <c r="F12" s="157">
        <f>COUNTA(акт_вх_янв)+COUNTA(акт_отб_янв)</f>
        <v>0</v>
      </c>
      <c r="G12" s="158"/>
      <c r="H12" s="158"/>
      <c r="I12" s="158"/>
      <c r="J12" s="159">
        <f>SUM(кол_отб_янв)</f>
        <v>0</v>
      </c>
    </row>
    <row r="13" spans="1:14" x14ac:dyDescent="0.25">
      <c r="A13" s="317" t="s">
        <v>6</v>
      </c>
      <c r="B13" s="317"/>
      <c r="C13" s="317"/>
      <c r="D13" s="317"/>
      <c r="E13" s="317"/>
      <c r="F13" s="317"/>
      <c r="G13" s="317"/>
      <c r="H13" s="317"/>
      <c r="I13" s="317"/>
      <c r="J13" s="317"/>
      <c r="L13" s="1"/>
      <c r="M13" s="1"/>
      <c r="N13" s="1"/>
    </row>
    <row r="14" spans="1:14" ht="45" x14ac:dyDescent="0.25">
      <c r="A14" s="143">
        <v>1</v>
      </c>
      <c r="B14" s="160" t="s">
        <v>31</v>
      </c>
      <c r="C14" s="145" t="s">
        <v>142</v>
      </c>
      <c r="D14" s="146">
        <v>43879</v>
      </c>
      <c r="E14" s="246">
        <v>2037.8</v>
      </c>
      <c r="F14" s="149"/>
      <c r="G14" s="149"/>
      <c r="H14" s="149"/>
      <c r="I14" s="149"/>
      <c r="J14" s="149"/>
      <c r="L14" s="1"/>
      <c r="M14" s="1"/>
      <c r="N14" s="1"/>
    </row>
    <row r="15" spans="1:14" hidden="1" outlineLevel="1" x14ac:dyDescent="0.25">
      <c r="A15" s="149"/>
      <c r="B15" s="149"/>
      <c r="C15" s="161"/>
      <c r="D15" s="151"/>
      <c r="E15" s="152"/>
      <c r="F15" s="149"/>
      <c r="G15" s="149"/>
      <c r="H15" s="149"/>
      <c r="I15" s="149"/>
      <c r="J15" s="149"/>
      <c r="L15" s="1"/>
      <c r="M15" s="1"/>
      <c r="N15" s="1"/>
    </row>
    <row r="16" spans="1:14" hidden="1" outlineLevel="1" x14ac:dyDescent="0.25">
      <c r="A16" s="149"/>
      <c r="B16" s="149"/>
      <c r="C16" s="161"/>
      <c r="D16" s="151"/>
      <c r="E16" s="152"/>
      <c r="F16" s="149"/>
      <c r="G16" s="149"/>
      <c r="H16" s="149"/>
      <c r="I16" s="149"/>
      <c r="J16" s="149"/>
      <c r="L16" s="1"/>
      <c r="M16" s="1"/>
      <c r="N16" s="1"/>
    </row>
    <row r="17" spans="1:14" hidden="1" outlineLevel="1" x14ac:dyDescent="0.25">
      <c r="A17" s="149"/>
      <c r="B17" s="149"/>
      <c r="C17" s="161"/>
      <c r="D17" s="151"/>
      <c r="E17" s="152"/>
      <c r="F17" s="149"/>
      <c r="G17" s="149"/>
      <c r="H17" s="149"/>
      <c r="I17" s="149"/>
      <c r="J17" s="149"/>
      <c r="L17" s="1"/>
      <c r="M17" s="63"/>
      <c r="N17" s="1"/>
    </row>
    <row r="18" spans="1:14" hidden="1" outlineLevel="1" x14ac:dyDescent="0.25">
      <c r="A18" s="149"/>
      <c r="B18" s="149"/>
      <c r="C18" s="161"/>
      <c r="D18" s="151"/>
      <c r="E18" s="152"/>
      <c r="F18" s="149"/>
      <c r="G18" s="149"/>
      <c r="H18" s="149"/>
      <c r="I18" s="149"/>
      <c r="J18" s="149"/>
      <c r="L18" s="1"/>
      <c r="M18" s="1"/>
      <c r="N18" s="1"/>
    </row>
    <row r="19" spans="1:14" collapsed="1" x14ac:dyDescent="0.25">
      <c r="A19" s="153" t="s">
        <v>17</v>
      </c>
      <c r="B19" s="154"/>
      <c r="C19" s="154" t="str">
        <f>"за "&amp;LOWER($A$13)</f>
        <v>за февраль</v>
      </c>
      <c r="D19" s="155">
        <f>COUNTA(фев_пр)</f>
        <v>1</v>
      </c>
      <c r="E19" s="156">
        <f>SUM(фев_кол)</f>
        <v>2037.8</v>
      </c>
      <c r="F19" s="157">
        <f>COUNTA(акт_вх_фев)+COUNTA(акт_отб_фев)</f>
        <v>0</v>
      </c>
      <c r="G19" s="158"/>
      <c r="H19" s="158"/>
      <c r="I19" s="158"/>
      <c r="J19" s="159">
        <f>SUM(кол_отб_фев)</f>
        <v>0</v>
      </c>
      <c r="L19" s="1"/>
      <c r="M19" s="1"/>
      <c r="N19" s="1"/>
    </row>
    <row r="20" spans="1:14" x14ac:dyDescent="0.25">
      <c r="A20" s="318" t="s">
        <v>7</v>
      </c>
      <c r="B20" s="318"/>
      <c r="C20" s="318"/>
      <c r="D20" s="318"/>
      <c r="E20" s="318"/>
      <c r="F20" s="318"/>
      <c r="G20" s="318"/>
      <c r="H20" s="318"/>
      <c r="I20" s="318"/>
      <c r="J20" s="318"/>
      <c r="L20" s="1"/>
      <c r="M20" s="1"/>
      <c r="N20" s="1"/>
    </row>
    <row r="21" spans="1:14" ht="45" x14ac:dyDescent="0.25">
      <c r="A21" s="143">
        <v>2</v>
      </c>
      <c r="B21" s="162" t="s">
        <v>31</v>
      </c>
      <c r="C21" s="163" t="s">
        <v>166</v>
      </c>
      <c r="D21" s="164">
        <v>43908</v>
      </c>
      <c r="E21" s="247">
        <v>1665.6</v>
      </c>
      <c r="F21" s="149"/>
      <c r="G21" s="149"/>
      <c r="H21" s="149"/>
      <c r="I21" s="149"/>
      <c r="J21" s="149"/>
      <c r="L21" s="1"/>
      <c r="M21" s="1"/>
      <c r="N21" s="1"/>
    </row>
    <row r="22" spans="1:14" hidden="1" outlineLevel="1" x14ac:dyDescent="0.25">
      <c r="A22" s="149"/>
      <c r="B22" s="149"/>
      <c r="C22" s="150"/>
      <c r="D22" s="151"/>
      <c r="E22" s="149"/>
      <c r="F22" s="149"/>
      <c r="G22" s="149"/>
      <c r="H22" s="149"/>
      <c r="I22" s="149"/>
      <c r="J22" s="149"/>
      <c r="L22" s="1"/>
      <c r="M22" s="1"/>
      <c r="N22" s="1"/>
    </row>
    <row r="23" spans="1:14" hidden="1" outlineLevel="1" x14ac:dyDescent="0.25">
      <c r="A23" s="149"/>
      <c r="B23" s="149"/>
      <c r="C23" s="150"/>
      <c r="D23" s="151"/>
      <c r="E23" s="149"/>
      <c r="F23" s="149"/>
      <c r="G23" s="149"/>
      <c r="H23" s="149"/>
      <c r="I23" s="149"/>
      <c r="J23" s="149"/>
      <c r="L23" s="1"/>
      <c r="M23" s="1"/>
      <c r="N23" s="1"/>
    </row>
    <row r="24" spans="1:14" hidden="1" outlineLevel="1" x14ac:dyDescent="0.25">
      <c r="A24" s="149"/>
      <c r="B24" s="149"/>
      <c r="C24" s="150"/>
      <c r="D24" s="151"/>
      <c r="E24" s="149"/>
      <c r="F24" s="149"/>
      <c r="G24" s="149"/>
      <c r="H24" s="149"/>
      <c r="I24" s="149"/>
      <c r="J24" s="149"/>
      <c r="L24" s="1"/>
      <c r="M24" s="1"/>
      <c r="N24" s="1"/>
    </row>
    <row r="25" spans="1:14" hidden="1" outlineLevel="1" x14ac:dyDescent="0.25">
      <c r="A25" s="149"/>
      <c r="B25" s="149"/>
      <c r="C25" s="150"/>
      <c r="D25" s="151"/>
      <c r="E25" s="149"/>
      <c r="F25" s="149"/>
      <c r="G25" s="149"/>
      <c r="H25" s="149"/>
      <c r="I25" s="149"/>
      <c r="J25" s="149"/>
      <c r="L25" s="1"/>
      <c r="M25" s="1"/>
      <c r="N25" s="1"/>
    </row>
    <row r="26" spans="1:14" collapsed="1" x14ac:dyDescent="0.25">
      <c r="A26" s="153" t="s">
        <v>17</v>
      </c>
      <c r="B26" s="154"/>
      <c r="C26" s="154" t="str">
        <f>"за "&amp;LOWER($A$20)</f>
        <v>за март</v>
      </c>
      <c r="D26" s="155">
        <f>COUNTA(мрт_пр)</f>
        <v>1</v>
      </c>
      <c r="E26" s="156">
        <f>SUM(мрт_кол)</f>
        <v>1665.6</v>
      </c>
      <c r="F26" s="157">
        <f>COUNTA(акт_вх_мрт)+COUNTA(акт_отб_мрт)</f>
        <v>0</v>
      </c>
      <c r="G26" s="167"/>
      <c r="H26" s="167"/>
      <c r="I26" s="167"/>
      <c r="J26" s="159">
        <f>SUM(кол_отб_мрт)</f>
        <v>0</v>
      </c>
      <c r="L26" s="1"/>
      <c r="M26" s="1"/>
      <c r="N26" s="1"/>
    </row>
    <row r="27" spans="1:14" ht="31.5" customHeight="1" x14ac:dyDescent="0.25">
      <c r="A27" s="168" t="s">
        <v>17</v>
      </c>
      <c r="B27" s="169"/>
      <c r="C27" s="169" t="s">
        <v>18</v>
      </c>
      <c r="D27" s="170">
        <f>SUM(D12,D19,D26)</f>
        <v>2</v>
      </c>
      <c r="E27" s="171">
        <f>SUM(E12,E19,E26)</f>
        <v>3703.3999999999996</v>
      </c>
      <c r="F27" s="172">
        <f>SUM(F12,F19,F26)</f>
        <v>0</v>
      </c>
      <c r="G27" s="169"/>
      <c r="H27" s="169" t="str">
        <f>"Кп= "&amp;ROUNDDOWN((F27/D27)*100,1)&amp;"%"</f>
        <v>Кп= 0%</v>
      </c>
      <c r="I27" s="169" t="str">
        <f>"Км= "&amp;ROUNDDOWN((J27/E27)*100,2)&amp;"%"</f>
        <v>Км= 0%</v>
      </c>
      <c r="J27" s="173">
        <f>SUM(J12,J19,J26)</f>
        <v>0</v>
      </c>
      <c r="L27" s="1"/>
      <c r="M27" s="1"/>
      <c r="N27" s="1"/>
    </row>
    <row r="28" spans="1:14" ht="31.5" hidden="1" customHeight="1" outlineLevel="1" x14ac:dyDescent="0.25">
      <c r="A28" s="153" t="s">
        <v>20</v>
      </c>
      <c r="B28" s="154"/>
      <c r="C28" s="154"/>
      <c r="D28" s="174"/>
      <c r="E28" s="154"/>
      <c r="F28" s="154"/>
      <c r="G28" s="154" t="s">
        <v>21</v>
      </c>
      <c r="H28" s="154"/>
      <c r="I28" s="154"/>
      <c r="J28" s="175"/>
      <c r="L28" s="1"/>
      <c r="M28" s="1"/>
      <c r="N28" s="1"/>
    </row>
    <row r="29" spans="1:14" collapsed="1" x14ac:dyDescent="0.25">
      <c r="A29" s="326" t="s">
        <v>8</v>
      </c>
      <c r="B29" s="326"/>
      <c r="C29" s="326"/>
      <c r="D29" s="326"/>
      <c r="E29" s="326"/>
      <c r="F29" s="326"/>
      <c r="G29" s="326"/>
      <c r="H29" s="326"/>
      <c r="I29" s="326"/>
      <c r="J29" s="326"/>
      <c r="L29" s="1"/>
      <c r="M29" s="1"/>
      <c r="N29" s="1"/>
    </row>
    <row r="30" spans="1:14" s="138" customFormat="1" x14ac:dyDescent="0.25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L30" s="230"/>
      <c r="M30" s="230"/>
      <c r="N30" s="230"/>
    </row>
    <row r="31" spans="1:14" hidden="1" outlineLevel="1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1"/>
      <c r="B34" s="31"/>
      <c r="C34" s="31"/>
      <c r="D34" s="32"/>
      <c r="E34" s="31"/>
      <c r="F34" s="31"/>
      <c r="G34" s="31"/>
      <c r="H34" s="31"/>
      <c r="I34" s="31"/>
      <c r="J34" s="31"/>
      <c r="L34" s="1"/>
      <c r="M34" s="1"/>
      <c r="N34" s="1"/>
    </row>
    <row r="35" spans="1:14" s="138" customFormat="1" collapsed="1" x14ac:dyDescent="0.25">
      <c r="A35" s="153" t="s">
        <v>17</v>
      </c>
      <c r="B35" s="154"/>
      <c r="C35" s="154" t="str">
        <f>"за "&amp;LOWER($A$29)</f>
        <v>за апрель</v>
      </c>
      <c r="D35" s="155">
        <f>COUNTA(апр_пр)</f>
        <v>0</v>
      </c>
      <c r="E35" s="156">
        <f>SUM(апр_кол)</f>
        <v>0</v>
      </c>
      <c r="F35" s="157">
        <f>COUNTA(акт_вх_апр)+COUNTA(акт_отб_апр)</f>
        <v>0</v>
      </c>
      <c r="G35" s="167"/>
      <c r="H35" s="167"/>
      <c r="I35" s="167"/>
      <c r="J35" s="159">
        <f>SUM(кол_отб_апр)</f>
        <v>0</v>
      </c>
      <c r="L35" s="230"/>
      <c r="M35" s="230"/>
      <c r="N35" s="230"/>
    </row>
    <row r="36" spans="1:14" x14ac:dyDescent="0.25">
      <c r="A36" s="304" t="s">
        <v>9</v>
      </c>
      <c r="B36" s="304"/>
      <c r="C36" s="304"/>
      <c r="D36" s="304"/>
      <c r="E36" s="304"/>
      <c r="F36" s="304"/>
      <c r="G36" s="304"/>
      <c r="H36" s="304"/>
      <c r="I36" s="304"/>
      <c r="J36" s="304"/>
      <c r="L36" s="1"/>
      <c r="M36" s="1"/>
      <c r="N36" s="1"/>
    </row>
    <row r="37" spans="1:14" s="138" customFormat="1" ht="45" x14ac:dyDescent="0.25">
      <c r="A37" s="143">
        <v>3</v>
      </c>
      <c r="B37" s="180" t="s">
        <v>31</v>
      </c>
      <c r="C37" s="181" t="s">
        <v>182</v>
      </c>
      <c r="D37" s="182">
        <v>43958</v>
      </c>
      <c r="E37" s="248">
        <v>2920</v>
      </c>
      <c r="F37" s="228"/>
      <c r="G37" s="228"/>
      <c r="H37" s="228"/>
      <c r="I37" s="228"/>
      <c r="J37" s="228"/>
      <c r="L37" s="230"/>
      <c r="M37" s="230"/>
      <c r="N37" s="230"/>
    </row>
    <row r="38" spans="1:14" s="138" customFormat="1" ht="45" outlineLevel="1" x14ac:dyDescent="0.25">
      <c r="A38" s="234">
        <v>4</v>
      </c>
      <c r="B38" s="180" t="s">
        <v>32</v>
      </c>
      <c r="C38" s="181" t="s">
        <v>183</v>
      </c>
      <c r="D38" s="182">
        <v>43958</v>
      </c>
      <c r="E38" s="248">
        <v>534</v>
      </c>
      <c r="F38" s="231"/>
      <c r="G38" s="231"/>
      <c r="H38" s="231"/>
      <c r="I38" s="231"/>
      <c r="J38" s="231"/>
      <c r="L38" s="230"/>
      <c r="M38" s="230"/>
      <c r="N38" s="230"/>
    </row>
    <row r="39" spans="1:14" s="138" customFormat="1" x14ac:dyDescent="0.25">
      <c r="A39" s="153" t="s">
        <v>17</v>
      </c>
      <c r="B39" s="154"/>
      <c r="C39" s="154" t="str">
        <f>"за "&amp;LOWER($A$36)</f>
        <v>за май</v>
      </c>
      <c r="D39" s="155">
        <f>COUNTA(май_пр)</f>
        <v>2</v>
      </c>
      <c r="E39" s="156">
        <f>SUM(май_кол)</f>
        <v>3454</v>
      </c>
      <c r="F39" s="157">
        <f>COUNTA(акт_вх_май)+COUNTA(акт_отб_май)</f>
        <v>0</v>
      </c>
      <c r="G39" s="167"/>
      <c r="H39" s="167"/>
      <c r="I39" s="167"/>
      <c r="J39" s="159">
        <f>SUM(кол_отб_май)</f>
        <v>0</v>
      </c>
    </row>
    <row r="40" spans="1:14" x14ac:dyDescent="0.25">
      <c r="A40" s="304" t="s">
        <v>10</v>
      </c>
      <c r="B40" s="304"/>
      <c r="C40" s="304"/>
      <c r="D40" s="304"/>
      <c r="E40" s="304"/>
      <c r="F40" s="304"/>
      <c r="G40" s="304"/>
      <c r="H40" s="304"/>
      <c r="I40" s="304"/>
      <c r="J40" s="304"/>
    </row>
    <row r="41" spans="1:14" s="138" customFormat="1" ht="45" x14ac:dyDescent="0.25">
      <c r="A41" s="143">
        <v>5</v>
      </c>
      <c r="B41" s="162" t="s">
        <v>31</v>
      </c>
      <c r="C41" s="166" t="s">
        <v>222</v>
      </c>
      <c r="D41" s="233">
        <v>44006</v>
      </c>
      <c r="E41" s="249">
        <v>2799</v>
      </c>
      <c r="F41" s="232"/>
      <c r="G41" s="232"/>
      <c r="H41" s="232"/>
      <c r="I41" s="232"/>
      <c r="J41" s="232"/>
    </row>
    <row r="42" spans="1:14" hidden="1" outlineLevel="1" x14ac:dyDescent="0.25">
      <c r="A42" s="232"/>
      <c r="B42" s="232"/>
      <c r="C42" s="232"/>
      <c r="D42" s="237"/>
      <c r="E42" s="232"/>
      <c r="F42" s="232"/>
      <c r="G42" s="232"/>
      <c r="H42" s="232"/>
      <c r="I42" s="232"/>
      <c r="J42" s="232"/>
    </row>
    <row r="43" spans="1:14" hidden="1" outlineLevel="1" x14ac:dyDescent="0.25">
      <c r="A43" s="232"/>
      <c r="B43" s="232"/>
      <c r="C43" s="232"/>
      <c r="D43" s="237"/>
      <c r="E43" s="232"/>
      <c r="F43" s="232"/>
      <c r="G43" s="232"/>
      <c r="H43" s="232"/>
      <c r="I43" s="232"/>
      <c r="J43" s="232"/>
    </row>
    <row r="44" spans="1:14" hidden="1" outlineLevel="1" x14ac:dyDescent="0.25">
      <c r="A44" s="232"/>
      <c r="B44" s="232"/>
      <c r="C44" s="232"/>
      <c r="D44" s="237"/>
      <c r="E44" s="232"/>
      <c r="F44" s="232"/>
      <c r="G44" s="232"/>
      <c r="H44" s="232"/>
      <c r="I44" s="232"/>
      <c r="J44" s="232"/>
    </row>
    <row r="45" spans="1:14" hidden="1" outlineLevel="1" x14ac:dyDescent="0.25">
      <c r="A45" s="232"/>
      <c r="B45" s="232"/>
      <c r="C45" s="232"/>
      <c r="D45" s="237"/>
      <c r="E45" s="232"/>
      <c r="F45" s="232"/>
      <c r="G45" s="232"/>
      <c r="H45" s="232"/>
      <c r="I45" s="232"/>
      <c r="J45" s="232"/>
    </row>
    <row r="46" spans="1:14" s="138" customFormat="1" collapsed="1" x14ac:dyDescent="0.25">
      <c r="A46" s="153" t="s">
        <v>17</v>
      </c>
      <c r="B46" s="154"/>
      <c r="C46" s="154" t="str">
        <f>"за "&amp;LOWER($A$40)</f>
        <v>за июнь</v>
      </c>
      <c r="D46" s="155">
        <f>COUNTA(июн_пр)</f>
        <v>1</v>
      </c>
      <c r="E46" s="156">
        <f>SUM(июн_кол)</f>
        <v>2799</v>
      </c>
      <c r="F46" s="157">
        <f>COUNTA(акт_вх_июн)+COUNTA(акт_отб_июн)</f>
        <v>0</v>
      </c>
      <c r="G46" s="167"/>
      <c r="H46" s="167"/>
      <c r="I46" s="167"/>
      <c r="J46" s="159">
        <f>SUM(кол_отб_июн)</f>
        <v>0</v>
      </c>
    </row>
    <row r="47" spans="1:14" ht="31.5" customHeight="1" x14ac:dyDescent="0.25">
      <c r="A47" s="168" t="s">
        <v>17</v>
      </c>
      <c r="B47" s="169"/>
      <c r="C47" s="169" t="s">
        <v>109</v>
      </c>
      <c r="D47" s="170">
        <f>SUM(D35,D39,D46)</f>
        <v>3</v>
      </c>
      <c r="E47" s="171">
        <f>SUM(E35,E39,E46)</f>
        <v>6253</v>
      </c>
      <c r="F47" s="172">
        <f>SUM(F35,F39,F46)</f>
        <v>0</v>
      </c>
      <c r="G47" s="169"/>
      <c r="H47" s="169" t="str">
        <f>"Кп= "&amp;ROUNDDOWN((F47/D47)*100,1)&amp;"%"</f>
        <v>Кп= 0%</v>
      </c>
      <c r="I47" s="169" t="str">
        <f>"Км= "&amp;ROUNDDOWN((J47/E47)*100,2)&amp;"%"</f>
        <v>Км= 0%</v>
      </c>
      <c r="J47" s="173">
        <f>SUM(J35,J39,J46)</f>
        <v>0</v>
      </c>
    </row>
    <row r="48" spans="1:14" ht="31.5" customHeight="1" x14ac:dyDescent="0.25">
      <c r="A48" s="168" t="s">
        <v>17</v>
      </c>
      <c r="B48" s="169"/>
      <c r="C48" s="169" t="s">
        <v>110</v>
      </c>
      <c r="D48" s="170">
        <f>SUM(D27,D47)</f>
        <v>5</v>
      </c>
      <c r="E48" s="171">
        <f>SUM(E47,E27)</f>
        <v>9956.4</v>
      </c>
      <c r="F48" s="172">
        <f>SUM(F47,F27)</f>
        <v>0</v>
      </c>
      <c r="G48" s="169"/>
      <c r="H48" s="169" t="str">
        <f>"Кп= "&amp;ROUNDDOWN((F48/D48)*100,1)&amp;"%"</f>
        <v>Кп= 0%</v>
      </c>
      <c r="I48" s="169" t="str">
        <f>"Км= "&amp;ROUNDDOWN((J48/E48)*100,2)&amp;"%"</f>
        <v>Км= 0%</v>
      </c>
      <c r="J48" s="173">
        <f>SUM(J47,J27)</f>
        <v>0</v>
      </c>
    </row>
    <row r="49" spans="1:10" ht="26.25" customHeight="1" outlineLevel="1" x14ac:dyDescent="0.25">
      <c r="A49" s="238" t="s">
        <v>20</v>
      </c>
      <c r="B49" s="238"/>
      <c r="C49" s="238"/>
      <c r="D49" s="239"/>
      <c r="E49" s="238"/>
      <c r="F49" s="238"/>
      <c r="G49" s="238" t="s">
        <v>21</v>
      </c>
      <c r="H49" s="238"/>
      <c r="I49" s="238"/>
      <c r="J49" s="238"/>
    </row>
    <row r="50" spans="1:10" x14ac:dyDescent="0.25">
      <c r="A50" s="304" t="s">
        <v>11</v>
      </c>
      <c r="B50" s="304"/>
      <c r="C50" s="304"/>
      <c r="D50" s="304"/>
      <c r="E50" s="304"/>
      <c r="F50" s="304"/>
      <c r="G50" s="304"/>
      <c r="H50" s="304"/>
      <c r="I50" s="304"/>
      <c r="J50" s="304"/>
    </row>
    <row r="51" spans="1:10" x14ac:dyDescent="0.25">
      <c r="A51" s="31"/>
      <c r="B51" s="31"/>
      <c r="C51" s="31"/>
      <c r="D51" s="32"/>
      <c r="E51" s="31"/>
      <c r="F51" s="31"/>
      <c r="G51" s="31"/>
      <c r="H51" s="31"/>
      <c r="I51" s="31"/>
      <c r="J51" s="31"/>
    </row>
    <row r="52" spans="1:10" hidden="1" outlineLevel="1" x14ac:dyDescent="0.25">
      <c r="A52" s="31"/>
      <c r="B52" s="31"/>
      <c r="C52" s="31"/>
      <c r="D52" s="32"/>
      <c r="E52" s="31"/>
      <c r="F52" s="31"/>
      <c r="G52" s="31"/>
      <c r="H52" s="31"/>
      <c r="I52" s="31"/>
      <c r="J52" s="31"/>
    </row>
    <row r="53" spans="1:10" hidden="1" outlineLevel="1" x14ac:dyDescent="0.25">
      <c r="A53" s="31"/>
      <c r="B53" s="31"/>
      <c r="C53" s="31"/>
      <c r="D53" s="32"/>
      <c r="E53" s="31"/>
      <c r="F53" s="31"/>
      <c r="G53" s="31"/>
      <c r="H53" s="31"/>
      <c r="I53" s="31"/>
      <c r="J53" s="31"/>
    </row>
    <row r="54" spans="1:10" hidden="1" outlineLevel="1" x14ac:dyDescent="0.25">
      <c r="A54" s="31"/>
      <c r="B54" s="31"/>
      <c r="C54" s="31"/>
      <c r="D54" s="32"/>
      <c r="E54" s="31"/>
      <c r="F54" s="31"/>
      <c r="G54" s="31"/>
      <c r="H54" s="31"/>
      <c r="I54" s="31"/>
      <c r="J54" s="31"/>
    </row>
    <row r="55" spans="1:10" hidden="1" outlineLevel="1" x14ac:dyDescent="0.25">
      <c r="A55" s="31"/>
      <c r="B55" s="31"/>
      <c r="C55" s="31"/>
      <c r="D55" s="32"/>
      <c r="E55" s="31"/>
      <c r="F55" s="31"/>
      <c r="G55" s="31"/>
      <c r="H55" s="31"/>
      <c r="I55" s="31"/>
      <c r="J55" s="31"/>
    </row>
    <row r="56" spans="1:10" collapsed="1" x14ac:dyDescent="0.25">
      <c r="A56" s="6" t="s">
        <v>17</v>
      </c>
      <c r="B56" s="7"/>
      <c r="C56" s="7" t="str">
        <f>"за "&amp;LOWER($A$50)</f>
        <v>за июль</v>
      </c>
      <c r="D56" s="29">
        <f>COUNTA(июл_пр)</f>
        <v>0</v>
      </c>
      <c r="E56" s="24">
        <f>SUM(июл_кол)</f>
        <v>0</v>
      </c>
      <c r="F56" s="25">
        <f>COUNTA(акт_вх_июл)+COUNTA(акт_отб_июл)</f>
        <v>0</v>
      </c>
      <c r="G56" s="44"/>
      <c r="H56" s="44"/>
      <c r="I56" s="44"/>
      <c r="J56" s="26">
        <f>SUM(кол_отб_июл)</f>
        <v>0</v>
      </c>
    </row>
    <row r="57" spans="1:10" x14ac:dyDescent="0.25">
      <c r="A57" s="304" t="s">
        <v>13</v>
      </c>
      <c r="B57" s="304"/>
      <c r="C57" s="304"/>
      <c r="D57" s="304"/>
      <c r="E57" s="304"/>
      <c r="F57" s="304"/>
      <c r="G57" s="304"/>
      <c r="H57" s="304"/>
      <c r="I57" s="304"/>
      <c r="J57" s="304"/>
    </row>
    <row r="58" spans="1:10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hidden="1" outlineLevel="1" x14ac:dyDescent="0.25">
      <c r="A61" s="31"/>
      <c r="B61" s="31"/>
      <c r="C61" s="31"/>
      <c r="D61" s="32"/>
      <c r="E61" s="31"/>
      <c r="F61" s="31"/>
      <c r="G61" s="31"/>
      <c r="H61" s="31"/>
      <c r="I61" s="31"/>
      <c r="J61" s="31"/>
    </row>
    <row r="62" spans="1:10" hidden="1" outlineLevel="1" x14ac:dyDescent="0.25">
      <c r="A62" s="31"/>
      <c r="B62" s="31"/>
      <c r="C62" s="31"/>
      <c r="D62" s="32"/>
      <c r="E62" s="31"/>
      <c r="F62" s="31"/>
      <c r="G62" s="31"/>
      <c r="H62" s="31"/>
      <c r="I62" s="31"/>
      <c r="J62" s="31"/>
    </row>
    <row r="63" spans="1:10" collapsed="1" x14ac:dyDescent="0.25">
      <c r="A63" s="6" t="s">
        <v>17</v>
      </c>
      <c r="B63" s="7"/>
      <c r="C63" s="7" t="str">
        <f>"за "&amp;LOWER($A$57)</f>
        <v>за август</v>
      </c>
      <c r="D63" s="29">
        <f>COUNTA(авг_пр)</f>
        <v>0</v>
      </c>
      <c r="E63" s="24">
        <f>SUM(авг_кол)</f>
        <v>0</v>
      </c>
      <c r="F63" s="25">
        <f>COUNTA(акт_вх_авг)+COUNTA(акт_отб_авг)</f>
        <v>0</v>
      </c>
      <c r="G63" s="44"/>
      <c r="H63" s="44"/>
      <c r="I63" s="44"/>
      <c r="J63" s="26">
        <f>SUM(кол_отб_авг)</f>
        <v>0</v>
      </c>
    </row>
    <row r="64" spans="1:10" x14ac:dyDescent="0.25">
      <c r="A64" s="304" t="s">
        <v>12</v>
      </c>
      <c r="B64" s="304"/>
      <c r="C64" s="304"/>
      <c r="D64" s="304"/>
      <c r="E64" s="304"/>
      <c r="F64" s="304"/>
      <c r="G64" s="304"/>
      <c r="H64" s="304"/>
      <c r="I64" s="304"/>
      <c r="J64" s="304"/>
    </row>
    <row r="65" spans="1:10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hidden="1" outlineLevel="1" x14ac:dyDescent="0.25">
      <c r="A68" s="31"/>
      <c r="B68" s="31"/>
      <c r="C68" s="31"/>
      <c r="D68" s="32"/>
      <c r="E68" s="31"/>
      <c r="F68" s="31"/>
      <c r="G68" s="31"/>
      <c r="H68" s="31"/>
      <c r="I68" s="31"/>
      <c r="J68" s="31"/>
    </row>
    <row r="69" spans="1:10" hidden="1" outlineLevel="1" x14ac:dyDescent="0.25">
      <c r="A69" s="31"/>
      <c r="B69" s="31"/>
      <c r="C69" s="31"/>
      <c r="D69" s="32"/>
      <c r="E69" s="31"/>
      <c r="F69" s="31"/>
      <c r="G69" s="31"/>
      <c r="H69" s="31"/>
      <c r="I69" s="31"/>
      <c r="J69" s="31"/>
    </row>
    <row r="70" spans="1:10" collapsed="1" x14ac:dyDescent="0.25">
      <c r="A70" s="6" t="s">
        <v>17</v>
      </c>
      <c r="B70" s="7"/>
      <c r="C70" s="7" t="str">
        <f>"за "&amp;LOWER($A$64)</f>
        <v>за сентябрь</v>
      </c>
      <c r="D70" s="29">
        <f>COUNTA(снт_пр)</f>
        <v>0</v>
      </c>
      <c r="E70" s="24">
        <f>SUM(снт_кол)</f>
        <v>0</v>
      </c>
      <c r="F70" s="25">
        <f>COUNTA(акт_вх_снт)+COUNTA(акт_отб_снт)</f>
        <v>0</v>
      </c>
      <c r="G70" s="44"/>
      <c r="H70" s="44"/>
      <c r="I70" s="44"/>
      <c r="J70" s="26">
        <f>SUM(кол_отб_снт)</f>
        <v>0</v>
      </c>
    </row>
    <row r="71" spans="1:10" ht="30" customHeight="1" x14ac:dyDescent="0.25">
      <c r="A71" s="38" t="s">
        <v>17</v>
      </c>
      <c r="B71" s="39"/>
      <c r="C71" s="39" t="s">
        <v>111</v>
      </c>
      <c r="D71" s="40">
        <f>SUM(D56,D63,D70)</f>
        <v>0</v>
      </c>
      <c r="E71" s="41">
        <f>SUM(E56,E63,E70)</f>
        <v>0</v>
      </c>
      <c r="F71" s="42">
        <f>SUM(F56,F63,F70)</f>
        <v>0</v>
      </c>
      <c r="G71" s="39"/>
      <c r="H71" s="39" t="e">
        <f>"Кп= "&amp;ROUNDDOWN((F71/D71)*100,1)&amp;"%"</f>
        <v>#DIV/0!</v>
      </c>
      <c r="I71" s="39" t="e">
        <f>"Км= "&amp;ROUNDDOWN((J71/E71)*100,2)&amp;"%"</f>
        <v>#DIV/0!</v>
      </c>
      <c r="J71" s="43">
        <f>SUM(J56,J63,J70)</f>
        <v>0</v>
      </c>
    </row>
    <row r="72" spans="1:10" ht="30" customHeight="1" x14ac:dyDescent="0.25">
      <c r="A72" s="38" t="s">
        <v>17</v>
      </c>
      <c r="B72" s="39"/>
      <c r="C72" s="39" t="s">
        <v>113</v>
      </c>
      <c r="D72" s="40">
        <f>SUM(D48,D71)</f>
        <v>5</v>
      </c>
      <c r="E72" s="41">
        <f>SUM(E71,E48)</f>
        <v>9956.4</v>
      </c>
      <c r="F72" s="42">
        <f>SUM(F71,F48)</f>
        <v>0</v>
      </c>
      <c r="G72" s="39"/>
      <c r="H72" s="39" t="str">
        <f>"Кп= "&amp;ROUNDDOWN((F72/D72)*100,1)&amp;"%"</f>
        <v>Кп= 0%</v>
      </c>
      <c r="I72" s="39" t="str">
        <f>"Км= "&amp;ROUNDDOWN((J72/E72)*100,2)&amp;"%"</f>
        <v>Км= 0%</v>
      </c>
      <c r="J72" s="43">
        <f>SUM(J71,J48)</f>
        <v>0</v>
      </c>
    </row>
    <row r="73" spans="1:10" ht="29.25" hidden="1" customHeight="1" outlineLevel="1" x14ac:dyDescent="0.25">
      <c r="A73" s="8" t="s">
        <v>19</v>
      </c>
      <c r="B73" s="8"/>
      <c r="C73" s="8"/>
      <c r="D73" s="9"/>
      <c r="E73" s="8"/>
      <c r="F73" s="8"/>
      <c r="G73" s="8" t="s">
        <v>22</v>
      </c>
      <c r="H73" s="8"/>
      <c r="I73" s="8"/>
      <c r="J73" s="8"/>
    </row>
    <row r="74" spans="1:10" ht="24.75" hidden="1" customHeight="1" outlineLevel="1" x14ac:dyDescent="0.25">
      <c r="A74" s="8" t="s">
        <v>20</v>
      </c>
      <c r="B74" s="8"/>
      <c r="C74" s="8"/>
      <c r="D74" s="9"/>
      <c r="E74" s="8"/>
      <c r="F74" s="8"/>
      <c r="G74" s="8" t="s">
        <v>21</v>
      </c>
      <c r="H74" s="8"/>
      <c r="I74" s="8"/>
      <c r="J74" s="8"/>
    </row>
    <row r="75" spans="1:10" ht="15" customHeight="1" collapsed="1" x14ac:dyDescent="0.25">
      <c r="A75" s="304" t="s">
        <v>14</v>
      </c>
      <c r="B75" s="304"/>
      <c r="C75" s="304"/>
      <c r="D75" s="304"/>
      <c r="E75" s="304"/>
      <c r="F75" s="304"/>
      <c r="G75" s="304"/>
      <c r="H75" s="304"/>
      <c r="I75" s="304"/>
      <c r="J75" s="304"/>
    </row>
    <row r="76" spans="1:10" x14ac:dyDescent="0.25">
      <c r="A76" s="31"/>
      <c r="B76" s="31"/>
      <c r="C76" s="31"/>
      <c r="D76" s="32"/>
      <c r="E76" s="31"/>
      <c r="F76" s="31"/>
      <c r="G76" s="31"/>
      <c r="H76" s="31"/>
      <c r="I76" s="31"/>
      <c r="J76" s="31"/>
    </row>
    <row r="77" spans="1:10" hidden="1" outlineLevel="1" x14ac:dyDescent="0.25">
      <c r="A77" s="31"/>
      <c r="B77" s="31"/>
      <c r="C77" s="31"/>
      <c r="D77" s="32"/>
      <c r="E77" s="31"/>
      <c r="F77" s="31"/>
      <c r="G77" s="31"/>
      <c r="H77" s="31"/>
      <c r="I77" s="31"/>
      <c r="J77" s="31"/>
    </row>
    <row r="78" spans="1:10" hidden="1" outlineLevel="1" x14ac:dyDescent="0.25">
      <c r="A78" s="31"/>
      <c r="B78" s="31"/>
      <c r="C78" s="31"/>
      <c r="D78" s="32"/>
      <c r="E78" s="31"/>
      <c r="F78" s="31"/>
      <c r="G78" s="31"/>
      <c r="H78" s="31"/>
      <c r="I78" s="31"/>
      <c r="J78" s="31"/>
    </row>
    <row r="79" spans="1:10" hidden="1" outlineLevel="1" x14ac:dyDescent="0.25">
      <c r="A79" s="31"/>
      <c r="B79" s="31"/>
      <c r="C79" s="31"/>
      <c r="D79" s="32"/>
      <c r="E79" s="31"/>
      <c r="F79" s="31"/>
      <c r="G79" s="31"/>
      <c r="H79" s="31"/>
      <c r="I79" s="31"/>
      <c r="J79" s="31"/>
    </row>
    <row r="80" spans="1:10" hidden="1" outlineLevel="1" x14ac:dyDescent="0.25">
      <c r="A80" s="31"/>
      <c r="B80" s="31"/>
      <c r="C80" s="31"/>
      <c r="D80" s="32"/>
      <c r="E80" s="31"/>
      <c r="F80" s="31"/>
      <c r="G80" s="31"/>
      <c r="H80" s="31"/>
      <c r="I80" s="31"/>
      <c r="J80" s="31"/>
    </row>
    <row r="81" spans="1:10" collapsed="1" x14ac:dyDescent="0.25">
      <c r="A81" s="6" t="s">
        <v>17</v>
      </c>
      <c r="B81" s="7"/>
      <c r="C81" s="7" t="str">
        <f>"за "&amp;LOWER($A$75)</f>
        <v>за октябрь</v>
      </c>
      <c r="D81" s="29">
        <f>COUNTA(окт_пр)</f>
        <v>0</v>
      </c>
      <c r="E81" s="24">
        <f>SUM(окт_кол)</f>
        <v>0</v>
      </c>
      <c r="F81" s="25">
        <f>COUNTA(акт_вх_окт)+COUNTA(акт_отб_окт)</f>
        <v>0</v>
      </c>
      <c r="G81" s="44"/>
      <c r="H81" s="44"/>
      <c r="I81" s="44"/>
      <c r="J81" s="26">
        <f>SUM(кол_отб_окт)</f>
        <v>0</v>
      </c>
    </row>
    <row r="82" spans="1:10" x14ac:dyDescent="0.25">
      <c r="A82" s="304" t="s">
        <v>15</v>
      </c>
      <c r="B82" s="304"/>
      <c r="C82" s="304"/>
      <c r="D82" s="304"/>
      <c r="E82" s="304"/>
      <c r="F82" s="304"/>
      <c r="G82" s="304"/>
      <c r="H82" s="304"/>
      <c r="I82" s="304"/>
      <c r="J82" s="304"/>
    </row>
    <row r="83" spans="1:10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hidden="1" outlineLevel="1" x14ac:dyDescent="0.25">
      <c r="A86" s="31"/>
      <c r="B86" s="31"/>
      <c r="C86" s="31"/>
      <c r="D86" s="32"/>
      <c r="E86" s="31"/>
      <c r="F86" s="31"/>
      <c r="G86" s="31"/>
      <c r="H86" s="31"/>
      <c r="I86" s="31"/>
      <c r="J86" s="31"/>
    </row>
    <row r="87" spans="1:10" hidden="1" outlineLevel="1" x14ac:dyDescent="0.25">
      <c r="A87" s="31"/>
      <c r="B87" s="31"/>
      <c r="C87" s="31"/>
      <c r="D87" s="32"/>
      <c r="E87" s="31"/>
      <c r="F87" s="31"/>
      <c r="G87" s="31"/>
      <c r="H87" s="31"/>
      <c r="I87" s="31"/>
      <c r="J87" s="31"/>
    </row>
    <row r="88" spans="1:10" collapsed="1" x14ac:dyDescent="0.25">
      <c r="A88" s="6" t="s">
        <v>17</v>
      </c>
      <c r="B88" s="7"/>
      <c r="C88" s="7" t="str">
        <f>"за "&amp;LOWER($A$82)</f>
        <v>за ноябрь</v>
      </c>
      <c r="D88" s="29">
        <f>COUNTA(нбр_пр)</f>
        <v>0</v>
      </c>
      <c r="E88" s="24">
        <f>SUM(нбр_кол)</f>
        <v>0</v>
      </c>
      <c r="F88" s="25">
        <f>COUNTA(акт_вх_нбр)+COUNTA(акт_отб_нбр)</f>
        <v>0</v>
      </c>
      <c r="G88" s="44"/>
      <c r="H88" s="44"/>
      <c r="I88" s="44"/>
      <c r="J88" s="26">
        <f>SUM(кол_отб_нбр)</f>
        <v>0</v>
      </c>
    </row>
    <row r="89" spans="1:10" x14ac:dyDescent="0.25">
      <c r="A89" s="304" t="s">
        <v>16</v>
      </c>
      <c r="B89" s="304"/>
      <c r="C89" s="304"/>
      <c r="D89" s="304"/>
      <c r="E89" s="304"/>
      <c r="F89" s="304"/>
      <c r="G89" s="304"/>
      <c r="H89" s="304"/>
      <c r="I89" s="304"/>
      <c r="J89" s="304"/>
    </row>
    <row r="90" spans="1:10" x14ac:dyDescent="0.25">
      <c r="A90" s="31"/>
      <c r="B90" s="31"/>
      <c r="C90" s="31"/>
      <c r="D90" s="31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1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1"/>
      <c r="E92" s="31"/>
      <c r="F92" s="31"/>
      <c r="G92" s="31"/>
      <c r="H92" s="31"/>
      <c r="I92" s="31"/>
      <c r="J92" s="31"/>
    </row>
    <row r="93" spans="1:10" hidden="1" outlineLevel="1" x14ac:dyDescent="0.25">
      <c r="A93" s="31"/>
      <c r="B93" s="31"/>
      <c r="C93" s="31"/>
      <c r="D93" s="31"/>
      <c r="E93" s="31"/>
      <c r="F93" s="31"/>
      <c r="G93" s="31"/>
      <c r="H93" s="31"/>
      <c r="I93" s="31"/>
      <c r="J93" s="31"/>
    </row>
    <row r="94" spans="1:10" hidden="1" outlineLevel="1" x14ac:dyDescent="0.25">
      <c r="A94" s="31"/>
      <c r="B94" s="31"/>
      <c r="C94" s="31"/>
      <c r="D94" s="31"/>
      <c r="E94" s="31"/>
      <c r="F94" s="31"/>
      <c r="G94" s="31"/>
      <c r="H94" s="31"/>
      <c r="I94" s="31"/>
      <c r="J94" s="31"/>
    </row>
    <row r="95" spans="1:10" collapsed="1" x14ac:dyDescent="0.25">
      <c r="A95" s="6" t="s">
        <v>17</v>
      </c>
      <c r="B95" s="7"/>
      <c r="C95" s="7" t="str">
        <f>"за "&amp;LOWER($A$89)</f>
        <v>за декабрь</v>
      </c>
      <c r="D95" s="29">
        <f>COUNTA(дкб_пр)</f>
        <v>0</v>
      </c>
      <c r="E95" s="24">
        <f>SUM(дкб_кол)</f>
        <v>0</v>
      </c>
      <c r="F95" s="25">
        <f>COUNTA(акт_вх_дкб)+COUNTA(акт_отб_дкб)</f>
        <v>0</v>
      </c>
      <c r="G95" s="44"/>
      <c r="H95" s="44"/>
      <c r="I95" s="44"/>
      <c r="J95" s="26">
        <f>SUM(кол_отб_дкб)</f>
        <v>0</v>
      </c>
    </row>
    <row r="96" spans="1:10" ht="32.25" customHeight="1" x14ac:dyDescent="0.25">
      <c r="A96" s="38" t="s">
        <v>17</v>
      </c>
      <c r="B96" s="39"/>
      <c r="C96" s="39" t="s">
        <v>112</v>
      </c>
      <c r="D96" s="40">
        <f>SUM(D81,D88,D95)</f>
        <v>0</v>
      </c>
      <c r="E96" s="41">
        <f>SUM(E81,E88,E95)</f>
        <v>0</v>
      </c>
      <c r="F96" s="42">
        <f>SUM(F81,F88,F95)</f>
        <v>0</v>
      </c>
      <c r="G96" s="39"/>
      <c r="H96" s="39" t="e">
        <f>"Кп= "&amp;ROUNDDOWN((F96/D96)*100,1)&amp;"%"</f>
        <v>#DIV/0!</v>
      </c>
      <c r="I96" s="39" t="e">
        <f>"Км= "&amp;ROUNDDOWN((J96/E96)*100,2)&amp;"%"</f>
        <v>#DIV/0!</v>
      </c>
      <c r="J96" s="43">
        <f>SUM(J81,J88,J95)</f>
        <v>0</v>
      </c>
    </row>
    <row r="97" spans="1:10" ht="27" customHeight="1" x14ac:dyDescent="0.25">
      <c r="A97" s="38" t="s">
        <v>17</v>
      </c>
      <c r="B97" s="39"/>
      <c r="C97" s="39" t="s">
        <v>114</v>
      </c>
      <c r="D97" s="40">
        <f>SUM(D96,D72)</f>
        <v>5</v>
      </c>
      <c r="E97" s="41">
        <f>SUM(E96,E72)</f>
        <v>9956.4</v>
      </c>
      <c r="F97" s="42">
        <f>SUM(F96,F72)</f>
        <v>0</v>
      </c>
      <c r="G97" s="39"/>
      <c r="H97" s="39" t="str">
        <f>"Кп= "&amp;ROUNDDOWN((F97/D97)*100,1)&amp;"%"</f>
        <v>Кп= 0%</v>
      </c>
      <c r="I97" s="39" t="str">
        <f>"Км= "&amp;ROUNDDOWN((J97/E97)*100,2)&amp;"%"</f>
        <v>Км= 0%</v>
      </c>
      <c r="J97" s="43">
        <f>SUM(J96,J72)</f>
        <v>0</v>
      </c>
    </row>
    <row r="98" spans="1:10" ht="26.25" customHeight="1" x14ac:dyDescent="0.25">
      <c r="A98" s="8" t="s">
        <v>20</v>
      </c>
      <c r="B98" s="8"/>
      <c r="C98" s="8"/>
      <c r="D98" s="9"/>
      <c r="E98" s="8"/>
      <c r="F98" s="8"/>
      <c r="G98" s="8" t="s">
        <v>21</v>
      </c>
      <c r="H98" s="8"/>
      <c r="I98" s="8"/>
      <c r="J98" s="8"/>
    </row>
  </sheetData>
  <sheetProtection algorithmName="SHA-512" hashValue="e67N3jAtOHsiIHLU5A6LWLU5jfGAflcheyCypGQE1m2cpzNcgAaiNNPOEuI8R9ACF4WjoBBE9PvchPxJHbhW1g==" saltValue="owVQp3pcJo8dS1GAWcBsQg==" spinCount="100000" sheet="1" formatCells="0" formatColumns="0" formatRows="0" insertColumns="0" insertRows="0" insertHyperlinks="0" deleteColumns="0" deleteRows="0" sort="0" autoFilter="0" pivotTables="0"/>
  <mergeCells count="21">
    <mergeCell ref="A89:J89"/>
    <mergeCell ref="A6:J6"/>
    <mergeCell ref="A13:J13"/>
    <mergeCell ref="A20:J20"/>
    <mergeCell ref="A29:J29"/>
    <mergeCell ref="A36:J36"/>
    <mergeCell ref="A40:J40"/>
    <mergeCell ref="A50:J50"/>
    <mergeCell ref="A57:J57"/>
    <mergeCell ref="A64:J64"/>
    <mergeCell ref="A75:J75"/>
    <mergeCell ref="A82:J82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51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N103"/>
  <sheetViews>
    <sheetView zoomScaleNormal="100" workbookViewId="0">
      <pane ySplit="4" topLeftCell="A13" activePane="bottomLeft" state="frozen"/>
      <selection activeCell="A2" sqref="A2:J2"/>
      <selection pane="bottomLeft" activeCell="E14" sqref="E14:E1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3"/>
      <c r="B1" s="33"/>
      <c r="C1" s="33"/>
      <c r="D1" s="33"/>
      <c r="E1" s="33"/>
      <c r="F1" s="33"/>
      <c r="G1" s="33"/>
      <c r="H1" s="33"/>
      <c r="I1" s="33"/>
      <c r="J1" s="45" t="s">
        <v>94</v>
      </c>
    </row>
    <row r="2" spans="1:14" ht="33.75" customHeight="1" x14ac:dyDescent="0.4">
      <c r="A2" s="327" t="s">
        <v>95</v>
      </c>
      <c r="B2" s="327"/>
      <c r="C2" s="327"/>
      <c r="D2" s="327"/>
      <c r="E2" s="327"/>
      <c r="F2" s="327"/>
      <c r="G2" s="327"/>
      <c r="H2" s="327"/>
      <c r="I2" s="327"/>
      <c r="J2" s="327"/>
    </row>
    <row r="3" spans="1:14" x14ac:dyDescent="0.25">
      <c r="A3" s="329" t="s">
        <v>0</v>
      </c>
      <c r="B3" s="332" t="s">
        <v>97</v>
      </c>
      <c r="C3" s="329" t="s">
        <v>1</v>
      </c>
      <c r="D3" s="328" t="s">
        <v>23</v>
      </c>
      <c r="E3" s="329" t="s">
        <v>96</v>
      </c>
      <c r="F3" s="329" t="s">
        <v>3</v>
      </c>
      <c r="G3" s="329"/>
      <c r="H3" s="330" t="s">
        <v>2</v>
      </c>
      <c r="I3" s="331"/>
      <c r="J3" s="328" t="s">
        <v>93</v>
      </c>
    </row>
    <row r="4" spans="1:14" ht="32.25" customHeight="1" x14ac:dyDescent="0.25">
      <c r="A4" s="329"/>
      <c r="B4" s="333"/>
      <c r="C4" s="329"/>
      <c r="D4" s="329"/>
      <c r="E4" s="329"/>
      <c r="F4" s="10" t="s">
        <v>0</v>
      </c>
      <c r="G4" s="10" t="s">
        <v>4</v>
      </c>
      <c r="H4" s="10" t="s">
        <v>0</v>
      </c>
      <c r="I4" s="10" t="s">
        <v>4</v>
      </c>
      <c r="J4" s="329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304" t="s">
        <v>5</v>
      </c>
      <c r="B6" s="304"/>
      <c r="C6" s="304"/>
      <c r="D6" s="304"/>
      <c r="E6" s="304"/>
      <c r="F6" s="304"/>
      <c r="G6" s="304"/>
      <c r="H6" s="304"/>
      <c r="I6" s="304"/>
      <c r="J6" s="304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9">
        <f>COUNTA(янв_пр)</f>
        <v>0</v>
      </c>
      <c r="E12" s="24">
        <f>SUM(янв_кол)</f>
        <v>0</v>
      </c>
      <c r="F12" s="25">
        <f>COUNTA(акт_вх_янв)+COUNTA(акт_отб_янв)</f>
        <v>0</v>
      </c>
      <c r="G12" s="11"/>
      <c r="H12" s="11"/>
      <c r="I12" s="11"/>
      <c r="J12" s="26">
        <f>SUM(кол_отб_янв)</f>
        <v>0</v>
      </c>
    </row>
    <row r="13" spans="1:14" x14ac:dyDescent="0.25">
      <c r="A13" s="326" t="s">
        <v>6</v>
      </c>
      <c r="B13" s="326"/>
      <c r="C13" s="326"/>
      <c r="D13" s="326"/>
      <c r="E13" s="326"/>
      <c r="F13" s="326"/>
      <c r="G13" s="326"/>
      <c r="H13" s="326"/>
      <c r="I13" s="326"/>
      <c r="J13" s="326"/>
      <c r="L13" s="1"/>
      <c r="M13" s="1"/>
      <c r="N13" s="1"/>
    </row>
    <row r="14" spans="1:14" x14ac:dyDescent="0.25">
      <c r="A14" s="12"/>
      <c r="B14" s="12"/>
      <c r="C14" s="27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8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8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8"/>
      <c r="D17" s="3"/>
      <c r="E17" s="4"/>
      <c r="F17" s="2"/>
      <c r="G17" s="2"/>
      <c r="H17" s="2"/>
      <c r="I17" s="2"/>
      <c r="J17" s="2"/>
      <c r="L17" s="1"/>
      <c r="M17" s="63"/>
      <c r="N17" s="1"/>
    </row>
    <row r="18" spans="1:14" hidden="1" outlineLevel="1" x14ac:dyDescent="0.25">
      <c r="A18" s="2"/>
      <c r="B18" s="2"/>
      <c r="C18" s="28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9">
        <f>COUNTA(фев_пр)</f>
        <v>0</v>
      </c>
      <c r="E19" s="24">
        <f>SUM(фев_кол)</f>
        <v>0</v>
      </c>
      <c r="F19" s="25">
        <f>COUNTA(акт_вх_фев)+COUNTA(акт_отб_фев)</f>
        <v>0</v>
      </c>
      <c r="G19" s="11"/>
      <c r="H19" s="11"/>
      <c r="I19" s="11"/>
      <c r="J19" s="26">
        <f>SUM(кол_отб_фев)</f>
        <v>0</v>
      </c>
      <c r="L19" s="1"/>
      <c r="M19" s="1"/>
      <c r="N19" s="1"/>
    </row>
    <row r="20" spans="1:14" x14ac:dyDescent="0.25">
      <c r="A20" s="304" t="s">
        <v>7</v>
      </c>
      <c r="B20" s="304"/>
      <c r="C20" s="304"/>
      <c r="D20" s="304"/>
      <c r="E20" s="304"/>
      <c r="F20" s="304"/>
      <c r="G20" s="304"/>
      <c r="H20" s="304"/>
      <c r="I20" s="304"/>
      <c r="J20" s="304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9">
        <f>COUNTA(мрт_пр)</f>
        <v>0</v>
      </c>
      <c r="E26" s="24">
        <f>SUM(мрт_кол)</f>
        <v>0</v>
      </c>
      <c r="F26" s="25">
        <f>COUNTA(акт_вх_мрт)+COUNTA(акт_отб_мрт)</f>
        <v>0</v>
      </c>
      <c r="G26" s="44"/>
      <c r="H26" s="44"/>
      <c r="I26" s="44"/>
      <c r="J26" s="26">
        <f>SUM(кол_отб_мрт)</f>
        <v>0</v>
      </c>
      <c r="L26" s="1"/>
      <c r="M26" s="1"/>
      <c r="N26" s="1"/>
    </row>
    <row r="27" spans="1:14" ht="31.5" customHeight="1" x14ac:dyDescent="0.25">
      <c r="A27" s="38" t="s">
        <v>17</v>
      </c>
      <c r="B27" s="39"/>
      <c r="C27" s="39" t="s">
        <v>18</v>
      </c>
      <c r="D27" s="40">
        <f>SUM(D12,D19,D26)</f>
        <v>0</v>
      </c>
      <c r="E27" s="41">
        <f>SUM(E12,E19,E26)</f>
        <v>0</v>
      </c>
      <c r="F27" s="42">
        <f>SUM(F12,F19,F26)</f>
        <v>0</v>
      </c>
      <c r="G27" s="39"/>
      <c r="H27" s="39" t="e">
        <f>"Кп= "&amp;ROUNDDOWN((F27/D27)*100,1)&amp;"%"</f>
        <v>#DIV/0!</v>
      </c>
      <c r="I27" s="39" t="e">
        <f>"Км= "&amp;ROUNDDOWN((J27/E27)*100,2)&amp;"%"</f>
        <v>#DIV/0!</v>
      </c>
      <c r="J27" s="43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326" t="s">
        <v>8</v>
      </c>
      <c r="B30" s="326"/>
      <c r="C30" s="326"/>
      <c r="D30" s="326"/>
      <c r="E30" s="326"/>
      <c r="F30" s="326"/>
      <c r="G30" s="326"/>
      <c r="H30" s="326"/>
      <c r="I30" s="326"/>
      <c r="J30" s="326"/>
      <c r="L30" s="1"/>
      <c r="M30" s="1"/>
      <c r="N30" s="1"/>
    </row>
    <row r="31" spans="1:14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L34" s="1"/>
      <c r="M34" s="1"/>
      <c r="N34" s="1"/>
    </row>
    <row r="35" spans="1:14" hidden="1" outlineLevel="1" x14ac:dyDescent="0.25">
      <c r="A35" s="31"/>
      <c r="B35" s="31"/>
      <c r="C35" s="31"/>
      <c r="D35" s="32"/>
      <c r="E35" s="31"/>
      <c r="F35" s="31"/>
      <c r="G35" s="31"/>
      <c r="H35" s="31"/>
      <c r="I35" s="31"/>
      <c r="J35" s="31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9">
        <f>COUNTA(апр_пр)</f>
        <v>0</v>
      </c>
      <c r="E36" s="24">
        <f>SUM(апр_кол)</f>
        <v>0</v>
      </c>
      <c r="F36" s="25">
        <f>COUNTA(акт_вх_апр)+COUNTA(акт_отб_апр)</f>
        <v>0</v>
      </c>
      <c r="G36" s="44"/>
      <c r="H36" s="44"/>
      <c r="I36" s="44"/>
      <c r="J36" s="26">
        <f>SUM(кол_отб_апр)</f>
        <v>0</v>
      </c>
      <c r="L36" s="1"/>
      <c r="M36" s="1"/>
      <c r="N36" s="1"/>
    </row>
    <row r="37" spans="1:14" x14ac:dyDescent="0.25">
      <c r="A37" s="304" t="s">
        <v>9</v>
      </c>
      <c r="B37" s="304"/>
      <c r="C37" s="304"/>
      <c r="D37" s="304"/>
      <c r="E37" s="304"/>
      <c r="F37" s="304"/>
      <c r="G37" s="304"/>
      <c r="H37" s="304"/>
      <c r="I37" s="304"/>
      <c r="J37" s="304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L39" s="1"/>
      <c r="M39" s="1"/>
      <c r="N39" s="1"/>
    </row>
    <row r="40" spans="1:14" hidden="1" outlineLevel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L40" s="1"/>
      <c r="M40" s="1"/>
      <c r="N40" s="1"/>
    </row>
    <row r="41" spans="1:14" hidden="1" outlineLevel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L41" s="1"/>
      <c r="M41" s="1"/>
      <c r="N41" s="1"/>
    </row>
    <row r="42" spans="1:14" hidden="1" outlineLevel="1" x14ac:dyDescent="0.25">
      <c r="A42" s="34"/>
      <c r="B42" s="34"/>
      <c r="C42" s="34"/>
      <c r="D42" s="35"/>
      <c r="E42" s="34"/>
      <c r="F42" s="34"/>
      <c r="G42" s="34"/>
      <c r="H42" s="34"/>
      <c r="I42" s="34"/>
      <c r="J42" s="34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9">
        <f>COUNTA(май_пр)</f>
        <v>0</v>
      </c>
      <c r="E43" s="24">
        <f>SUM(май_кол)</f>
        <v>0</v>
      </c>
      <c r="F43" s="25">
        <f>COUNTA(акт_вх_май)+COUNTA(акт_отб_май)</f>
        <v>0</v>
      </c>
      <c r="G43" s="44"/>
      <c r="H43" s="44"/>
      <c r="I43" s="44"/>
      <c r="J43" s="26">
        <f>SUM(кол_отб_май)</f>
        <v>0</v>
      </c>
    </row>
    <row r="44" spans="1:14" x14ac:dyDescent="0.25">
      <c r="A44" s="304" t="s">
        <v>10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9">
        <f>COUNTA(июн_пр)</f>
        <v>0</v>
      </c>
      <c r="E50" s="24">
        <f>SUM(июн_кол)</f>
        <v>0</v>
      </c>
      <c r="F50" s="25">
        <f>COUNTA(акт_вх_июн)+COUNTA(акт_отб_июн)</f>
        <v>0</v>
      </c>
      <c r="G50" s="44"/>
      <c r="H50" s="44"/>
      <c r="I50" s="44"/>
      <c r="J50" s="26">
        <f>SUM(кол_отб_июн)</f>
        <v>0</v>
      </c>
    </row>
    <row r="51" spans="1:10" ht="31.5" customHeight="1" x14ac:dyDescent="0.25">
      <c r="A51" s="38" t="s">
        <v>17</v>
      </c>
      <c r="B51" s="39"/>
      <c r="C51" s="39" t="s">
        <v>109</v>
      </c>
      <c r="D51" s="40">
        <f>SUM(D36,D43,D50)</f>
        <v>0</v>
      </c>
      <c r="E51" s="41">
        <f>SUM(E36,E43,E50)</f>
        <v>0</v>
      </c>
      <c r="F51" s="42">
        <f>SUM(F36,F43,F50)</f>
        <v>0</v>
      </c>
      <c r="G51" s="39"/>
      <c r="H51" s="39" t="e">
        <f>"Кп= "&amp;ROUNDDOWN((F51/D51)*100,1)&amp;"%"</f>
        <v>#DIV/0!</v>
      </c>
      <c r="I51" s="39" t="e">
        <f>"Км= "&amp;ROUNDDOWN((J51/E51)*100,2)&amp;"%"</f>
        <v>#DIV/0!</v>
      </c>
      <c r="J51" s="43">
        <f>SUM(J36,J43,J50)</f>
        <v>0</v>
      </c>
    </row>
    <row r="52" spans="1:10" ht="31.5" customHeight="1" x14ac:dyDescent="0.25">
      <c r="A52" s="38" t="s">
        <v>17</v>
      </c>
      <c r="B52" s="39"/>
      <c r="C52" s="39" t="s">
        <v>110</v>
      </c>
      <c r="D52" s="40">
        <f>SUM(D27,D51)</f>
        <v>0</v>
      </c>
      <c r="E52" s="41">
        <f>SUM(E51,E27)</f>
        <v>0</v>
      </c>
      <c r="F52" s="42">
        <f>SUM(F51,F27)</f>
        <v>0</v>
      </c>
      <c r="G52" s="39"/>
      <c r="H52" s="39" t="e">
        <f>"Кп= "&amp;ROUNDDOWN((F52/D52)*100,1)&amp;"%"</f>
        <v>#DIV/0!</v>
      </c>
      <c r="I52" s="39" t="e">
        <f>"Км= "&amp;ROUNDDOWN((J52/E52)*100,2)&amp;"%"</f>
        <v>#DIV/0!</v>
      </c>
      <c r="J52" s="43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304" t="s">
        <v>11</v>
      </c>
      <c r="B55" s="304"/>
      <c r="C55" s="304"/>
      <c r="D55" s="304"/>
      <c r="E55" s="304"/>
      <c r="F55" s="304"/>
      <c r="G55" s="304"/>
      <c r="H55" s="304"/>
      <c r="I55" s="304"/>
      <c r="J55" s="304"/>
    </row>
    <row r="56" spans="1:10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9">
        <f>COUNTA(июл_пр)</f>
        <v>0</v>
      </c>
      <c r="E61" s="24">
        <f>SUM(июл_кол)</f>
        <v>0</v>
      </c>
      <c r="F61" s="25">
        <f>COUNTA(акт_вх_июл)+COUNTA(акт_отб_июл)</f>
        <v>0</v>
      </c>
      <c r="G61" s="44"/>
      <c r="H61" s="44"/>
      <c r="I61" s="44"/>
      <c r="J61" s="26">
        <f>SUM(кол_отб_июл)</f>
        <v>0</v>
      </c>
    </row>
    <row r="62" spans="1:10" x14ac:dyDescent="0.25">
      <c r="A62" s="304" t="s">
        <v>13</v>
      </c>
      <c r="B62" s="304"/>
      <c r="C62" s="304"/>
      <c r="D62" s="304"/>
      <c r="E62" s="304"/>
      <c r="F62" s="304"/>
      <c r="G62" s="304"/>
      <c r="H62" s="304"/>
      <c r="I62" s="304"/>
      <c r="J62" s="304"/>
    </row>
    <row r="63" spans="1:10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9">
        <f>COUNTA(авг_пр)</f>
        <v>0</v>
      </c>
      <c r="E68" s="24">
        <f>SUM(авг_кол)</f>
        <v>0</v>
      </c>
      <c r="F68" s="25">
        <f>COUNTA(акт_вх_авг)+COUNTA(акт_отб_авг)</f>
        <v>0</v>
      </c>
      <c r="G68" s="44"/>
      <c r="H68" s="44"/>
      <c r="I68" s="44"/>
      <c r="J68" s="26">
        <f>SUM(кол_отб_авг)</f>
        <v>0</v>
      </c>
    </row>
    <row r="69" spans="1:10" x14ac:dyDescent="0.25">
      <c r="A69" s="304" t="s">
        <v>12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9">
        <f>COUNTA(снт_пр)</f>
        <v>0</v>
      </c>
      <c r="E75" s="24">
        <f>SUM(снт_кол)</f>
        <v>0</v>
      </c>
      <c r="F75" s="25">
        <f>COUNTA(акт_вх_снт)+COUNTA(акт_отб_снт)</f>
        <v>0</v>
      </c>
      <c r="G75" s="44"/>
      <c r="H75" s="44"/>
      <c r="I75" s="44"/>
      <c r="J75" s="26">
        <f>SUM(кол_отб_снт)</f>
        <v>0</v>
      </c>
    </row>
    <row r="76" spans="1:10" ht="30" customHeight="1" x14ac:dyDescent="0.25">
      <c r="A76" s="38" t="s">
        <v>17</v>
      </c>
      <c r="B76" s="39"/>
      <c r="C76" s="39" t="s">
        <v>111</v>
      </c>
      <c r="D76" s="40">
        <f>SUM(D61,D68,D75)</f>
        <v>0</v>
      </c>
      <c r="E76" s="41">
        <f>SUM(E61,E68,E75)</f>
        <v>0</v>
      </c>
      <c r="F76" s="42">
        <f>SUM(F61,F68,F75)</f>
        <v>0</v>
      </c>
      <c r="G76" s="39"/>
      <c r="H76" s="39" t="e">
        <f>"Кп= "&amp;ROUNDDOWN((F76/D76)*100,1)&amp;"%"</f>
        <v>#DIV/0!</v>
      </c>
      <c r="I76" s="39" t="e">
        <f>"Км= "&amp;ROUNDDOWN((J76/E76)*100,2)&amp;"%"</f>
        <v>#DIV/0!</v>
      </c>
      <c r="J76" s="43">
        <f>SUM(J61,J68,J75)</f>
        <v>0</v>
      </c>
    </row>
    <row r="77" spans="1:10" ht="30" customHeight="1" x14ac:dyDescent="0.25">
      <c r="A77" s="38" t="s">
        <v>17</v>
      </c>
      <c r="B77" s="39"/>
      <c r="C77" s="39" t="s">
        <v>113</v>
      </c>
      <c r="D77" s="40">
        <f>SUM(D52,D76)</f>
        <v>0</v>
      </c>
      <c r="E77" s="41">
        <f>SUM(E76,E52)</f>
        <v>0</v>
      </c>
      <c r="F77" s="42">
        <f>SUM(F76,F52)</f>
        <v>0</v>
      </c>
      <c r="G77" s="39"/>
      <c r="H77" s="39" t="e">
        <f>"Кп= "&amp;ROUNDDOWN((F77/D77)*100,1)&amp;"%"</f>
        <v>#DIV/0!</v>
      </c>
      <c r="I77" s="39" t="e">
        <f>"Км= "&amp;ROUNDDOWN((J77/E77)*100,2)&amp;"%"</f>
        <v>#DIV/0!</v>
      </c>
      <c r="J77" s="43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304" t="s">
        <v>14</v>
      </c>
      <c r="B80" s="304"/>
      <c r="C80" s="304"/>
      <c r="D80" s="304"/>
      <c r="E80" s="304"/>
      <c r="F80" s="304"/>
      <c r="G80" s="304"/>
      <c r="H80" s="304"/>
      <c r="I80" s="304"/>
      <c r="J80" s="304"/>
    </row>
    <row r="81" spans="1:10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9">
        <f>COUNTA(окт_пр)</f>
        <v>0</v>
      </c>
      <c r="E86" s="24">
        <f>SUM(окт_кол)</f>
        <v>0</v>
      </c>
      <c r="F86" s="25">
        <f>COUNTA(акт_вх_окт)+COUNTA(акт_отб_окт)</f>
        <v>0</v>
      </c>
      <c r="G86" s="44"/>
      <c r="H86" s="44"/>
      <c r="I86" s="44"/>
      <c r="J86" s="26">
        <f>SUM(кол_отб_окт)</f>
        <v>0</v>
      </c>
    </row>
    <row r="87" spans="1:10" x14ac:dyDescent="0.25">
      <c r="A87" s="304" t="s">
        <v>15</v>
      </c>
      <c r="B87" s="304"/>
      <c r="C87" s="304"/>
      <c r="D87" s="304"/>
      <c r="E87" s="304"/>
      <c r="F87" s="304"/>
      <c r="G87" s="304"/>
      <c r="H87" s="304"/>
      <c r="I87" s="304"/>
      <c r="J87" s="304"/>
    </row>
    <row r="88" spans="1:10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2"/>
      <c r="E92" s="31"/>
      <c r="F92" s="31"/>
      <c r="G92" s="31"/>
      <c r="H92" s="31"/>
      <c r="I92" s="31"/>
      <c r="J92" s="31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9">
        <f>COUNTA(нбр_пр)</f>
        <v>0</v>
      </c>
      <c r="E93" s="24">
        <f>SUM(нбр_кол)</f>
        <v>0</v>
      </c>
      <c r="F93" s="25">
        <f>COUNTA(акт_вх_нбр)+COUNTA(акт_отб_нбр)</f>
        <v>0</v>
      </c>
      <c r="G93" s="44"/>
      <c r="H93" s="44"/>
      <c r="I93" s="44"/>
      <c r="J93" s="26">
        <f>SUM(кол_отб_нбр)</f>
        <v>0</v>
      </c>
    </row>
    <row r="94" spans="1:10" x14ac:dyDescent="0.25">
      <c r="A94" s="304" t="s">
        <v>16</v>
      </c>
      <c r="B94" s="304"/>
      <c r="C94" s="304"/>
      <c r="D94" s="304"/>
      <c r="E94" s="304"/>
      <c r="F94" s="304"/>
      <c r="G94" s="304"/>
      <c r="H94" s="304"/>
      <c r="I94" s="304"/>
      <c r="J94" s="304"/>
    </row>
    <row r="95" spans="1:10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hidden="1" outlineLevel="1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9">
        <f>COUNTA(дкб_пр)</f>
        <v>0</v>
      </c>
      <c r="E100" s="24">
        <f>SUM(дкб_кол)</f>
        <v>0</v>
      </c>
      <c r="F100" s="25">
        <f>COUNTA(акт_вх_дкб)+COUNTA(акт_отб_дкб)</f>
        <v>0</v>
      </c>
      <c r="G100" s="44"/>
      <c r="H100" s="44"/>
      <c r="I100" s="44"/>
      <c r="J100" s="26">
        <f>SUM(кол_отб_дкб)</f>
        <v>0</v>
      </c>
    </row>
    <row r="101" spans="1:10" ht="32.25" customHeight="1" x14ac:dyDescent="0.25">
      <c r="A101" s="38" t="s">
        <v>17</v>
      </c>
      <c r="B101" s="39"/>
      <c r="C101" s="39" t="s">
        <v>112</v>
      </c>
      <c r="D101" s="40">
        <f>SUM(D86,D93,D100)</f>
        <v>0</v>
      </c>
      <c r="E101" s="41">
        <f>SUM(E86,E93,E100)</f>
        <v>0</v>
      </c>
      <c r="F101" s="42">
        <f>SUM(F86,F93,F100)</f>
        <v>0</v>
      </c>
      <c r="G101" s="39"/>
      <c r="H101" s="39" t="e">
        <f>"Кп= "&amp;ROUNDDOWN((F101/D101)*100,1)&amp;"%"</f>
        <v>#DIV/0!</v>
      </c>
      <c r="I101" s="39" t="e">
        <f>"Км= "&amp;ROUNDDOWN((J101/E101)*100,2)&amp;"%"</f>
        <v>#DIV/0!</v>
      </c>
      <c r="J101" s="43">
        <f>SUM(J86,J93,J100)</f>
        <v>0</v>
      </c>
    </row>
    <row r="102" spans="1:10" ht="27" customHeight="1" x14ac:dyDescent="0.25">
      <c r="A102" s="38" t="s">
        <v>17</v>
      </c>
      <c r="B102" s="39"/>
      <c r="C102" s="39" t="s">
        <v>114</v>
      </c>
      <c r="D102" s="40">
        <f>SUM(D101,D77)</f>
        <v>0</v>
      </c>
      <c r="E102" s="41">
        <f>SUM(E101,E77)</f>
        <v>0</v>
      </c>
      <c r="F102" s="42">
        <f>SUM(F101,F77)</f>
        <v>0</v>
      </c>
      <c r="G102" s="39"/>
      <c r="H102" s="39" t="e">
        <f>"Кп= "&amp;ROUNDDOWN((F102/D102)*100,1)&amp;"%"</f>
        <v>#DIV/0!</v>
      </c>
      <c r="I102" s="39" t="e">
        <f>"Км= "&amp;ROUNDDOWN((J102/E102)*100,2)&amp;"%"</f>
        <v>#DIV/0!</v>
      </c>
      <c r="J102" s="43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3MxSAXAfrcGmWIyUOK0UxpBBcPrCSbvCBFpy4fdLtlbUruRk2oWllcOYgzkSA2AQmyUpFs76XJuwVd6zTlhZkg==" saltValue="4cRKGfvt1uifnpglX93dSQ==" spinCount="100000" sheet="1" formatCells="0" formatColumns="0" formatRows="0" insertColumns="0" insertRows="0" insertHyperlinks="0" deleteColumns="0" deleteRows="0" sort="0" autoFilter="0" pivotTables="0"/>
  <mergeCells count="21">
    <mergeCell ref="A69:J69"/>
    <mergeCell ref="A87:J87"/>
    <mergeCell ref="A62:J62"/>
    <mergeCell ref="A94:J94"/>
    <mergeCell ref="A80:J80"/>
    <mergeCell ref="A30:J30"/>
    <mergeCell ref="A37:J37"/>
    <mergeCell ref="A44:J44"/>
    <mergeCell ref="A55:J55"/>
    <mergeCell ref="A6:J6"/>
    <mergeCell ref="A13:J13"/>
    <mergeCell ref="A20:J20"/>
    <mergeCell ref="A2:J2"/>
    <mergeCell ref="J3:J4"/>
    <mergeCell ref="F3:G3"/>
    <mergeCell ref="A3:A4"/>
    <mergeCell ref="C3:C4"/>
    <mergeCell ref="D3:D4"/>
    <mergeCell ref="E3:E4"/>
    <mergeCell ref="H3:I3"/>
    <mergeCell ref="B3:B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CA47F-DEC5-4FDF-87E2-2A329A5CE20B}">
  <sheetPr codeName="Лист12"/>
  <dimension ref="A1:N103"/>
  <sheetViews>
    <sheetView zoomScaleNormal="100" workbookViewId="0">
      <pane ySplit="4" topLeftCell="A80" activePane="bottomLeft" state="frozen"/>
      <selection activeCell="A2" sqref="A2:J2"/>
      <selection pane="bottomLeft" activeCell="G108" sqref="G108"/>
    </sheetView>
  </sheetViews>
  <sheetFormatPr defaultRowHeight="15" outlineLevelRow="1" x14ac:dyDescent="0.25"/>
  <cols>
    <col min="1" max="1" width="5" customWidth="1"/>
    <col min="2" max="2" width="18.85546875" customWidth="1"/>
    <col min="3" max="3" width="16.140625" customWidth="1"/>
    <col min="4" max="4" width="14.42578125" customWidth="1"/>
    <col min="5" max="5" width="17.28515625" bestFit="1" customWidth="1"/>
    <col min="6" max="7" width="17" bestFit="1" customWidth="1"/>
    <col min="8" max="8" width="12.5703125" customWidth="1"/>
    <col min="9" max="9" width="11.85546875" customWidth="1"/>
    <col min="10" max="10" width="17.5703125" customWidth="1"/>
    <col min="11" max="11" width="11.140625" customWidth="1"/>
  </cols>
  <sheetData>
    <row r="1" spans="1:14" ht="15.75" x14ac:dyDescent="0.25">
      <c r="A1" s="33"/>
      <c r="B1" s="33"/>
      <c r="C1" s="33"/>
      <c r="D1" s="33"/>
      <c r="E1" s="33"/>
      <c r="F1" s="33"/>
      <c r="G1" s="33"/>
      <c r="H1" s="33"/>
      <c r="I1" s="33"/>
      <c r="J1" s="45" t="s">
        <v>94</v>
      </c>
    </row>
    <row r="2" spans="1:14" ht="33.75" customHeight="1" x14ac:dyDescent="0.4">
      <c r="A2" s="327" t="s">
        <v>95</v>
      </c>
      <c r="B2" s="327"/>
      <c r="C2" s="327"/>
      <c r="D2" s="327"/>
      <c r="E2" s="327"/>
      <c r="F2" s="327"/>
      <c r="G2" s="327"/>
      <c r="H2" s="327"/>
      <c r="I2" s="327"/>
      <c r="J2" s="327"/>
    </row>
    <row r="3" spans="1:14" x14ac:dyDescent="0.25">
      <c r="A3" s="329" t="s">
        <v>0</v>
      </c>
      <c r="B3" s="332" t="s">
        <v>97</v>
      </c>
      <c r="C3" s="329" t="s">
        <v>1</v>
      </c>
      <c r="D3" s="328" t="s">
        <v>23</v>
      </c>
      <c r="E3" s="329" t="s">
        <v>115</v>
      </c>
      <c r="F3" s="329" t="s">
        <v>3</v>
      </c>
      <c r="G3" s="329"/>
      <c r="H3" s="330" t="s">
        <v>2</v>
      </c>
      <c r="I3" s="331"/>
      <c r="J3" s="328" t="s">
        <v>116</v>
      </c>
    </row>
    <row r="4" spans="1:14" ht="32.25" customHeight="1" x14ac:dyDescent="0.25">
      <c r="A4" s="329"/>
      <c r="B4" s="333"/>
      <c r="C4" s="329"/>
      <c r="D4" s="329"/>
      <c r="E4" s="329"/>
      <c r="F4" s="69" t="s">
        <v>0</v>
      </c>
      <c r="G4" s="69" t="s">
        <v>4</v>
      </c>
      <c r="H4" s="69" t="s">
        <v>0</v>
      </c>
      <c r="I4" s="69" t="s">
        <v>4</v>
      </c>
      <c r="J4" s="329"/>
    </row>
    <row r="5" spans="1:14" ht="14.25" customHeight="1" x14ac:dyDescent="0.25">
      <c r="A5" s="15">
        <v>1</v>
      </c>
      <c r="B5" s="15">
        <v>2</v>
      </c>
      <c r="C5" s="15">
        <v>3</v>
      </c>
      <c r="D5" s="15">
        <v>4</v>
      </c>
      <c r="E5" s="15">
        <v>5</v>
      </c>
      <c r="F5" s="15">
        <v>6</v>
      </c>
      <c r="G5" s="15">
        <v>7</v>
      </c>
      <c r="H5" s="15">
        <v>8</v>
      </c>
      <c r="I5" s="15">
        <v>9</v>
      </c>
      <c r="J5" s="15">
        <v>10</v>
      </c>
      <c r="M5" s="18"/>
    </row>
    <row r="6" spans="1:14" x14ac:dyDescent="0.25">
      <c r="A6" s="304" t="s">
        <v>5</v>
      </c>
      <c r="B6" s="304"/>
      <c r="C6" s="304"/>
      <c r="D6" s="304"/>
      <c r="E6" s="304"/>
      <c r="F6" s="304"/>
      <c r="G6" s="304"/>
      <c r="H6" s="304"/>
      <c r="I6" s="304"/>
      <c r="J6" s="304"/>
    </row>
    <row r="7" spans="1:14" x14ac:dyDescent="0.25">
      <c r="A7" s="12"/>
      <c r="B7" s="12"/>
      <c r="C7" s="16"/>
      <c r="D7" s="13"/>
      <c r="E7" s="14"/>
      <c r="F7" s="5"/>
      <c r="G7" s="5"/>
      <c r="H7" s="5"/>
      <c r="I7" s="5"/>
      <c r="J7" s="5"/>
    </row>
    <row r="8" spans="1:14" hidden="1" outlineLevel="1" x14ac:dyDescent="0.25">
      <c r="A8" s="2"/>
      <c r="B8" s="2"/>
      <c r="C8" s="17"/>
      <c r="D8" s="3"/>
      <c r="E8" s="4"/>
      <c r="F8" s="5"/>
      <c r="G8" s="5"/>
      <c r="H8" s="5"/>
      <c r="I8" s="5"/>
      <c r="J8" s="5"/>
    </row>
    <row r="9" spans="1:14" hidden="1" outlineLevel="1" x14ac:dyDescent="0.25">
      <c r="A9" s="2"/>
      <c r="B9" s="2"/>
      <c r="C9" s="17"/>
      <c r="D9" s="3"/>
      <c r="E9" s="4"/>
      <c r="F9" s="5"/>
      <c r="G9" s="5"/>
      <c r="H9" s="5"/>
      <c r="I9" s="5"/>
      <c r="J9" s="5"/>
    </row>
    <row r="10" spans="1:14" hidden="1" outlineLevel="1" x14ac:dyDescent="0.25">
      <c r="A10" s="2"/>
      <c r="B10" s="2"/>
      <c r="C10" s="17"/>
      <c r="D10" s="3"/>
      <c r="E10" s="4"/>
      <c r="F10" s="5"/>
      <c r="G10" s="5"/>
      <c r="H10" s="5"/>
      <c r="I10" s="5"/>
      <c r="J10" s="5"/>
    </row>
    <row r="11" spans="1:14" hidden="1" outlineLevel="1" x14ac:dyDescent="0.25">
      <c r="A11" s="2"/>
      <c r="B11" s="2"/>
      <c r="C11" s="17"/>
      <c r="D11" s="3"/>
      <c r="E11" s="4"/>
      <c r="F11" s="5"/>
      <c r="G11" s="5"/>
      <c r="H11" s="5"/>
      <c r="I11" s="5"/>
      <c r="J11" s="5"/>
    </row>
    <row r="12" spans="1:14" s="1" customFormat="1" collapsed="1" x14ac:dyDescent="0.25">
      <c r="A12" s="6" t="s">
        <v>17</v>
      </c>
      <c r="B12" s="7"/>
      <c r="C12" s="7" t="str">
        <f>"за "&amp;LOWER($A$6)</f>
        <v>за январь</v>
      </c>
      <c r="D12" s="29">
        <f>COUNTA(янв_пр)</f>
        <v>0</v>
      </c>
      <c r="E12" s="70">
        <f>SUM(янв_кол)</f>
        <v>0</v>
      </c>
      <c r="F12" s="25">
        <f>COUNTA(акт_вх_янв)+COUNTA(акт_отб_янв)</f>
        <v>0</v>
      </c>
      <c r="G12" s="11"/>
      <c r="H12" s="11"/>
      <c r="I12" s="11"/>
      <c r="J12" s="71">
        <f>SUM(кол_отб_янв)</f>
        <v>0</v>
      </c>
    </row>
    <row r="13" spans="1:14" x14ac:dyDescent="0.25">
      <c r="A13" s="326" t="s">
        <v>6</v>
      </c>
      <c r="B13" s="326"/>
      <c r="C13" s="326"/>
      <c r="D13" s="326"/>
      <c r="E13" s="326"/>
      <c r="F13" s="326"/>
      <c r="G13" s="326"/>
      <c r="H13" s="326"/>
      <c r="I13" s="326"/>
      <c r="J13" s="326"/>
      <c r="L13" s="1"/>
      <c r="M13" s="1"/>
      <c r="N13" s="1"/>
    </row>
    <row r="14" spans="1:14" x14ac:dyDescent="0.25">
      <c r="A14" s="12"/>
      <c r="B14" s="12"/>
      <c r="C14" s="27"/>
      <c r="D14" s="13"/>
      <c r="E14" s="14"/>
      <c r="F14" s="2"/>
      <c r="G14" s="2"/>
      <c r="H14" s="2"/>
      <c r="I14" s="2"/>
      <c r="J14" s="2"/>
      <c r="L14" s="1"/>
      <c r="M14" s="1"/>
      <c r="N14" s="1"/>
    </row>
    <row r="15" spans="1:14" hidden="1" outlineLevel="1" x14ac:dyDescent="0.25">
      <c r="A15" s="2"/>
      <c r="B15" s="2"/>
      <c r="C15" s="28"/>
      <c r="D15" s="3"/>
      <c r="E15" s="4"/>
      <c r="F15" s="2"/>
      <c r="G15" s="2"/>
      <c r="H15" s="2"/>
      <c r="I15" s="2"/>
      <c r="J15" s="2"/>
      <c r="L15" s="1"/>
      <c r="M15" s="1"/>
      <c r="N15" s="1"/>
    </row>
    <row r="16" spans="1:14" hidden="1" outlineLevel="1" x14ac:dyDescent="0.25">
      <c r="A16" s="2"/>
      <c r="B16" s="2"/>
      <c r="C16" s="28"/>
      <c r="D16" s="3"/>
      <c r="E16" s="4"/>
      <c r="F16" s="2"/>
      <c r="G16" s="2"/>
      <c r="H16" s="2"/>
      <c r="I16" s="2"/>
      <c r="J16" s="2"/>
      <c r="L16" s="1"/>
      <c r="M16" s="1"/>
      <c r="N16" s="1"/>
    </row>
    <row r="17" spans="1:14" hidden="1" outlineLevel="1" x14ac:dyDescent="0.25">
      <c r="A17" s="2"/>
      <c r="B17" s="2"/>
      <c r="C17" s="28"/>
      <c r="D17" s="3"/>
      <c r="E17" s="4"/>
      <c r="F17" s="2"/>
      <c r="G17" s="2"/>
      <c r="H17" s="2"/>
      <c r="I17" s="2"/>
      <c r="J17" s="2"/>
      <c r="L17" s="1"/>
      <c r="M17" s="63"/>
      <c r="N17" s="1"/>
    </row>
    <row r="18" spans="1:14" hidden="1" outlineLevel="1" x14ac:dyDescent="0.25">
      <c r="A18" s="2"/>
      <c r="B18" s="2"/>
      <c r="C18" s="28"/>
      <c r="D18" s="3"/>
      <c r="E18" s="4"/>
      <c r="F18" s="2"/>
      <c r="G18" s="2"/>
      <c r="H18" s="2"/>
      <c r="I18" s="2"/>
      <c r="J18" s="2"/>
      <c r="L18" s="1"/>
      <c r="M18" s="1"/>
      <c r="N18" s="1"/>
    </row>
    <row r="19" spans="1:14" collapsed="1" x14ac:dyDescent="0.25">
      <c r="A19" s="6" t="s">
        <v>17</v>
      </c>
      <c r="B19" s="7"/>
      <c r="C19" s="7" t="str">
        <f>"за "&amp;LOWER($A$13)</f>
        <v>за февраль</v>
      </c>
      <c r="D19" s="29">
        <f>COUNTA(фев_пр)</f>
        <v>0</v>
      </c>
      <c r="E19" s="70">
        <f>SUM(фев_кол)</f>
        <v>0</v>
      </c>
      <c r="F19" s="25">
        <f>COUNTA(акт_вх_фев)+COUNTA(акт_отб_фев)</f>
        <v>0</v>
      </c>
      <c r="G19" s="11"/>
      <c r="H19" s="11"/>
      <c r="I19" s="11"/>
      <c r="J19" s="71">
        <f>SUM(кол_отб_фев)</f>
        <v>0</v>
      </c>
      <c r="L19" s="1"/>
      <c r="M19" s="1"/>
      <c r="N19" s="1"/>
    </row>
    <row r="20" spans="1:14" x14ac:dyDescent="0.25">
      <c r="A20" s="304" t="s">
        <v>7</v>
      </c>
      <c r="B20" s="304"/>
      <c r="C20" s="304"/>
      <c r="D20" s="304"/>
      <c r="E20" s="304"/>
      <c r="F20" s="304"/>
      <c r="G20" s="304"/>
      <c r="H20" s="304"/>
      <c r="I20" s="304"/>
      <c r="J20" s="304"/>
      <c r="L20" s="1"/>
      <c r="M20" s="1"/>
      <c r="N20" s="1"/>
    </row>
    <row r="21" spans="1:14" x14ac:dyDescent="0.25">
      <c r="A21" s="12"/>
      <c r="B21" s="12"/>
      <c r="C21" s="16"/>
      <c r="D21" s="13"/>
      <c r="E21" s="12"/>
      <c r="F21" s="2"/>
      <c r="G21" s="2"/>
      <c r="H21" s="2"/>
      <c r="I21" s="2"/>
      <c r="J21" s="2"/>
      <c r="L21" s="1"/>
      <c r="M21" s="1"/>
      <c r="N21" s="1"/>
    </row>
    <row r="22" spans="1:14" hidden="1" outlineLevel="1" x14ac:dyDescent="0.25">
      <c r="A22" s="2"/>
      <c r="B22" s="2"/>
      <c r="C22" s="17"/>
      <c r="D22" s="3"/>
      <c r="E22" s="2"/>
      <c r="F22" s="2"/>
      <c r="G22" s="2"/>
      <c r="H22" s="2"/>
      <c r="I22" s="2"/>
      <c r="J22" s="2"/>
      <c r="L22" s="1"/>
      <c r="M22" s="1"/>
      <c r="N22" s="1"/>
    </row>
    <row r="23" spans="1:14" hidden="1" outlineLevel="1" x14ac:dyDescent="0.25">
      <c r="A23" s="2"/>
      <c r="B23" s="2"/>
      <c r="C23" s="17"/>
      <c r="D23" s="3"/>
      <c r="E23" s="2"/>
      <c r="F23" s="2"/>
      <c r="G23" s="2"/>
      <c r="H23" s="2"/>
      <c r="I23" s="2"/>
      <c r="J23" s="2"/>
      <c r="L23" s="1"/>
      <c r="M23" s="1"/>
      <c r="N23" s="1"/>
    </row>
    <row r="24" spans="1:14" hidden="1" outlineLevel="1" x14ac:dyDescent="0.25">
      <c r="A24" s="2"/>
      <c r="B24" s="2"/>
      <c r="C24" s="17"/>
      <c r="D24" s="3"/>
      <c r="E24" s="2"/>
      <c r="F24" s="2"/>
      <c r="G24" s="2"/>
      <c r="H24" s="2"/>
      <c r="I24" s="2"/>
      <c r="J24" s="2"/>
      <c r="L24" s="1"/>
      <c r="M24" s="1"/>
      <c r="N24" s="1"/>
    </row>
    <row r="25" spans="1:14" hidden="1" outlineLevel="1" x14ac:dyDescent="0.25">
      <c r="A25" s="2"/>
      <c r="B25" s="2"/>
      <c r="C25" s="17"/>
      <c r="D25" s="3"/>
      <c r="E25" s="2"/>
      <c r="F25" s="2"/>
      <c r="G25" s="2"/>
      <c r="H25" s="2"/>
      <c r="I25" s="2"/>
      <c r="J25" s="2"/>
      <c r="L25" s="1"/>
      <c r="M25" s="1"/>
      <c r="N25" s="1"/>
    </row>
    <row r="26" spans="1:14" collapsed="1" x14ac:dyDescent="0.25">
      <c r="A26" s="6" t="s">
        <v>17</v>
      </c>
      <c r="B26" s="7"/>
      <c r="C26" s="7" t="str">
        <f>"за "&amp;LOWER($A$20)</f>
        <v>за март</v>
      </c>
      <c r="D26" s="29">
        <f>COUNTA(мрт_пр)</f>
        <v>0</v>
      </c>
      <c r="E26" s="70">
        <f>SUM(мрт_кол)</f>
        <v>0</v>
      </c>
      <c r="F26" s="25">
        <f>COUNTA(акт_вх_мрт)+COUNTA(акт_отб_мрт)</f>
        <v>0</v>
      </c>
      <c r="G26" s="44"/>
      <c r="H26" s="44"/>
      <c r="I26" s="44"/>
      <c r="J26" s="71">
        <f>SUM(кол_отб_мрт)</f>
        <v>0</v>
      </c>
      <c r="L26" s="1"/>
      <c r="M26" s="1"/>
      <c r="N26" s="1"/>
    </row>
    <row r="27" spans="1:14" ht="31.5" customHeight="1" x14ac:dyDescent="0.25">
      <c r="A27" s="38" t="s">
        <v>17</v>
      </c>
      <c r="B27" s="39"/>
      <c r="C27" s="39" t="s">
        <v>18</v>
      </c>
      <c r="D27" s="40">
        <f>SUM(D12,D19,D26)</f>
        <v>0</v>
      </c>
      <c r="E27" s="72">
        <f>SUM(E12,E19,E26)</f>
        <v>0</v>
      </c>
      <c r="F27" s="42">
        <f>SUM(F12,F19,F26)</f>
        <v>0</v>
      </c>
      <c r="G27" s="39"/>
      <c r="H27" s="39" t="e">
        <f>"Кп= "&amp;ROUNDDOWN((F27/D27)*100,1)&amp;"%"</f>
        <v>#DIV/0!</v>
      </c>
      <c r="I27" s="39" t="e">
        <f>"Км= "&amp;ROUNDDOWN((J27/E27)*100,2)&amp;"%"</f>
        <v>#DIV/0!</v>
      </c>
      <c r="J27" s="73">
        <f>SUM(J12,J19,J26)</f>
        <v>0</v>
      </c>
      <c r="L27" s="1"/>
      <c r="M27" s="1"/>
      <c r="N27" s="1"/>
    </row>
    <row r="28" spans="1:14" ht="30" hidden="1" customHeight="1" outlineLevel="1" x14ac:dyDescent="0.25">
      <c r="A28" s="8" t="s">
        <v>19</v>
      </c>
      <c r="B28" s="8"/>
      <c r="C28" s="8"/>
      <c r="D28" s="9"/>
      <c r="E28" s="8"/>
      <c r="F28" s="8"/>
      <c r="G28" s="8" t="s">
        <v>22</v>
      </c>
      <c r="H28" s="8"/>
      <c r="I28" s="8"/>
      <c r="J28" s="8"/>
      <c r="L28" s="1"/>
      <c r="M28" s="1"/>
      <c r="N28" s="1"/>
    </row>
    <row r="29" spans="1:14" ht="31.5" hidden="1" customHeight="1" outlineLevel="1" x14ac:dyDescent="0.25">
      <c r="A29" s="8" t="s">
        <v>20</v>
      </c>
      <c r="B29" s="8"/>
      <c r="C29" s="8"/>
      <c r="D29" s="9"/>
      <c r="E29" s="8"/>
      <c r="F29" s="8"/>
      <c r="G29" s="8" t="s">
        <v>21</v>
      </c>
      <c r="H29" s="8"/>
      <c r="I29" s="8"/>
      <c r="J29" s="8"/>
      <c r="L29" s="1"/>
      <c r="M29" s="1"/>
      <c r="N29" s="1"/>
    </row>
    <row r="30" spans="1:14" collapsed="1" x14ac:dyDescent="0.25">
      <c r="A30" s="326" t="s">
        <v>8</v>
      </c>
      <c r="B30" s="326"/>
      <c r="C30" s="326"/>
      <c r="D30" s="326"/>
      <c r="E30" s="326"/>
      <c r="F30" s="326"/>
      <c r="G30" s="326"/>
      <c r="H30" s="326"/>
      <c r="I30" s="326"/>
      <c r="J30" s="326"/>
      <c r="L30" s="1"/>
      <c r="M30" s="1"/>
      <c r="N30" s="1"/>
    </row>
    <row r="31" spans="1:14" x14ac:dyDescent="0.25">
      <c r="A31" s="30"/>
      <c r="B31" s="30"/>
      <c r="C31" s="30"/>
      <c r="D31" s="30"/>
      <c r="E31" s="30"/>
      <c r="F31" s="30"/>
      <c r="G31" s="30"/>
      <c r="H31" s="30"/>
      <c r="I31" s="30"/>
      <c r="J31" s="30"/>
      <c r="L31" s="1"/>
      <c r="M31" s="1"/>
      <c r="N31" s="1"/>
    </row>
    <row r="32" spans="1:14" hidden="1" outlineLevel="1" x14ac:dyDescent="0.25">
      <c r="A32" s="30"/>
      <c r="B32" s="30"/>
      <c r="C32" s="30"/>
      <c r="D32" s="30"/>
      <c r="E32" s="30"/>
      <c r="F32" s="30"/>
      <c r="G32" s="30"/>
      <c r="H32" s="30"/>
      <c r="I32" s="30"/>
      <c r="J32" s="30"/>
      <c r="L32" s="1"/>
      <c r="M32" s="1"/>
      <c r="N32" s="1"/>
    </row>
    <row r="33" spans="1:14" hidden="1" outlineLevel="1" x14ac:dyDescent="0.25">
      <c r="A33" s="30"/>
      <c r="B33" s="30"/>
      <c r="C33" s="30"/>
      <c r="D33" s="30"/>
      <c r="E33" s="30"/>
      <c r="F33" s="30"/>
      <c r="G33" s="30"/>
      <c r="H33" s="30"/>
      <c r="I33" s="30"/>
      <c r="J33" s="30"/>
      <c r="L33" s="1"/>
      <c r="M33" s="1"/>
      <c r="N33" s="1"/>
    </row>
    <row r="34" spans="1:14" hidden="1" outlineLevel="1" x14ac:dyDescent="0.25">
      <c r="A34" s="30"/>
      <c r="B34" s="30"/>
      <c r="C34" s="30"/>
      <c r="D34" s="30"/>
      <c r="E34" s="30"/>
      <c r="F34" s="30"/>
      <c r="G34" s="30"/>
      <c r="H34" s="30"/>
      <c r="I34" s="30"/>
      <c r="J34" s="30"/>
      <c r="L34" s="1"/>
      <c r="M34" s="1"/>
      <c r="N34" s="1"/>
    </row>
    <row r="35" spans="1:14" hidden="1" outlineLevel="1" x14ac:dyDescent="0.25">
      <c r="A35" s="31"/>
      <c r="B35" s="31"/>
      <c r="C35" s="31"/>
      <c r="D35" s="32"/>
      <c r="E35" s="31"/>
      <c r="F35" s="31"/>
      <c r="G35" s="31"/>
      <c r="H35" s="31"/>
      <c r="I35" s="31"/>
      <c r="J35" s="31"/>
      <c r="L35" s="1"/>
      <c r="M35" s="1"/>
      <c r="N35" s="1"/>
    </row>
    <row r="36" spans="1:14" collapsed="1" x14ac:dyDescent="0.25">
      <c r="A36" s="6" t="s">
        <v>17</v>
      </c>
      <c r="B36" s="7"/>
      <c r="C36" s="7" t="str">
        <f>"за "&amp;LOWER($A$30)</f>
        <v>за апрель</v>
      </c>
      <c r="D36" s="29">
        <f>COUNTA(апр_пр)</f>
        <v>0</v>
      </c>
      <c r="E36" s="70">
        <f>SUM(апр_кол)</f>
        <v>0</v>
      </c>
      <c r="F36" s="25">
        <f>COUNTA(акт_вх_апр)+COUNTA(акт_отб_апр)</f>
        <v>0</v>
      </c>
      <c r="G36" s="44"/>
      <c r="H36" s="44"/>
      <c r="I36" s="44"/>
      <c r="J36" s="71">
        <f>SUM(кол_отб_апр)</f>
        <v>0</v>
      </c>
      <c r="L36" s="1"/>
      <c r="M36" s="1"/>
      <c r="N36" s="1"/>
    </row>
    <row r="37" spans="1:14" x14ac:dyDescent="0.25">
      <c r="A37" s="304" t="s">
        <v>9</v>
      </c>
      <c r="B37" s="304"/>
      <c r="C37" s="304"/>
      <c r="D37" s="304"/>
      <c r="E37" s="304"/>
      <c r="F37" s="304"/>
      <c r="G37" s="304"/>
      <c r="H37" s="304"/>
      <c r="I37" s="304"/>
      <c r="J37" s="304"/>
      <c r="L37" s="1"/>
      <c r="M37" s="1"/>
      <c r="N37" s="1"/>
    </row>
    <row r="38" spans="1:14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L38" s="1"/>
      <c r="M38" s="1"/>
      <c r="N38" s="1"/>
    </row>
    <row r="39" spans="1:14" hidden="1" outlineLevel="1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L39" s="1"/>
      <c r="M39" s="1"/>
      <c r="N39" s="1"/>
    </row>
    <row r="40" spans="1:14" hidden="1" outlineLevel="1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L40" s="1"/>
      <c r="M40" s="1"/>
      <c r="N40" s="1"/>
    </row>
    <row r="41" spans="1:14" hidden="1" outlineLevel="1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L41" s="1"/>
      <c r="M41" s="1"/>
      <c r="N41" s="1"/>
    </row>
    <row r="42" spans="1:14" hidden="1" outlineLevel="1" x14ac:dyDescent="0.25">
      <c r="A42" s="34"/>
      <c r="B42" s="34"/>
      <c r="C42" s="34"/>
      <c r="D42" s="35"/>
      <c r="E42" s="34"/>
      <c r="F42" s="34"/>
      <c r="G42" s="34"/>
      <c r="H42" s="34"/>
      <c r="I42" s="34"/>
      <c r="J42" s="34"/>
    </row>
    <row r="43" spans="1:14" collapsed="1" x14ac:dyDescent="0.25">
      <c r="A43" s="6" t="s">
        <v>17</v>
      </c>
      <c r="B43" s="7"/>
      <c r="C43" s="7" t="str">
        <f>"за "&amp;LOWER($A$37)</f>
        <v>за май</v>
      </c>
      <c r="D43" s="29">
        <f>COUNTA(май_пр)</f>
        <v>0</v>
      </c>
      <c r="E43" s="70">
        <f>SUM(май_кол)</f>
        <v>0</v>
      </c>
      <c r="F43" s="25">
        <f>COUNTA(акт_вх_май)+COUNTA(акт_отб_май)</f>
        <v>0</v>
      </c>
      <c r="G43" s="44"/>
      <c r="H43" s="44"/>
      <c r="I43" s="44"/>
      <c r="J43" s="71">
        <f>SUM(кол_отб_май)</f>
        <v>0</v>
      </c>
    </row>
    <row r="44" spans="1:14" x14ac:dyDescent="0.25">
      <c r="A44" s="304" t="s">
        <v>10</v>
      </c>
      <c r="B44" s="304"/>
      <c r="C44" s="304"/>
      <c r="D44" s="304"/>
      <c r="E44" s="304"/>
      <c r="F44" s="304"/>
      <c r="G44" s="304"/>
      <c r="H44" s="304"/>
      <c r="I44" s="304"/>
      <c r="J44" s="304"/>
    </row>
    <row r="45" spans="1:14" x14ac:dyDescent="0.25">
      <c r="A45" s="31"/>
      <c r="B45" s="31"/>
      <c r="C45" s="31"/>
      <c r="D45" s="32"/>
      <c r="E45" s="31"/>
      <c r="F45" s="31"/>
      <c r="G45" s="31"/>
      <c r="H45" s="31"/>
      <c r="I45" s="31"/>
      <c r="J45" s="31"/>
    </row>
    <row r="46" spans="1:14" hidden="1" outlineLevel="1" x14ac:dyDescent="0.25">
      <c r="A46" s="31"/>
      <c r="B46" s="31"/>
      <c r="C46" s="31"/>
      <c r="D46" s="32"/>
      <c r="E46" s="31"/>
      <c r="F46" s="31"/>
      <c r="G46" s="31"/>
      <c r="H46" s="31"/>
      <c r="I46" s="31"/>
      <c r="J46" s="31"/>
    </row>
    <row r="47" spans="1:14" hidden="1" outlineLevel="1" x14ac:dyDescent="0.25">
      <c r="A47" s="31"/>
      <c r="B47" s="31"/>
      <c r="C47" s="31"/>
      <c r="D47" s="32"/>
      <c r="E47" s="31"/>
      <c r="F47" s="31"/>
      <c r="G47" s="31"/>
      <c r="H47" s="31"/>
      <c r="I47" s="31"/>
      <c r="J47" s="31"/>
    </row>
    <row r="48" spans="1:14" hidden="1" outlineLevel="1" x14ac:dyDescent="0.25">
      <c r="A48" s="31"/>
      <c r="B48" s="31"/>
      <c r="C48" s="31"/>
      <c r="D48" s="32"/>
      <c r="E48" s="31"/>
      <c r="F48" s="31"/>
      <c r="G48" s="31"/>
      <c r="H48" s="31"/>
      <c r="I48" s="31"/>
      <c r="J48" s="31"/>
    </row>
    <row r="49" spans="1:10" hidden="1" outlineLevel="1" x14ac:dyDescent="0.25">
      <c r="A49" s="31"/>
      <c r="B49" s="31"/>
      <c r="C49" s="31"/>
      <c r="D49" s="32"/>
      <c r="E49" s="31"/>
      <c r="F49" s="31"/>
      <c r="G49" s="31"/>
      <c r="H49" s="31"/>
      <c r="I49" s="31"/>
      <c r="J49" s="31"/>
    </row>
    <row r="50" spans="1:10" collapsed="1" x14ac:dyDescent="0.25">
      <c r="A50" s="6" t="s">
        <v>17</v>
      </c>
      <c r="B50" s="7"/>
      <c r="C50" s="7" t="str">
        <f>"за "&amp;LOWER($A$44)</f>
        <v>за июнь</v>
      </c>
      <c r="D50" s="29">
        <f>COUNTA(июн_пр)</f>
        <v>0</v>
      </c>
      <c r="E50" s="70">
        <f>SUM(июн_кол)</f>
        <v>0</v>
      </c>
      <c r="F50" s="25">
        <f>COUNTA(акт_вх_июн)+COUNTA(акт_отб_июн)</f>
        <v>0</v>
      </c>
      <c r="G50" s="44"/>
      <c r="H50" s="44"/>
      <c r="I50" s="44"/>
      <c r="J50" s="71">
        <f>SUM(кол_отб_июн)</f>
        <v>0</v>
      </c>
    </row>
    <row r="51" spans="1:10" ht="31.5" customHeight="1" x14ac:dyDescent="0.25">
      <c r="A51" s="38" t="s">
        <v>17</v>
      </c>
      <c r="B51" s="39"/>
      <c r="C51" s="39" t="s">
        <v>109</v>
      </c>
      <c r="D51" s="40">
        <f>SUM(D36,D43,D50)</f>
        <v>0</v>
      </c>
      <c r="E51" s="72">
        <f>SUM(E36,E43,E50)</f>
        <v>0</v>
      </c>
      <c r="F51" s="42">
        <f>SUM(F36,F43,F50)</f>
        <v>0</v>
      </c>
      <c r="G51" s="39"/>
      <c r="H51" s="39" t="e">
        <f>"Кп= "&amp;ROUNDDOWN((F51/D51)*100,1)&amp;"%"</f>
        <v>#DIV/0!</v>
      </c>
      <c r="I51" s="39" t="e">
        <f>"Км= "&amp;ROUNDDOWN((J51/E51)*100,2)&amp;"%"</f>
        <v>#DIV/0!</v>
      </c>
      <c r="J51" s="73">
        <f>SUM(J36,J43,J50)</f>
        <v>0</v>
      </c>
    </row>
    <row r="52" spans="1:10" ht="31.5" customHeight="1" x14ac:dyDescent="0.25">
      <c r="A52" s="38" t="s">
        <v>17</v>
      </c>
      <c r="B52" s="39"/>
      <c r="C52" s="39" t="s">
        <v>110</v>
      </c>
      <c r="D52" s="40">
        <f>SUM(D27,D51)</f>
        <v>0</v>
      </c>
      <c r="E52" s="72">
        <f>SUM(E51,E27)</f>
        <v>0</v>
      </c>
      <c r="F52" s="42">
        <f>SUM(F51,F27)</f>
        <v>0</v>
      </c>
      <c r="G52" s="39"/>
      <c r="H52" s="39" t="e">
        <f>"Кп= "&amp;ROUNDDOWN((F52/D52)*100,1)&amp;"%"</f>
        <v>#DIV/0!</v>
      </c>
      <c r="I52" s="39" t="e">
        <f>"Км= "&amp;ROUNDDOWN((J52/E52)*100,2)&amp;"%"</f>
        <v>#DIV/0!</v>
      </c>
      <c r="J52" s="73">
        <f>SUM(J51,J27)</f>
        <v>0</v>
      </c>
    </row>
    <row r="53" spans="1:10" ht="24" hidden="1" customHeight="1" outlineLevel="1" x14ac:dyDescent="0.25">
      <c r="A53" s="8" t="s">
        <v>19</v>
      </c>
      <c r="B53" s="8"/>
      <c r="C53" s="8"/>
      <c r="D53" s="9"/>
      <c r="E53" s="8"/>
      <c r="F53" s="8"/>
      <c r="G53" s="8" t="s">
        <v>22</v>
      </c>
      <c r="H53" s="8"/>
      <c r="I53" s="8"/>
      <c r="J53" s="8"/>
    </row>
    <row r="54" spans="1:10" ht="26.25" hidden="1" customHeight="1" outlineLevel="1" x14ac:dyDescent="0.25">
      <c r="A54" s="8" t="s">
        <v>20</v>
      </c>
      <c r="B54" s="8"/>
      <c r="C54" s="8"/>
      <c r="D54" s="9"/>
      <c r="E54" s="8"/>
      <c r="F54" s="8"/>
      <c r="G54" s="8" t="s">
        <v>21</v>
      </c>
      <c r="H54" s="8"/>
      <c r="I54" s="8"/>
      <c r="J54" s="8"/>
    </row>
    <row r="55" spans="1:10" collapsed="1" x14ac:dyDescent="0.25">
      <c r="A55" s="304" t="s">
        <v>11</v>
      </c>
      <c r="B55" s="304"/>
      <c r="C55" s="304"/>
      <c r="D55" s="304"/>
      <c r="E55" s="304"/>
      <c r="F55" s="304"/>
      <c r="G55" s="304"/>
      <c r="H55" s="304"/>
      <c r="I55" s="304"/>
      <c r="J55" s="304"/>
    </row>
    <row r="56" spans="1:10" x14ac:dyDescent="0.25">
      <c r="A56" s="31"/>
      <c r="B56" s="31"/>
      <c r="C56" s="31"/>
      <c r="D56" s="32"/>
      <c r="E56" s="31"/>
      <c r="F56" s="31"/>
      <c r="G56" s="31"/>
      <c r="H56" s="31"/>
      <c r="I56" s="31"/>
      <c r="J56" s="31"/>
    </row>
    <row r="57" spans="1:10" hidden="1" outlineLevel="1" x14ac:dyDescent="0.25">
      <c r="A57" s="31"/>
      <c r="B57" s="31"/>
      <c r="C57" s="31"/>
      <c r="D57" s="32"/>
      <c r="E57" s="31"/>
      <c r="F57" s="31"/>
      <c r="G57" s="31"/>
      <c r="H57" s="31"/>
      <c r="I57" s="31"/>
      <c r="J57" s="31"/>
    </row>
    <row r="58" spans="1:10" hidden="1" outlineLevel="1" x14ac:dyDescent="0.25">
      <c r="A58" s="31"/>
      <c r="B58" s="31"/>
      <c r="C58" s="31"/>
      <c r="D58" s="32"/>
      <c r="E58" s="31"/>
      <c r="F58" s="31"/>
      <c r="G58" s="31"/>
      <c r="H58" s="31"/>
      <c r="I58" s="31"/>
      <c r="J58" s="31"/>
    </row>
    <row r="59" spans="1:10" hidden="1" outlineLevel="1" x14ac:dyDescent="0.25">
      <c r="A59" s="31"/>
      <c r="B59" s="31"/>
      <c r="C59" s="31"/>
      <c r="D59" s="32"/>
      <c r="E59" s="31"/>
      <c r="F59" s="31"/>
      <c r="G59" s="31"/>
      <c r="H59" s="31"/>
      <c r="I59" s="31"/>
      <c r="J59" s="31"/>
    </row>
    <row r="60" spans="1:10" hidden="1" outlineLevel="1" x14ac:dyDescent="0.25">
      <c r="A60" s="31"/>
      <c r="B60" s="31"/>
      <c r="C60" s="31"/>
      <c r="D60" s="32"/>
      <c r="E60" s="31"/>
      <c r="F60" s="31"/>
      <c r="G60" s="31"/>
      <c r="H60" s="31"/>
      <c r="I60" s="31"/>
      <c r="J60" s="31"/>
    </row>
    <row r="61" spans="1:10" collapsed="1" x14ac:dyDescent="0.25">
      <c r="A61" s="6" t="s">
        <v>17</v>
      </c>
      <c r="B61" s="7"/>
      <c r="C61" s="7" t="str">
        <f>"за "&amp;LOWER($A$55)</f>
        <v>за июль</v>
      </c>
      <c r="D61" s="29">
        <f>COUNTA(июл_пр)</f>
        <v>0</v>
      </c>
      <c r="E61" s="70">
        <f>SUM(июл_кол)</f>
        <v>0</v>
      </c>
      <c r="F61" s="25">
        <f>COUNTA(акт_вх_июл)+COUNTA(акт_отб_июл)</f>
        <v>0</v>
      </c>
      <c r="G61" s="44"/>
      <c r="H61" s="44"/>
      <c r="I61" s="44"/>
      <c r="J61" s="71">
        <f>SUM(кол_отб_июл)</f>
        <v>0</v>
      </c>
    </row>
    <row r="62" spans="1:10" x14ac:dyDescent="0.25">
      <c r="A62" s="304" t="s">
        <v>13</v>
      </c>
      <c r="B62" s="304"/>
      <c r="C62" s="304"/>
      <c r="D62" s="304"/>
      <c r="E62" s="304"/>
      <c r="F62" s="304"/>
      <c r="G62" s="304"/>
      <c r="H62" s="304"/>
      <c r="I62" s="304"/>
      <c r="J62" s="304"/>
    </row>
    <row r="63" spans="1:10" x14ac:dyDescent="0.25">
      <c r="A63" s="31"/>
      <c r="B63" s="31"/>
      <c r="C63" s="31"/>
      <c r="D63" s="32"/>
      <c r="E63" s="31"/>
      <c r="F63" s="31"/>
      <c r="G63" s="31"/>
      <c r="H63" s="31"/>
      <c r="I63" s="31"/>
      <c r="J63" s="31"/>
    </row>
    <row r="64" spans="1:10" hidden="1" outlineLevel="1" x14ac:dyDescent="0.25">
      <c r="A64" s="31"/>
      <c r="B64" s="31"/>
      <c r="C64" s="31"/>
      <c r="D64" s="32"/>
      <c r="E64" s="31"/>
      <c r="F64" s="31"/>
      <c r="G64" s="31"/>
      <c r="H64" s="31"/>
      <c r="I64" s="31"/>
      <c r="J64" s="31"/>
    </row>
    <row r="65" spans="1:10" hidden="1" outlineLevel="1" x14ac:dyDescent="0.25">
      <c r="A65" s="31"/>
      <c r="B65" s="31"/>
      <c r="C65" s="31"/>
      <c r="D65" s="32"/>
      <c r="E65" s="31"/>
      <c r="F65" s="31"/>
      <c r="G65" s="31"/>
      <c r="H65" s="31"/>
      <c r="I65" s="31"/>
      <c r="J65" s="31"/>
    </row>
    <row r="66" spans="1:10" hidden="1" outlineLevel="1" x14ac:dyDescent="0.25">
      <c r="A66" s="31"/>
      <c r="B66" s="31"/>
      <c r="C66" s="31"/>
      <c r="D66" s="32"/>
      <c r="E66" s="31"/>
      <c r="F66" s="31"/>
      <c r="G66" s="31"/>
      <c r="H66" s="31"/>
      <c r="I66" s="31"/>
      <c r="J66" s="31"/>
    </row>
    <row r="67" spans="1:10" hidden="1" outlineLevel="1" x14ac:dyDescent="0.25">
      <c r="A67" s="31"/>
      <c r="B67" s="31"/>
      <c r="C67" s="31"/>
      <c r="D67" s="32"/>
      <c r="E67" s="31"/>
      <c r="F67" s="31"/>
      <c r="G67" s="31"/>
      <c r="H67" s="31"/>
      <c r="I67" s="31"/>
      <c r="J67" s="31"/>
    </row>
    <row r="68" spans="1:10" collapsed="1" x14ac:dyDescent="0.25">
      <c r="A68" s="6" t="s">
        <v>17</v>
      </c>
      <c r="B68" s="7"/>
      <c r="C68" s="7" t="str">
        <f>"за "&amp;LOWER($A$62)</f>
        <v>за август</v>
      </c>
      <c r="D68" s="29">
        <f>COUNTA(авг_пр)</f>
        <v>0</v>
      </c>
      <c r="E68" s="70">
        <f>SUM(авг_кол)</f>
        <v>0</v>
      </c>
      <c r="F68" s="25">
        <f>COUNTA(акт_вх_авг)+COUNTA(акт_отб_авг)</f>
        <v>0</v>
      </c>
      <c r="G68" s="44"/>
      <c r="H68" s="44"/>
      <c r="I68" s="44"/>
      <c r="J68" s="71">
        <f>SUM(кол_отб_авг)</f>
        <v>0</v>
      </c>
    </row>
    <row r="69" spans="1:10" x14ac:dyDescent="0.25">
      <c r="A69" s="304" t="s">
        <v>12</v>
      </c>
      <c r="B69" s="304"/>
      <c r="C69" s="304"/>
      <c r="D69" s="304"/>
      <c r="E69" s="304"/>
      <c r="F69" s="304"/>
      <c r="G69" s="304"/>
      <c r="H69" s="304"/>
      <c r="I69" s="304"/>
      <c r="J69" s="304"/>
    </row>
    <row r="70" spans="1:10" x14ac:dyDescent="0.25">
      <c r="A70" s="31"/>
      <c r="B70" s="31"/>
      <c r="C70" s="31"/>
      <c r="D70" s="32"/>
      <c r="E70" s="31"/>
      <c r="F70" s="31"/>
      <c r="G70" s="31"/>
      <c r="H70" s="31"/>
      <c r="I70" s="31"/>
      <c r="J70" s="31"/>
    </row>
    <row r="71" spans="1:10" hidden="1" outlineLevel="1" x14ac:dyDescent="0.25">
      <c r="A71" s="31"/>
      <c r="B71" s="31"/>
      <c r="C71" s="31"/>
      <c r="D71" s="32"/>
      <c r="E71" s="31"/>
      <c r="F71" s="31"/>
      <c r="G71" s="31"/>
      <c r="H71" s="31"/>
      <c r="I71" s="31"/>
      <c r="J71" s="31"/>
    </row>
    <row r="72" spans="1:10" hidden="1" outlineLevel="1" x14ac:dyDescent="0.25">
      <c r="A72" s="31"/>
      <c r="B72" s="31"/>
      <c r="C72" s="31"/>
      <c r="D72" s="32"/>
      <c r="E72" s="31"/>
      <c r="F72" s="31"/>
      <c r="G72" s="31"/>
      <c r="H72" s="31"/>
      <c r="I72" s="31"/>
      <c r="J72" s="31"/>
    </row>
    <row r="73" spans="1:10" hidden="1" outlineLevel="1" x14ac:dyDescent="0.25">
      <c r="A73" s="31"/>
      <c r="B73" s="31"/>
      <c r="C73" s="31"/>
      <c r="D73" s="32"/>
      <c r="E73" s="31"/>
      <c r="F73" s="31"/>
      <c r="G73" s="31"/>
      <c r="H73" s="31"/>
      <c r="I73" s="31"/>
      <c r="J73" s="31"/>
    </row>
    <row r="74" spans="1:10" hidden="1" outlineLevel="1" x14ac:dyDescent="0.25">
      <c r="A74" s="31"/>
      <c r="B74" s="31"/>
      <c r="C74" s="31"/>
      <c r="D74" s="32"/>
      <c r="E74" s="31"/>
      <c r="F74" s="31"/>
      <c r="G74" s="31"/>
      <c r="H74" s="31"/>
      <c r="I74" s="31"/>
      <c r="J74" s="31"/>
    </row>
    <row r="75" spans="1:10" collapsed="1" x14ac:dyDescent="0.25">
      <c r="A75" s="6" t="s">
        <v>17</v>
      </c>
      <c r="B75" s="7"/>
      <c r="C75" s="7" t="str">
        <f>"за "&amp;LOWER($A$69)</f>
        <v>за сентябрь</v>
      </c>
      <c r="D75" s="29">
        <f>COUNTA(снт_пр)</f>
        <v>0</v>
      </c>
      <c r="E75" s="70">
        <f>SUM(снт_кол)</f>
        <v>0</v>
      </c>
      <c r="F75" s="25">
        <f>COUNTA(акт_вх_снт)+COUNTA(акт_отб_снт)</f>
        <v>0</v>
      </c>
      <c r="G75" s="44"/>
      <c r="H75" s="44"/>
      <c r="I75" s="44"/>
      <c r="J75" s="71">
        <f>SUM(кол_отб_снт)</f>
        <v>0</v>
      </c>
    </row>
    <row r="76" spans="1:10" ht="30" customHeight="1" x14ac:dyDescent="0.25">
      <c r="A76" s="38" t="s">
        <v>17</v>
      </c>
      <c r="B76" s="39"/>
      <c r="C76" s="39" t="s">
        <v>111</v>
      </c>
      <c r="D76" s="40">
        <f>SUM(D61,D68,D75)</f>
        <v>0</v>
      </c>
      <c r="E76" s="72">
        <f>SUM(E61,E68,E75)</f>
        <v>0</v>
      </c>
      <c r="F76" s="42">
        <f>SUM(F61,F68,F75)</f>
        <v>0</v>
      </c>
      <c r="G76" s="39"/>
      <c r="H76" s="39" t="e">
        <f>"Кп= "&amp;ROUNDDOWN((F76/D76)*100,1)&amp;"%"</f>
        <v>#DIV/0!</v>
      </c>
      <c r="I76" s="39" t="e">
        <f>"Км= "&amp;ROUNDDOWN((J76/E76)*100,2)&amp;"%"</f>
        <v>#DIV/0!</v>
      </c>
      <c r="J76" s="73">
        <f>SUM(J61,J68,J75)</f>
        <v>0</v>
      </c>
    </row>
    <row r="77" spans="1:10" ht="30" customHeight="1" x14ac:dyDescent="0.25">
      <c r="A77" s="38" t="s">
        <v>17</v>
      </c>
      <c r="B77" s="39"/>
      <c r="C77" s="39" t="s">
        <v>113</v>
      </c>
      <c r="D77" s="40">
        <f>SUM(D52,D76)</f>
        <v>0</v>
      </c>
      <c r="E77" s="72">
        <f>SUM(E76,E52)</f>
        <v>0</v>
      </c>
      <c r="F77" s="42">
        <f>SUM(F76,F52)</f>
        <v>0</v>
      </c>
      <c r="G77" s="39"/>
      <c r="H77" s="39" t="e">
        <f>"Кп= "&amp;ROUNDDOWN((F77/D77)*100,1)&amp;"%"</f>
        <v>#DIV/0!</v>
      </c>
      <c r="I77" s="39" t="e">
        <f>"Км= "&amp;ROUNDDOWN((J77/E77)*100,2)&amp;"%"</f>
        <v>#DIV/0!</v>
      </c>
      <c r="J77" s="73">
        <f>SUM(J76,J52)</f>
        <v>0</v>
      </c>
    </row>
    <row r="78" spans="1:10" ht="29.25" hidden="1" customHeight="1" outlineLevel="1" x14ac:dyDescent="0.25">
      <c r="A78" s="8" t="s">
        <v>19</v>
      </c>
      <c r="B78" s="8"/>
      <c r="C78" s="8"/>
      <c r="D78" s="9"/>
      <c r="E78" s="8"/>
      <c r="F78" s="8"/>
      <c r="G78" s="8" t="s">
        <v>22</v>
      </c>
      <c r="H78" s="8"/>
      <c r="I78" s="8"/>
      <c r="J78" s="8"/>
    </row>
    <row r="79" spans="1:10" ht="24.75" hidden="1" customHeight="1" outlineLevel="1" x14ac:dyDescent="0.25">
      <c r="A79" s="8" t="s">
        <v>20</v>
      </c>
      <c r="B79" s="8"/>
      <c r="C79" s="8"/>
      <c r="D79" s="9"/>
      <c r="E79" s="8"/>
      <c r="F79" s="8"/>
      <c r="G79" s="8" t="s">
        <v>21</v>
      </c>
      <c r="H79" s="8"/>
      <c r="I79" s="8"/>
      <c r="J79" s="8"/>
    </row>
    <row r="80" spans="1:10" ht="15" customHeight="1" collapsed="1" x14ac:dyDescent="0.25">
      <c r="A80" s="304" t="s">
        <v>14</v>
      </c>
      <c r="B80" s="304"/>
      <c r="C80" s="304"/>
      <c r="D80" s="304"/>
      <c r="E80" s="304"/>
      <c r="F80" s="304"/>
      <c r="G80" s="304"/>
      <c r="H80" s="304"/>
      <c r="I80" s="304"/>
      <c r="J80" s="304"/>
    </row>
    <row r="81" spans="1:10" x14ac:dyDescent="0.25">
      <c r="A81" s="31"/>
      <c r="B81" s="31"/>
      <c r="C81" s="31"/>
      <c r="D81" s="32"/>
      <c r="E81" s="31"/>
      <c r="F81" s="31"/>
      <c r="G81" s="31"/>
      <c r="H81" s="31"/>
      <c r="I81" s="31"/>
      <c r="J81" s="31"/>
    </row>
    <row r="82" spans="1:10" hidden="1" outlineLevel="1" x14ac:dyDescent="0.25">
      <c r="A82" s="31"/>
      <c r="B82" s="31"/>
      <c r="C82" s="31"/>
      <c r="D82" s="32"/>
      <c r="E82" s="31"/>
      <c r="F82" s="31"/>
      <c r="G82" s="31"/>
      <c r="H82" s="31"/>
      <c r="I82" s="31"/>
      <c r="J82" s="31"/>
    </row>
    <row r="83" spans="1:10" hidden="1" outlineLevel="1" x14ac:dyDescent="0.25">
      <c r="A83" s="31"/>
      <c r="B83" s="31"/>
      <c r="C83" s="31"/>
      <c r="D83" s="32"/>
      <c r="E83" s="31"/>
      <c r="F83" s="31"/>
      <c r="G83" s="31"/>
      <c r="H83" s="31"/>
      <c r="I83" s="31"/>
      <c r="J83" s="31"/>
    </row>
    <row r="84" spans="1:10" hidden="1" outlineLevel="1" x14ac:dyDescent="0.25">
      <c r="A84" s="31"/>
      <c r="B84" s="31"/>
      <c r="C84" s="31"/>
      <c r="D84" s="32"/>
      <c r="E84" s="31"/>
      <c r="F84" s="31"/>
      <c r="G84" s="31"/>
      <c r="H84" s="31"/>
      <c r="I84" s="31"/>
      <c r="J84" s="31"/>
    </row>
    <row r="85" spans="1:10" hidden="1" outlineLevel="1" x14ac:dyDescent="0.25">
      <c r="A85" s="31"/>
      <c r="B85" s="31"/>
      <c r="C85" s="31"/>
      <c r="D85" s="32"/>
      <c r="E85" s="31"/>
      <c r="F85" s="31"/>
      <c r="G85" s="31"/>
      <c r="H85" s="31"/>
      <c r="I85" s="31"/>
      <c r="J85" s="31"/>
    </row>
    <row r="86" spans="1:10" collapsed="1" x14ac:dyDescent="0.25">
      <c r="A86" s="6" t="s">
        <v>17</v>
      </c>
      <c r="B86" s="7"/>
      <c r="C86" s="7" t="str">
        <f>"за "&amp;LOWER($A$80)</f>
        <v>за октябрь</v>
      </c>
      <c r="D86" s="29">
        <f>COUNTA(окт_пр)</f>
        <v>0</v>
      </c>
      <c r="E86" s="70">
        <f>SUM(окт_кол)</f>
        <v>0</v>
      </c>
      <c r="F86" s="25">
        <f>COUNTA(акт_вх_окт)+COUNTA(акт_отб_окт)</f>
        <v>0</v>
      </c>
      <c r="G86" s="44"/>
      <c r="H86" s="44"/>
      <c r="I86" s="44"/>
      <c r="J86" s="71">
        <f>SUM(кол_отб_окт)</f>
        <v>0</v>
      </c>
    </row>
    <row r="87" spans="1:10" x14ac:dyDescent="0.25">
      <c r="A87" s="304" t="s">
        <v>15</v>
      </c>
      <c r="B87" s="304"/>
      <c r="C87" s="304"/>
      <c r="D87" s="304"/>
      <c r="E87" s="304"/>
      <c r="F87" s="304"/>
      <c r="G87" s="304"/>
      <c r="H87" s="304"/>
      <c r="I87" s="304"/>
      <c r="J87" s="304"/>
    </row>
    <row r="88" spans="1:10" x14ac:dyDescent="0.25">
      <c r="A88" s="31"/>
      <c r="B88" s="31"/>
      <c r="C88" s="31"/>
      <c r="D88" s="32"/>
      <c r="E88" s="31"/>
      <c r="F88" s="31"/>
      <c r="G88" s="31"/>
      <c r="H88" s="31"/>
      <c r="I88" s="31"/>
      <c r="J88" s="31"/>
    </row>
    <row r="89" spans="1:10" hidden="1" outlineLevel="1" x14ac:dyDescent="0.25">
      <c r="A89" s="31"/>
      <c r="B89" s="31"/>
      <c r="C89" s="31"/>
      <c r="D89" s="32"/>
      <c r="E89" s="31"/>
      <c r="F89" s="31"/>
      <c r="G89" s="31"/>
      <c r="H89" s="31"/>
      <c r="I89" s="31"/>
      <c r="J89" s="31"/>
    </row>
    <row r="90" spans="1:10" hidden="1" outlineLevel="1" x14ac:dyDescent="0.25">
      <c r="A90" s="31"/>
      <c r="B90" s="31"/>
      <c r="C90" s="31"/>
      <c r="D90" s="32"/>
      <c r="E90" s="31"/>
      <c r="F90" s="31"/>
      <c r="G90" s="31"/>
      <c r="H90" s="31"/>
      <c r="I90" s="31"/>
      <c r="J90" s="31"/>
    </row>
    <row r="91" spans="1:10" hidden="1" outlineLevel="1" x14ac:dyDescent="0.25">
      <c r="A91" s="31"/>
      <c r="B91" s="31"/>
      <c r="C91" s="31"/>
      <c r="D91" s="32"/>
      <c r="E91" s="31"/>
      <c r="F91" s="31"/>
      <c r="G91" s="31"/>
      <c r="H91" s="31"/>
      <c r="I91" s="31"/>
      <c r="J91" s="31"/>
    </row>
    <row r="92" spans="1:10" hidden="1" outlineLevel="1" x14ac:dyDescent="0.25">
      <c r="A92" s="31"/>
      <c r="B92" s="31"/>
      <c r="C92" s="31"/>
      <c r="D92" s="32"/>
      <c r="E92" s="31"/>
      <c r="F92" s="31"/>
      <c r="G92" s="31"/>
      <c r="H92" s="31"/>
      <c r="I92" s="31"/>
      <c r="J92" s="31"/>
    </row>
    <row r="93" spans="1:10" collapsed="1" x14ac:dyDescent="0.25">
      <c r="A93" s="6" t="s">
        <v>17</v>
      </c>
      <c r="B93" s="7"/>
      <c r="C93" s="7" t="str">
        <f>"за "&amp;LOWER($A$87)</f>
        <v>за ноябрь</v>
      </c>
      <c r="D93" s="29">
        <f>COUNTA(нбр_пр)</f>
        <v>0</v>
      </c>
      <c r="E93" s="70">
        <f>SUM(нбр_кол)</f>
        <v>0</v>
      </c>
      <c r="F93" s="25">
        <f>COUNTA(акт_вх_нбр)+COUNTA(акт_отб_нбр)</f>
        <v>0</v>
      </c>
      <c r="G93" s="44"/>
      <c r="H93" s="44"/>
      <c r="I93" s="44"/>
      <c r="J93" s="71">
        <f>SUM(кол_отб_нбр)</f>
        <v>0</v>
      </c>
    </row>
    <row r="94" spans="1:10" x14ac:dyDescent="0.25">
      <c r="A94" s="304" t="s">
        <v>16</v>
      </c>
      <c r="B94" s="304"/>
      <c r="C94" s="304"/>
      <c r="D94" s="304"/>
      <c r="E94" s="304"/>
      <c r="F94" s="304"/>
      <c r="G94" s="304"/>
      <c r="H94" s="304"/>
      <c r="I94" s="304"/>
      <c r="J94" s="304"/>
    </row>
    <row r="95" spans="1:10" x14ac:dyDescent="0.25">
      <c r="A95" s="31"/>
      <c r="B95" s="31"/>
      <c r="C95" s="31"/>
      <c r="D95" s="31"/>
      <c r="E95" s="31"/>
      <c r="F95" s="31"/>
      <c r="G95" s="31"/>
      <c r="H95" s="31"/>
      <c r="I95" s="31"/>
      <c r="J95" s="31"/>
    </row>
    <row r="96" spans="1:10" hidden="1" outlineLevel="1" x14ac:dyDescent="0.25">
      <c r="A96" s="31"/>
      <c r="B96" s="31"/>
      <c r="C96" s="31"/>
      <c r="D96" s="31"/>
      <c r="E96" s="31"/>
      <c r="F96" s="31"/>
      <c r="G96" s="31"/>
      <c r="H96" s="31"/>
      <c r="I96" s="31"/>
      <c r="J96" s="31"/>
    </row>
    <row r="97" spans="1:10" hidden="1" outlineLevel="1" x14ac:dyDescent="0.25">
      <c r="A97" s="31"/>
      <c r="B97" s="31"/>
      <c r="C97" s="31"/>
      <c r="D97" s="31"/>
      <c r="E97" s="31"/>
      <c r="F97" s="31"/>
      <c r="G97" s="31"/>
      <c r="H97" s="31"/>
      <c r="I97" s="31"/>
      <c r="J97" s="31"/>
    </row>
    <row r="98" spans="1:10" hidden="1" outlineLevel="1" x14ac:dyDescent="0.25">
      <c r="A98" s="31"/>
      <c r="B98" s="31"/>
      <c r="C98" s="31"/>
      <c r="D98" s="31"/>
      <c r="E98" s="31"/>
      <c r="F98" s="31"/>
      <c r="G98" s="31"/>
      <c r="H98" s="31"/>
      <c r="I98" s="31"/>
      <c r="J98" s="31"/>
    </row>
    <row r="99" spans="1:10" hidden="1" outlineLevel="1" x14ac:dyDescent="0.25">
      <c r="A99" s="31"/>
      <c r="B99" s="31"/>
      <c r="C99" s="31"/>
      <c r="D99" s="31"/>
      <c r="E99" s="31"/>
      <c r="F99" s="31"/>
      <c r="G99" s="31"/>
      <c r="H99" s="31"/>
      <c r="I99" s="31"/>
      <c r="J99" s="31"/>
    </row>
    <row r="100" spans="1:10" collapsed="1" x14ac:dyDescent="0.25">
      <c r="A100" s="6" t="s">
        <v>17</v>
      </c>
      <c r="B100" s="7"/>
      <c r="C100" s="7" t="str">
        <f>"за "&amp;LOWER($A$94)</f>
        <v>за декабрь</v>
      </c>
      <c r="D100" s="29">
        <f>COUNTA(дкб_пр)</f>
        <v>0</v>
      </c>
      <c r="E100" s="70">
        <f>SUM(дкб_кол)</f>
        <v>0</v>
      </c>
      <c r="F100" s="25">
        <f>COUNTA(акт_вх_дкб)+COUNTA(акт_отб_дкб)</f>
        <v>0</v>
      </c>
      <c r="G100" s="44"/>
      <c r="H100" s="44"/>
      <c r="I100" s="44"/>
      <c r="J100" s="71">
        <f>SUM(кол_отб_дкб)</f>
        <v>0</v>
      </c>
    </row>
    <row r="101" spans="1:10" ht="32.25" customHeight="1" x14ac:dyDescent="0.25">
      <c r="A101" s="38" t="s">
        <v>17</v>
      </c>
      <c r="B101" s="39"/>
      <c r="C101" s="39" t="s">
        <v>112</v>
      </c>
      <c r="D101" s="40">
        <f>SUM(D86,D93,D100)</f>
        <v>0</v>
      </c>
      <c r="E101" s="72">
        <f>SUM(E86,E93,E100)</f>
        <v>0</v>
      </c>
      <c r="F101" s="42">
        <f>SUM(F86,F93,F100)</f>
        <v>0</v>
      </c>
      <c r="G101" s="39"/>
      <c r="H101" s="39" t="e">
        <f>"Кп= "&amp;ROUNDDOWN((F101/D101)*100,1)&amp;"%"</f>
        <v>#DIV/0!</v>
      </c>
      <c r="I101" s="39" t="e">
        <f>"Км= "&amp;ROUNDDOWN((J101/E101)*100,2)&amp;"%"</f>
        <v>#DIV/0!</v>
      </c>
      <c r="J101" s="73">
        <f>SUM(J86,J93,J100)</f>
        <v>0</v>
      </c>
    </row>
    <row r="102" spans="1:10" ht="27" customHeight="1" x14ac:dyDescent="0.25">
      <c r="A102" s="38" t="s">
        <v>17</v>
      </c>
      <c r="B102" s="39"/>
      <c r="C102" s="39" t="s">
        <v>114</v>
      </c>
      <c r="D102" s="40">
        <f>SUM(D101,D77)</f>
        <v>0</v>
      </c>
      <c r="E102" s="72">
        <f>SUM(E101,E77)</f>
        <v>0</v>
      </c>
      <c r="F102" s="42">
        <f>SUM(F101,F77)</f>
        <v>0</v>
      </c>
      <c r="G102" s="39"/>
      <c r="H102" s="39" t="e">
        <f>"Кп= "&amp;ROUNDDOWN((F102/D102)*100,1)&amp;"%"</f>
        <v>#DIV/0!</v>
      </c>
      <c r="I102" s="39" t="e">
        <f>"Км= "&amp;ROUNDDOWN((J102/E102)*100,2)&amp;"%"</f>
        <v>#DIV/0!</v>
      </c>
      <c r="J102" s="73">
        <f>SUM(J101,J77)</f>
        <v>0</v>
      </c>
    </row>
    <row r="103" spans="1:10" ht="26.25" customHeight="1" x14ac:dyDescent="0.25">
      <c r="A103" s="8" t="s">
        <v>20</v>
      </c>
      <c r="B103" s="8"/>
      <c r="C103" s="8"/>
      <c r="D103" s="9"/>
      <c r="E103" s="8"/>
      <c r="F103" s="8"/>
      <c r="G103" s="8" t="s">
        <v>21</v>
      </c>
      <c r="H103" s="8"/>
      <c r="I103" s="8"/>
      <c r="J103" s="8"/>
    </row>
  </sheetData>
  <sheetProtection algorithmName="SHA-512" hashValue="2QEaHzOQ0QBDMAxEavmpxsuXHji6SFh7YQ/3qbDO/u8IguarinqwoWN3XStYRDfBpMpAznNc85S2u3QO929qXQ==" saltValue="hvG+Aek1M+Qz7YnI4HdNqw==" spinCount="100000" sheet="1" formatCells="0" formatColumns="0" formatRows="0" insertColumns="0" insertRows="0" insertHyperlinks="0" deleteColumns="0" deleteRows="0" sort="0" autoFilter="0" pivotTables="0"/>
  <mergeCells count="21">
    <mergeCell ref="A94:J94"/>
    <mergeCell ref="A6:J6"/>
    <mergeCell ref="A13:J13"/>
    <mergeCell ref="A20:J20"/>
    <mergeCell ref="A30:J30"/>
    <mergeCell ref="A37:J37"/>
    <mergeCell ref="A44:J44"/>
    <mergeCell ref="A55:J55"/>
    <mergeCell ref="A62:J62"/>
    <mergeCell ref="A69:J69"/>
    <mergeCell ref="A80:J80"/>
    <mergeCell ref="A87:J87"/>
    <mergeCell ref="A2:J2"/>
    <mergeCell ref="A3:A4"/>
    <mergeCell ref="B3:B4"/>
    <mergeCell ref="C3:C4"/>
    <mergeCell ref="D3:D4"/>
    <mergeCell ref="E3:E4"/>
    <mergeCell ref="F3:G3"/>
    <mergeCell ref="H3:I3"/>
    <mergeCell ref="J3:J4"/>
  </mergeCells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95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DE2B33-BB71-4B8A-AA06-E69B185DB9EE}">
  <sheetPr codeName="Лист3"/>
  <dimension ref="A1:B34"/>
  <sheetViews>
    <sheetView topLeftCell="A2" workbookViewId="0">
      <selection activeCell="A2" sqref="A2:B34"/>
    </sheetView>
  </sheetViews>
  <sheetFormatPr defaultRowHeight="15" x14ac:dyDescent="0.25"/>
  <cols>
    <col min="1" max="1" width="45.140625" customWidth="1"/>
    <col min="2" max="2" width="9.140625" style="22"/>
    <col min="4" max="4" width="47.140625" customWidth="1"/>
    <col min="6" max="6" width="10.28515625" bestFit="1" customWidth="1"/>
    <col min="9" max="9" width="9.140625" customWidth="1"/>
    <col min="10" max="10" width="8.42578125" customWidth="1"/>
    <col min="11" max="11" width="35.5703125" customWidth="1"/>
  </cols>
  <sheetData>
    <row r="1" spans="1:2" x14ac:dyDescent="0.25">
      <c r="A1" s="20" t="s">
        <v>38</v>
      </c>
      <c r="B1" s="21" t="s">
        <v>37</v>
      </c>
    </row>
    <row r="2" spans="1:2" x14ac:dyDescent="0.25">
      <c r="A2" s="23" t="s">
        <v>31</v>
      </c>
      <c r="B2" s="22" t="s">
        <v>40</v>
      </c>
    </row>
    <row r="3" spans="1:2" x14ac:dyDescent="0.25">
      <c r="A3" s="23" t="s">
        <v>33</v>
      </c>
      <c r="B3" s="22" t="s">
        <v>41</v>
      </c>
    </row>
    <row r="4" spans="1:2" x14ac:dyDescent="0.25">
      <c r="A4" t="s">
        <v>32</v>
      </c>
      <c r="B4" s="22" t="s">
        <v>42</v>
      </c>
    </row>
    <row r="5" spans="1:2" x14ac:dyDescent="0.25">
      <c r="A5" t="s">
        <v>131</v>
      </c>
      <c r="B5" s="22" t="s">
        <v>43</v>
      </c>
    </row>
    <row r="6" spans="1:2" x14ac:dyDescent="0.25">
      <c r="A6" t="s">
        <v>132</v>
      </c>
      <c r="B6" s="22" t="s">
        <v>44</v>
      </c>
    </row>
    <row r="7" spans="1:2" x14ac:dyDescent="0.25">
      <c r="A7" t="s">
        <v>133</v>
      </c>
      <c r="B7" s="22" t="s">
        <v>45</v>
      </c>
    </row>
    <row r="8" spans="1:2" x14ac:dyDescent="0.25">
      <c r="A8" t="s">
        <v>134</v>
      </c>
      <c r="B8" s="22" t="s">
        <v>46</v>
      </c>
    </row>
    <row r="9" spans="1:2" x14ac:dyDescent="0.25">
      <c r="A9" t="s">
        <v>34</v>
      </c>
      <c r="B9" s="22" t="s">
        <v>47</v>
      </c>
    </row>
    <row r="10" spans="1:2" x14ac:dyDescent="0.25">
      <c r="A10" t="s">
        <v>35</v>
      </c>
      <c r="B10" s="22" t="s">
        <v>48</v>
      </c>
    </row>
    <row r="11" spans="1:2" x14ac:dyDescent="0.25">
      <c r="A11" t="s">
        <v>36</v>
      </c>
      <c r="B11" s="22" t="s">
        <v>49</v>
      </c>
    </row>
    <row r="12" spans="1:2" x14ac:dyDescent="0.25">
      <c r="A12" t="s">
        <v>50</v>
      </c>
      <c r="B12" s="22" t="s">
        <v>71</v>
      </c>
    </row>
    <row r="13" spans="1:2" x14ac:dyDescent="0.25">
      <c r="A13" t="s">
        <v>51</v>
      </c>
      <c r="B13" s="22" t="s">
        <v>72</v>
      </c>
    </row>
    <row r="14" spans="1:2" x14ac:dyDescent="0.25">
      <c r="A14" t="s">
        <v>52</v>
      </c>
      <c r="B14" s="22" t="s">
        <v>73</v>
      </c>
    </row>
    <row r="15" spans="1:2" x14ac:dyDescent="0.25">
      <c r="A15" t="s">
        <v>53</v>
      </c>
      <c r="B15" s="22" t="s">
        <v>74</v>
      </c>
    </row>
    <row r="16" spans="1:2" x14ac:dyDescent="0.25">
      <c r="A16" t="s">
        <v>54</v>
      </c>
      <c r="B16" s="22" t="s">
        <v>75</v>
      </c>
    </row>
    <row r="17" spans="1:2" x14ac:dyDescent="0.25">
      <c r="A17" t="s">
        <v>55</v>
      </c>
      <c r="B17" s="22" t="s">
        <v>76</v>
      </c>
    </row>
    <row r="18" spans="1:2" x14ac:dyDescent="0.25">
      <c r="A18" t="s">
        <v>56</v>
      </c>
      <c r="B18" s="22" t="s">
        <v>77</v>
      </c>
    </row>
    <row r="19" spans="1:2" x14ac:dyDescent="0.25">
      <c r="A19" t="s">
        <v>57</v>
      </c>
      <c r="B19" s="22" t="s">
        <v>78</v>
      </c>
    </row>
    <row r="20" spans="1:2" x14ac:dyDescent="0.25">
      <c r="A20" t="s">
        <v>58</v>
      </c>
      <c r="B20" s="22" t="s">
        <v>79</v>
      </c>
    </row>
    <row r="21" spans="1:2" x14ac:dyDescent="0.25">
      <c r="A21" t="s">
        <v>59</v>
      </c>
      <c r="B21" s="22" t="s">
        <v>80</v>
      </c>
    </row>
    <row r="22" spans="1:2" x14ac:dyDescent="0.25">
      <c r="A22" t="s">
        <v>60</v>
      </c>
      <c r="B22" s="22" t="s">
        <v>81</v>
      </c>
    </row>
    <row r="23" spans="1:2" x14ac:dyDescent="0.25">
      <c r="A23" t="s">
        <v>61</v>
      </c>
      <c r="B23" s="22" t="s">
        <v>82</v>
      </c>
    </row>
    <row r="24" spans="1:2" x14ac:dyDescent="0.25">
      <c r="A24" t="s">
        <v>62</v>
      </c>
      <c r="B24" s="22" t="s">
        <v>83</v>
      </c>
    </row>
    <row r="25" spans="1:2" x14ac:dyDescent="0.25">
      <c r="A25" t="s">
        <v>63</v>
      </c>
      <c r="B25" s="22" t="s">
        <v>84</v>
      </c>
    </row>
    <row r="26" spans="1:2" x14ac:dyDescent="0.25">
      <c r="A26" t="s">
        <v>64</v>
      </c>
      <c r="B26" s="22" t="s">
        <v>85</v>
      </c>
    </row>
    <row r="27" spans="1:2" x14ac:dyDescent="0.25">
      <c r="A27" t="s">
        <v>65</v>
      </c>
      <c r="B27" s="22" t="s">
        <v>86</v>
      </c>
    </row>
    <row r="28" spans="1:2" x14ac:dyDescent="0.25">
      <c r="A28" t="s">
        <v>66</v>
      </c>
      <c r="B28" s="22" t="s">
        <v>87</v>
      </c>
    </row>
    <row r="29" spans="1:2" x14ac:dyDescent="0.25">
      <c r="A29" t="s">
        <v>67</v>
      </c>
      <c r="B29" s="22" t="s">
        <v>88</v>
      </c>
    </row>
    <row r="30" spans="1:2" x14ac:dyDescent="0.25">
      <c r="A30" t="s">
        <v>68</v>
      </c>
      <c r="B30" s="22" t="s">
        <v>89</v>
      </c>
    </row>
    <row r="31" spans="1:2" x14ac:dyDescent="0.25">
      <c r="A31" t="s">
        <v>69</v>
      </c>
      <c r="B31" s="22" t="s">
        <v>90</v>
      </c>
    </row>
    <row r="32" spans="1:2" x14ac:dyDescent="0.25">
      <c r="A32" t="s">
        <v>70</v>
      </c>
      <c r="B32" s="22" t="s">
        <v>91</v>
      </c>
    </row>
    <row r="33" spans="1:2" x14ac:dyDescent="0.25">
      <c r="A33" t="s">
        <v>117</v>
      </c>
      <c r="B33" s="22" t="s">
        <v>92</v>
      </c>
    </row>
    <row r="34" spans="1:2" x14ac:dyDescent="0.25">
      <c r="A34" t="s">
        <v>39</v>
      </c>
      <c r="B34" s="22" t="s">
        <v>130</v>
      </c>
    </row>
  </sheetData>
  <sheetProtection algorithmName="SHA-512" hashValue="bXVhcjYnW3gwHROwKu+y2c+8vYGizw1ab3DbKVzFZNi+9xo39I/0LX43ULouVxQdUkber2ZTvBknZtPvM3J5Tg==" saltValue="1eajnt0HJJuFtKYTGLV4rg==" spinCount="100000" sheet="1" formatCells="0" formatColumns="0" formatRows="0" insertColumns="0" insertRows="0" insertHyperlinks="0" deleteColumns="0" deleteRows="0" sort="0" autoFilter="0" pivotTables="0"/>
  <phoneticPr fontId="14" type="noConversion"/>
  <dataValidations count="1">
    <dataValidation type="list" allowBlank="1" showInputMessage="1" showErrorMessage="1" sqref="F15" xr:uid="{465CEC08-1E5F-444D-8647-98AFB6673940}">
      <formula1>INDIRECT("Таблица1[Наименование]")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61D7D02-FD48-4A7F-8912-13FE6D378E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14</vt:i4>
      </vt:variant>
      <vt:variant>
        <vt:lpstr>Именованные диапазоны</vt:lpstr>
      </vt:variant>
      <vt:variant>
        <vt:i4>720</vt:i4>
      </vt:variant>
    </vt:vector>
  </HeadingPairs>
  <TitlesOfParts>
    <vt:vector size="734" baseType="lpstr">
      <vt:lpstr>Журнал входного контроля</vt:lpstr>
      <vt:lpstr>Мастика 2020</vt:lpstr>
      <vt:lpstr>ПВХ 2020</vt:lpstr>
      <vt:lpstr>ПВХ липкая 2020</vt:lpstr>
      <vt:lpstr>Коробки 2020</vt:lpstr>
      <vt:lpstr>Пакеты 2020</vt:lpstr>
      <vt:lpstr>Полилен 2020</vt:lpstr>
      <vt:lpstr>Политерм 2020</vt:lpstr>
      <vt:lpstr>Праймер и грунтовка 2020</vt:lpstr>
      <vt:lpstr>Шпули 2020</vt:lpstr>
      <vt:lpstr>Материал антиадгезионный 2020</vt:lpstr>
      <vt:lpstr>Шаблон (кг.)</vt:lpstr>
      <vt:lpstr>Шаблон (шт.)</vt:lpstr>
      <vt:lpstr>База данных</vt:lpstr>
      <vt:lpstr>'Коробки 2020'!авг_кол</vt:lpstr>
      <vt:lpstr>'Мастика 2020'!авг_кол</vt:lpstr>
      <vt:lpstr>'Материал антиадгезионный 2020'!авг_кол</vt:lpstr>
      <vt:lpstr>'Пакеты 2020'!авг_кол</vt:lpstr>
      <vt:lpstr>'ПВХ 2020'!авг_кол</vt:lpstr>
      <vt:lpstr>'ПВХ липкая 2020'!авг_кол</vt:lpstr>
      <vt:lpstr>'Полилен 2020'!авг_кол</vt:lpstr>
      <vt:lpstr>'Политерм 2020'!авг_кол</vt:lpstr>
      <vt:lpstr>'Праймер и грунтовка 2020'!авг_кол</vt:lpstr>
      <vt:lpstr>'Шаблон (шт.)'!авг_кол</vt:lpstr>
      <vt:lpstr>'Шпули 2020'!авг_кол</vt:lpstr>
      <vt:lpstr>авг_кол</vt:lpstr>
      <vt:lpstr>'Коробки 2020'!авг_пр</vt:lpstr>
      <vt:lpstr>'Мастика 2020'!авг_пр</vt:lpstr>
      <vt:lpstr>'Материал антиадгезионный 2020'!авг_пр</vt:lpstr>
      <vt:lpstr>'Пакеты 2020'!авг_пр</vt:lpstr>
      <vt:lpstr>'ПВХ 2020'!авг_пр</vt:lpstr>
      <vt:lpstr>'ПВХ липкая 2020'!авг_пр</vt:lpstr>
      <vt:lpstr>'Полилен 2020'!авг_пр</vt:lpstr>
      <vt:lpstr>'Политерм 2020'!авг_пр</vt:lpstr>
      <vt:lpstr>'Праймер и грунтовка 2020'!авг_пр</vt:lpstr>
      <vt:lpstr>'Шаблон (шт.)'!авг_пр</vt:lpstr>
      <vt:lpstr>'Шпули 2020'!авг_пр</vt:lpstr>
      <vt:lpstr>авг_пр</vt:lpstr>
      <vt:lpstr>'Коробки 2020'!акт_вх_авг</vt:lpstr>
      <vt:lpstr>'Мастика 2020'!акт_вх_авг</vt:lpstr>
      <vt:lpstr>'Материал антиадгезионный 2020'!акт_вх_авг</vt:lpstr>
      <vt:lpstr>'Пакеты 2020'!акт_вх_авг</vt:lpstr>
      <vt:lpstr>'ПВХ 2020'!акт_вх_авг</vt:lpstr>
      <vt:lpstr>'ПВХ липкая 2020'!акт_вх_авг</vt:lpstr>
      <vt:lpstr>'Полилен 2020'!акт_вх_авг</vt:lpstr>
      <vt:lpstr>'Политерм 2020'!акт_вх_авг</vt:lpstr>
      <vt:lpstr>'Праймер и грунтовка 2020'!акт_вх_авг</vt:lpstr>
      <vt:lpstr>'Шаблон (шт.)'!акт_вх_авг</vt:lpstr>
      <vt:lpstr>'Шпули 2020'!акт_вх_авг</vt:lpstr>
      <vt:lpstr>акт_вх_авг</vt:lpstr>
      <vt:lpstr>'Коробки 2020'!акт_вх_апр</vt:lpstr>
      <vt:lpstr>'Мастика 2020'!акт_вх_апр</vt:lpstr>
      <vt:lpstr>'Материал антиадгезионный 2020'!акт_вх_апр</vt:lpstr>
      <vt:lpstr>'Пакеты 2020'!акт_вх_апр</vt:lpstr>
      <vt:lpstr>'ПВХ 2020'!акт_вх_апр</vt:lpstr>
      <vt:lpstr>'ПВХ липкая 2020'!акт_вх_апр</vt:lpstr>
      <vt:lpstr>'Полилен 2020'!акт_вх_апр</vt:lpstr>
      <vt:lpstr>'Политерм 2020'!акт_вх_апр</vt:lpstr>
      <vt:lpstr>'Праймер и грунтовка 2020'!акт_вх_апр</vt:lpstr>
      <vt:lpstr>'Шаблон (шт.)'!акт_вх_апр</vt:lpstr>
      <vt:lpstr>'Шпули 2020'!акт_вх_апр</vt:lpstr>
      <vt:lpstr>акт_вх_апр</vt:lpstr>
      <vt:lpstr>'Коробки 2020'!акт_вх_дкб</vt:lpstr>
      <vt:lpstr>'Мастика 2020'!акт_вх_дкб</vt:lpstr>
      <vt:lpstr>'Материал антиадгезионный 2020'!акт_вх_дкб</vt:lpstr>
      <vt:lpstr>'Пакеты 2020'!акт_вх_дкб</vt:lpstr>
      <vt:lpstr>'ПВХ 2020'!акт_вх_дкб</vt:lpstr>
      <vt:lpstr>'ПВХ липкая 2020'!акт_вх_дкб</vt:lpstr>
      <vt:lpstr>'Полилен 2020'!акт_вх_дкб</vt:lpstr>
      <vt:lpstr>'Политерм 2020'!акт_вх_дкб</vt:lpstr>
      <vt:lpstr>'Праймер и грунтовка 2020'!акт_вх_дкб</vt:lpstr>
      <vt:lpstr>'Шаблон (шт.)'!акт_вх_дкб</vt:lpstr>
      <vt:lpstr>'Шпули 2020'!акт_вх_дкб</vt:lpstr>
      <vt:lpstr>акт_вх_дкб</vt:lpstr>
      <vt:lpstr>'Коробки 2020'!акт_вх_июл</vt:lpstr>
      <vt:lpstr>'Мастика 2020'!акт_вх_июл</vt:lpstr>
      <vt:lpstr>'Материал антиадгезионный 2020'!акт_вх_июл</vt:lpstr>
      <vt:lpstr>'Пакеты 2020'!акт_вх_июл</vt:lpstr>
      <vt:lpstr>'ПВХ 2020'!акт_вх_июл</vt:lpstr>
      <vt:lpstr>'ПВХ липкая 2020'!акт_вх_июл</vt:lpstr>
      <vt:lpstr>'Полилен 2020'!акт_вх_июл</vt:lpstr>
      <vt:lpstr>'Политерм 2020'!акт_вх_июл</vt:lpstr>
      <vt:lpstr>'Праймер и грунтовка 2020'!акт_вх_июл</vt:lpstr>
      <vt:lpstr>'Шаблон (шт.)'!акт_вх_июл</vt:lpstr>
      <vt:lpstr>'Шпули 2020'!акт_вх_июл</vt:lpstr>
      <vt:lpstr>акт_вх_июл</vt:lpstr>
      <vt:lpstr>'Коробки 2020'!акт_вх_июн</vt:lpstr>
      <vt:lpstr>'Мастика 2020'!акт_вх_июн</vt:lpstr>
      <vt:lpstr>'Материал антиадгезионный 2020'!акт_вх_июн</vt:lpstr>
      <vt:lpstr>'Пакеты 2020'!акт_вх_июн</vt:lpstr>
      <vt:lpstr>'ПВХ 2020'!акт_вх_июн</vt:lpstr>
      <vt:lpstr>'ПВХ липкая 2020'!акт_вх_июн</vt:lpstr>
      <vt:lpstr>'Полилен 2020'!акт_вх_июн</vt:lpstr>
      <vt:lpstr>'Политерм 2020'!акт_вх_июн</vt:lpstr>
      <vt:lpstr>'Праймер и грунтовка 2020'!акт_вх_июн</vt:lpstr>
      <vt:lpstr>'Шаблон (шт.)'!акт_вх_июн</vt:lpstr>
      <vt:lpstr>'Шпули 2020'!акт_вх_июн</vt:lpstr>
      <vt:lpstr>акт_вх_июн</vt:lpstr>
      <vt:lpstr>'Коробки 2020'!акт_вх_май</vt:lpstr>
      <vt:lpstr>'Мастика 2020'!акт_вх_май</vt:lpstr>
      <vt:lpstr>'Материал антиадгезионный 2020'!акт_вх_май</vt:lpstr>
      <vt:lpstr>'Пакеты 2020'!акт_вх_май</vt:lpstr>
      <vt:lpstr>'ПВХ 2020'!акт_вх_май</vt:lpstr>
      <vt:lpstr>'ПВХ липкая 2020'!акт_вх_май</vt:lpstr>
      <vt:lpstr>'Полилен 2020'!акт_вх_май</vt:lpstr>
      <vt:lpstr>'Политерм 2020'!акт_вх_май</vt:lpstr>
      <vt:lpstr>'Праймер и грунтовка 2020'!акт_вх_май</vt:lpstr>
      <vt:lpstr>'Шаблон (шт.)'!акт_вх_май</vt:lpstr>
      <vt:lpstr>'Шпули 2020'!акт_вх_май</vt:lpstr>
      <vt:lpstr>акт_вх_май</vt:lpstr>
      <vt:lpstr>'Коробки 2020'!акт_вх_мрт</vt:lpstr>
      <vt:lpstr>'Мастика 2020'!акт_вх_мрт</vt:lpstr>
      <vt:lpstr>'Материал антиадгезионный 2020'!акт_вх_мрт</vt:lpstr>
      <vt:lpstr>'Пакеты 2020'!акт_вх_мрт</vt:lpstr>
      <vt:lpstr>'ПВХ 2020'!акт_вх_мрт</vt:lpstr>
      <vt:lpstr>'ПВХ липкая 2020'!акт_вх_мрт</vt:lpstr>
      <vt:lpstr>'Полилен 2020'!акт_вх_мрт</vt:lpstr>
      <vt:lpstr>'Политерм 2020'!акт_вх_мрт</vt:lpstr>
      <vt:lpstr>'Праймер и грунтовка 2020'!акт_вх_мрт</vt:lpstr>
      <vt:lpstr>'Шаблон (шт.)'!акт_вх_мрт</vt:lpstr>
      <vt:lpstr>'Шпули 2020'!акт_вх_мрт</vt:lpstr>
      <vt:lpstr>акт_вх_мрт</vt:lpstr>
      <vt:lpstr>'Коробки 2020'!акт_вх_нбр</vt:lpstr>
      <vt:lpstr>'Мастика 2020'!акт_вх_нбр</vt:lpstr>
      <vt:lpstr>'Материал антиадгезионный 2020'!акт_вх_нбр</vt:lpstr>
      <vt:lpstr>'Пакеты 2020'!акт_вх_нбр</vt:lpstr>
      <vt:lpstr>'ПВХ 2020'!акт_вх_нбр</vt:lpstr>
      <vt:lpstr>'ПВХ липкая 2020'!акт_вх_нбр</vt:lpstr>
      <vt:lpstr>'Полилен 2020'!акт_вх_нбр</vt:lpstr>
      <vt:lpstr>'Политерм 2020'!акт_вх_нбр</vt:lpstr>
      <vt:lpstr>'Праймер и грунтовка 2020'!акт_вх_нбр</vt:lpstr>
      <vt:lpstr>'Шаблон (шт.)'!акт_вх_нбр</vt:lpstr>
      <vt:lpstr>'Шпули 2020'!акт_вх_нбр</vt:lpstr>
      <vt:lpstr>акт_вх_нбр</vt:lpstr>
      <vt:lpstr>'Коробки 2020'!акт_вх_окт</vt:lpstr>
      <vt:lpstr>'Мастика 2020'!акт_вх_окт</vt:lpstr>
      <vt:lpstr>'Материал антиадгезионный 2020'!акт_вх_окт</vt:lpstr>
      <vt:lpstr>'Пакеты 2020'!акт_вх_окт</vt:lpstr>
      <vt:lpstr>'ПВХ 2020'!акт_вх_окт</vt:lpstr>
      <vt:lpstr>'ПВХ липкая 2020'!акт_вх_окт</vt:lpstr>
      <vt:lpstr>'Полилен 2020'!акт_вх_окт</vt:lpstr>
      <vt:lpstr>'Политерм 2020'!акт_вх_окт</vt:lpstr>
      <vt:lpstr>'Праймер и грунтовка 2020'!акт_вх_окт</vt:lpstr>
      <vt:lpstr>'Шаблон (шт.)'!акт_вх_окт</vt:lpstr>
      <vt:lpstr>'Шпули 2020'!акт_вх_окт</vt:lpstr>
      <vt:lpstr>акт_вх_окт</vt:lpstr>
      <vt:lpstr>'Коробки 2020'!акт_вх_снт</vt:lpstr>
      <vt:lpstr>'Мастика 2020'!акт_вх_снт</vt:lpstr>
      <vt:lpstr>'Материал антиадгезионный 2020'!акт_вх_снт</vt:lpstr>
      <vt:lpstr>'Пакеты 2020'!акт_вх_снт</vt:lpstr>
      <vt:lpstr>'ПВХ 2020'!акт_вх_снт</vt:lpstr>
      <vt:lpstr>'ПВХ липкая 2020'!акт_вх_снт</vt:lpstr>
      <vt:lpstr>'Полилен 2020'!акт_вх_снт</vt:lpstr>
      <vt:lpstr>'Политерм 2020'!акт_вх_снт</vt:lpstr>
      <vt:lpstr>'Праймер и грунтовка 2020'!акт_вх_снт</vt:lpstr>
      <vt:lpstr>'Шаблон (шт.)'!акт_вх_снт</vt:lpstr>
      <vt:lpstr>'Шпули 2020'!акт_вх_снт</vt:lpstr>
      <vt:lpstr>акт_вх_снт</vt:lpstr>
      <vt:lpstr>'Коробки 2020'!акт_вх_фев</vt:lpstr>
      <vt:lpstr>'Мастика 2020'!акт_вх_фев</vt:lpstr>
      <vt:lpstr>'Материал антиадгезионный 2020'!акт_вх_фев</vt:lpstr>
      <vt:lpstr>'Пакеты 2020'!акт_вх_фев</vt:lpstr>
      <vt:lpstr>'ПВХ 2020'!акт_вх_фев</vt:lpstr>
      <vt:lpstr>'ПВХ липкая 2020'!акт_вх_фев</vt:lpstr>
      <vt:lpstr>'Полилен 2020'!акт_вх_фев</vt:lpstr>
      <vt:lpstr>'Политерм 2020'!акт_вх_фев</vt:lpstr>
      <vt:lpstr>'Праймер и грунтовка 2020'!акт_вх_фев</vt:lpstr>
      <vt:lpstr>'Шаблон (шт.)'!акт_вх_фев</vt:lpstr>
      <vt:lpstr>'Шпули 2020'!акт_вх_фев</vt:lpstr>
      <vt:lpstr>акт_вх_фев</vt:lpstr>
      <vt:lpstr>'Коробки 2020'!акт_вх_янв</vt:lpstr>
      <vt:lpstr>'Мастика 2020'!акт_вх_янв</vt:lpstr>
      <vt:lpstr>'Материал антиадгезионный 2020'!акт_вх_янв</vt:lpstr>
      <vt:lpstr>'Пакеты 2020'!акт_вх_янв</vt:lpstr>
      <vt:lpstr>'ПВХ 2020'!акт_вх_янв</vt:lpstr>
      <vt:lpstr>'ПВХ липкая 2020'!акт_вх_янв</vt:lpstr>
      <vt:lpstr>'Полилен 2020'!акт_вх_янв</vt:lpstr>
      <vt:lpstr>'Политерм 2020'!акт_вх_янв</vt:lpstr>
      <vt:lpstr>'Праймер и грунтовка 2020'!акт_вх_янв</vt:lpstr>
      <vt:lpstr>'Шаблон (шт.)'!акт_вх_янв</vt:lpstr>
      <vt:lpstr>'Шпули 2020'!акт_вх_янв</vt:lpstr>
      <vt:lpstr>акт_вх_янв</vt:lpstr>
      <vt:lpstr>'Коробки 2020'!акт_отб_авг</vt:lpstr>
      <vt:lpstr>'Мастика 2020'!акт_отб_авг</vt:lpstr>
      <vt:lpstr>'Материал антиадгезионный 2020'!акт_отб_авг</vt:lpstr>
      <vt:lpstr>'Пакеты 2020'!акт_отб_авг</vt:lpstr>
      <vt:lpstr>'ПВХ 2020'!акт_отб_авг</vt:lpstr>
      <vt:lpstr>'ПВХ липкая 2020'!акт_отб_авг</vt:lpstr>
      <vt:lpstr>'Полилен 2020'!акт_отб_авг</vt:lpstr>
      <vt:lpstr>'Политерм 2020'!акт_отб_авг</vt:lpstr>
      <vt:lpstr>'Праймер и грунтовка 2020'!акт_отб_авг</vt:lpstr>
      <vt:lpstr>'Шаблон (шт.)'!акт_отб_авг</vt:lpstr>
      <vt:lpstr>'Шпули 2020'!акт_отб_авг</vt:lpstr>
      <vt:lpstr>акт_отб_авг</vt:lpstr>
      <vt:lpstr>'Коробки 2020'!акт_отб_апр</vt:lpstr>
      <vt:lpstr>'Мастика 2020'!акт_отб_апр</vt:lpstr>
      <vt:lpstr>'Материал антиадгезионный 2020'!акт_отб_апр</vt:lpstr>
      <vt:lpstr>'Пакеты 2020'!акт_отб_апр</vt:lpstr>
      <vt:lpstr>'ПВХ 2020'!акт_отб_апр</vt:lpstr>
      <vt:lpstr>'ПВХ липкая 2020'!акт_отб_апр</vt:lpstr>
      <vt:lpstr>'Полилен 2020'!акт_отб_апр</vt:lpstr>
      <vt:lpstr>'Политерм 2020'!акт_отб_апр</vt:lpstr>
      <vt:lpstr>'Праймер и грунтовка 2020'!акт_отб_апр</vt:lpstr>
      <vt:lpstr>'Шаблон (шт.)'!акт_отб_апр</vt:lpstr>
      <vt:lpstr>'Шпули 2020'!акт_отб_апр</vt:lpstr>
      <vt:lpstr>акт_отб_апр</vt:lpstr>
      <vt:lpstr>'Коробки 2020'!акт_отб_дкб</vt:lpstr>
      <vt:lpstr>'Мастика 2020'!акт_отб_дкб</vt:lpstr>
      <vt:lpstr>'Материал антиадгезионный 2020'!акт_отб_дкб</vt:lpstr>
      <vt:lpstr>'Пакеты 2020'!акт_отб_дкб</vt:lpstr>
      <vt:lpstr>'ПВХ 2020'!акт_отб_дкб</vt:lpstr>
      <vt:lpstr>'ПВХ липкая 2020'!акт_отб_дкб</vt:lpstr>
      <vt:lpstr>'Полилен 2020'!акт_отб_дкб</vt:lpstr>
      <vt:lpstr>'Политерм 2020'!акт_отб_дкб</vt:lpstr>
      <vt:lpstr>'Праймер и грунтовка 2020'!акт_отб_дкб</vt:lpstr>
      <vt:lpstr>'Шаблон (шт.)'!акт_отб_дкб</vt:lpstr>
      <vt:lpstr>'Шпули 2020'!акт_отб_дкб</vt:lpstr>
      <vt:lpstr>акт_отб_дкб</vt:lpstr>
      <vt:lpstr>'Коробки 2020'!акт_отб_июл</vt:lpstr>
      <vt:lpstr>'Мастика 2020'!акт_отб_июл</vt:lpstr>
      <vt:lpstr>'Материал антиадгезионный 2020'!акт_отб_июл</vt:lpstr>
      <vt:lpstr>'Пакеты 2020'!акт_отб_июл</vt:lpstr>
      <vt:lpstr>'ПВХ 2020'!акт_отб_июл</vt:lpstr>
      <vt:lpstr>'ПВХ липкая 2020'!акт_отб_июл</vt:lpstr>
      <vt:lpstr>'Полилен 2020'!акт_отб_июл</vt:lpstr>
      <vt:lpstr>'Политерм 2020'!акт_отб_июл</vt:lpstr>
      <vt:lpstr>'Праймер и грунтовка 2020'!акт_отб_июл</vt:lpstr>
      <vt:lpstr>'Шаблон (шт.)'!акт_отб_июл</vt:lpstr>
      <vt:lpstr>'Шпули 2020'!акт_отб_июл</vt:lpstr>
      <vt:lpstr>акт_отб_июл</vt:lpstr>
      <vt:lpstr>'Коробки 2020'!акт_отб_июн</vt:lpstr>
      <vt:lpstr>'Мастика 2020'!акт_отб_июн</vt:lpstr>
      <vt:lpstr>'Материал антиадгезионный 2020'!акт_отб_июн</vt:lpstr>
      <vt:lpstr>'Пакеты 2020'!акт_отб_июн</vt:lpstr>
      <vt:lpstr>'ПВХ 2020'!акт_отб_июн</vt:lpstr>
      <vt:lpstr>'ПВХ липкая 2020'!акт_отб_июн</vt:lpstr>
      <vt:lpstr>'Полилен 2020'!акт_отб_июн</vt:lpstr>
      <vt:lpstr>'Политерм 2020'!акт_отб_июн</vt:lpstr>
      <vt:lpstr>'Праймер и грунтовка 2020'!акт_отб_июн</vt:lpstr>
      <vt:lpstr>'Шаблон (шт.)'!акт_отб_июн</vt:lpstr>
      <vt:lpstr>'Шпули 2020'!акт_отб_июн</vt:lpstr>
      <vt:lpstr>акт_отб_июн</vt:lpstr>
      <vt:lpstr>'Коробки 2020'!акт_отб_май</vt:lpstr>
      <vt:lpstr>'Мастика 2020'!акт_отб_май</vt:lpstr>
      <vt:lpstr>'Материал антиадгезионный 2020'!акт_отб_май</vt:lpstr>
      <vt:lpstr>'Пакеты 2020'!акт_отб_май</vt:lpstr>
      <vt:lpstr>'ПВХ 2020'!акт_отб_май</vt:lpstr>
      <vt:lpstr>'ПВХ липкая 2020'!акт_отб_май</vt:lpstr>
      <vt:lpstr>'Полилен 2020'!акт_отб_май</vt:lpstr>
      <vt:lpstr>'Политерм 2020'!акт_отб_май</vt:lpstr>
      <vt:lpstr>'Праймер и грунтовка 2020'!акт_отб_май</vt:lpstr>
      <vt:lpstr>'Шаблон (шт.)'!акт_отб_май</vt:lpstr>
      <vt:lpstr>'Шпули 2020'!акт_отб_май</vt:lpstr>
      <vt:lpstr>акт_отб_май</vt:lpstr>
      <vt:lpstr>'Коробки 2020'!акт_отб_мрт</vt:lpstr>
      <vt:lpstr>'Мастика 2020'!акт_отб_мрт</vt:lpstr>
      <vt:lpstr>'Материал антиадгезионный 2020'!акт_отб_мрт</vt:lpstr>
      <vt:lpstr>'Пакеты 2020'!акт_отб_мрт</vt:lpstr>
      <vt:lpstr>'ПВХ 2020'!акт_отб_мрт</vt:lpstr>
      <vt:lpstr>'ПВХ липкая 2020'!акт_отб_мрт</vt:lpstr>
      <vt:lpstr>'Полилен 2020'!акт_отб_мрт</vt:lpstr>
      <vt:lpstr>'Политерм 2020'!акт_отб_мрт</vt:lpstr>
      <vt:lpstr>'Праймер и грунтовка 2020'!акт_отб_мрт</vt:lpstr>
      <vt:lpstr>'Шаблон (шт.)'!акт_отб_мрт</vt:lpstr>
      <vt:lpstr>'Шпули 2020'!акт_отб_мрт</vt:lpstr>
      <vt:lpstr>акт_отб_мрт</vt:lpstr>
      <vt:lpstr>'Коробки 2020'!акт_отб_нбр</vt:lpstr>
      <vt:lpstr>'Мастика 2020'!акт_отб_нбр</vt:lpstr>
      <vt:lpstr>'Материал антиадгезионный 2020'!акт_отб_нбр</vt:lpstr>
      <vt:lpstr>'Пакеты 2020'!акт_отб_нбр</vt:lpstr>
      <vt:lpstr>'ПВХ 2020'!акт_отб_нбр</vt:lpstr>
      <vt:lpstr>'ПВХ липкая 2020'!акт_отб_нбр</vt:lpstr>
      <vt:lpstr>'Полилен 2020'!акт_отб_нбр</vt:lpstr>
      <vt:lpstr>'Политерм 2020'!акт_отб_нбр</vt:lpstr>
      <vt:lpstr>'Праймер и грунтовка 2020'!акт_отб_нбр</vt:lpstr>
      <vt:lpstr>'Шаблон (шт.)'!акт_отб_нбр</vt:lpstr>
      <vt:lpstr>'Шпули 2020'!акт_отб_нбр</vt:lpstr>
      <vt:lpstr>акт_отб_нбр</vt:lpstr>
      <vt:lpstr>'Коробки 2020'!акт_отб_окт</vt:lpstr>
      <vt:lpstr>'Мастика 2020'!акт_отб_окт</vt:lpstr>
      <vt:lpstr>'Материал антиадгезионный 2020'!акт_отб_окт</vt:lpstr>
      <vt:lpstr>'Пакеты 2020'!акт_отб_окт</vt:lpstr>
      <vt:lpstr>'ПВХ 2020'!акт_отб_окт</vt:lpstr>
      <vt:lpstr>'ПВХ липкая 2020'!акт_отб_окт</vt:lpstr>
      <vt:lpstr>'Полилен 2020'!акт_отб_окт</vt:lpstr>
      <vt:lpstr>'Политерм 2020'!акт_отб_окт</vt:lpstr>
      <vt:lpstr>'Праймер и грунтовка 2020'!акт_отб_окт</vt:lpstr>
      <vt:lpstr>'Шаблон (шт.)'!акт_отб_окт</vt:lpstr>
      <vt:lpstr>'Шпули 2020'!акт_отб_окт</vt:lpstr>
      <vt:lpstr>акт_отб_окт</vt:lpstr>
      <vt:lpstr>'Коробки 2020'!акт_отб_снт</vt:lpstr>
      <vt:lpstr>'Мастика 2020'!акт_отб_снт</vt:lpstr>
      <vt:lpstr>'Материал антиадгезионный 2020'!акт_отб_снт</vt:lpstr>
      <vt:lpstr>'Пакеты 2020'!акт_отб_снт</vt:lpstr>
      <vt:lpstr>'ПВХ 2020'!акт_отб_снт</vt:lpstr>
      <vt:lpstr>'ПВХ липкая 2020'!акт_отб_снт</vt:lpstr>
      <vt:lpstr>'Полилен 2020'!акт_отб_снт</vt:lpstr>
      <vt:lpstr>'Политерм 2020'!акт_отб_снт</vt:lpstr>
      <vt:lpstr>'Праймер и грунтовка 2020'!акт_отб_снт</vt:lpstr>
      <vt:lpstr>'Шаблон (шт.)'!акт_отб_снт</vt:lpstr>
      <vt:lpstr>'Шпули 2020'!акт_отб_снт</vt:lpstr>
      <vt:lpstr>акт_отб_снт</vt:lpstr>
      <vt:lpstr>'Коробки 2020'!акт_отб_фев</vt:lpstr>
      <vt:lpstr>'Мастика 2020'!акт_отб_фев</vt:lpstr>
      <vt:lpstr>'Материал антиадгезионный 2020'!акт_отб_фев</vt:lpstr>
      <vt:lpstr>'Пакеты 2020'!акт_отб_фев</vt:lpstr>
      <vt:lpstr>'ПВХ 2020'!акт_отб_фев</vt:lpstr>
      <vt:lpstr>'ПВХ липкая 2020'!акт_отб_фев</vt:lpstr>
      <vt:lpstr>'Полилен 2020'!акт_отб_фев</vt:lpstr>
      <vt:lpstr>'Политерм 2020'!акт_отб_фев</vt:lpstr>
      <vt:lpstr>'Праймер и грунтовка 2020'!акт_отб_фев</vt:lpstr>
      <vt:lpstr>'Шаблон (шт.)'!акт_отб_фев</vt:lpstr>
      <vt:lpstr>'Шпули 2020'!акт_отб_фев</vt:lpstr>
      <vt:lpstr>акт_отб_фев</vt:lpstr>
      <vt:lpstr>'Коробки 2020'!акт_отб_янв</vt:lpstr>
      <vt:lpstr>'Мастика 2020'!акт_отб_янв</vt:lpstr>
      <vt:lpstr>'Материал антиадгезионный 2020'!акт_отб_янв</vt:lpstr>
      <vt:lpstr>'Пакеты 2020'!акт_отб_янв</vt:lpstr>
      <vt:lpstr>'ПВХ 2020'!акт_отб_янв</vt:lpstr>
      <vt:lpstr>'ПВХ липкая 2020'!акт_отб_янв</vt:lpstr>
      <vt:lpstr>'Полилен 2020'!акт_отб_янв</vt:lpstr>
      <vt:lpstr>'Политерм 2020'!акт_отб_янв</vt:lpstr>
      <vt:lpstr>'Праймер и грунтовка 2020'!акт_отб_янв</vt:lpstr>
      <vt:lpstr>'Шаблон (шт.)'!акт_отб_янв</vt:lpstr>
      <vt:lpstr>'Шпули 2020'!акт_отб_янв</vt:lpstr>
      <vt:lpstr>акт_отб_янв</vt:lpstr>
      <vt:lpstr>'Коробки 2020'!апр_кол</vt:lpstr>
      <vt:lpstr>'Мастика 2020'!апр_кол</vt:lpstr>
      <vt:lpstr>'Материал антиадгезионный 2020'!апр_кол</vt:lpstr>
      <vt:lpstr>'Пакеты 2020'!апр_кол</vt:lpstr>
      <vt:lpstr>'ПВХ 2020'!апр_кол</vt:lpstr>
      <vt:lpstr>'ПВХ липкая 2020'!апр_кол</vt:lpstr>
      <vt:lpstr>'Полилен 2020'!апр_кол</vt:lpstr>
      <vt:lpstr>'Политерм 2020'!апр_кол</vt:lpstr>
      <vt:lpstr>'Праймер и грунтовка 2020'!апр_кол</vt:lpstr>
      <vt:lpstr>'Шаблон (шт.)'!апр_кол</vt:lpstr>
      <vt:lpstr>'Шпули 2020'!апр_кол</vt:lpstr>
      <vt:lpstr>апр_кол</vt:lpstr>
      <vt:lpstr>'Коробки 2020'!апр_пр</vt:lpstr>
      <vt:lpstr>'Мастика 2020'!апр_пр</vt:lpstr>
      <vt:lpstr>'Материал антиадгезионный 2020'!апр_пр</vt:lpstr>
      <vt:lpstr>'Пакеты 2020'!апр_пр</vt:lpstr>
      <vt:lpstr>'ПВХ 2020'!апр_пр</vt:lpstr>
      <vt:lpstr>'ПВХ липкая 2020'!апр_пр</vt:lpstr>
      <vt:lpstr>'Полилен 2020'!апр_пр</vt:lpstr>
      <vt:lpstr>'Политерм 2020'!апр_пр</vt:lpstr>
      <vt:lpstr>'Праймер и грунтовка 2020'!апр_пр</vt:lpstr>
      <vt:lpstr>'Шаблон (шт.)'!апр_пр</vt:lpstr>
      <vt:lpstr>'Шпули 2020'!апр_пр</vt:lpstr>
      <vt:lpstr>апр_пр</vt:lpstr>
      <vt:lpstr>'Коробки 2020'!дкб_кол</vt:lpstr>
      <vt:lpstr>'Мастика 2020'!дкб_кол</vt:lpstr>
      <vt:lpstr>'Материал антиадгезионный 2020'!дкб_кол</vt:lpstr>
      <vt:lpstr>'Пакеты 2020'!дкб_кол</vt:lpstr>
      <vt:lpstr>'ПВХ 2020'!дкб_кол</vt:lpstr>
      <vt:lpstr>'ПВХ липкая 2020'!дкб_кол</vt:lpstr>
      <vt:lpstr>'Полилен 2020'!дкб_кол</vt:lpstr>
      <vt:lpstr>'Политерм 2020'!дкб_кол</vt:lpstr>
      <vt:lpstr>'Праймер и грунтовка 2020'!дкб_кол</vt:lpstr>
      <vt:lpstr>'Шаблон (шт.)'!дкб_кол</vt:lpstr>
      <vt:lpstr>'Шпули 2020'!дкб_кол</vt:lpstr>
      <vt:lpstr>дкб_кол</vt:lpstr>
      <vt:lpstr>'Коробки 2020'!дкб_пр</vt:lpstr>
      <vt:lpstr>'Мастика 2020'!дкб_пр</vt:lpstr>
      <vt:lpstr>'Материал антиадгезионный 2020'!дкб_пр</vt:lpstr>
      <vt:lpstr>'Пакеты 2020'!дкб_пр</vt:lpstr>
      <vt:lpstr>'ПВХ 2020'!дкб_пр</vt:lpstr>
      <vt:lpstr>'ПВХ липкая 2020'!дкб_пр</vt:lpstr>
      <vt:lpstr>'Полилен 2020'!дкб_пр</vt:lpstr>
      <vt:lpstr>'Политерм 2020'!дкб_пр</vt:lpstr>
      <vt:lpstr>'Праймер и грунтовка 2020'!дкб_пр</vt:lpstr>
      <vt:lpstr>'Шаблон (шт.)'!дкб_пр</vt:lpstr>
      <vt:lpstr>'Шпули 2020'!дкб_пр</vt:lpstr>
      <vt:lpstr>дкб_пр</vt:lpstr>
      <vt:lpstr>'Коробки 2020'!июл_кол</vt:lpstr>
      <vt:lpstr>'Мастика 2020'!июл_кол</vt:lpstr>
      <vt:lpstr>'Материал антиадгезионный 2020'!июл_кол</vt:lpstr>
      <vt:lpstr>'Пакеты 2020'!июл_кол</vt:lpstr>
      <vt:lpstr>'ПВХ 2020'!июл_кол</vt:lpstr>
      <vt:lpstr>'ПВХ липкая 2020'!июл_кол</vt:lpstr>
      <vt:lpstr>'Полилен 2020'!июл_кол</vt:lpstr>
      <vt:lpstr>'Политерм 2020'!июл_кол</vt:lpstr>
      <vt:lpstr>'Праймер и грунтовка 2020'!июл_кол</vt:lpstr>
      <vt:lpstr>'Шаблон (шт.)'!июл_кол</vt:lpstr>
      <vt:lpstr>'Шпули 2020'!июл_кол</vt:lpstr>
      <vt:lpstr>июл_кол</vt:lpstr>
      <vt:lpstr>'Коробки 2020'!июл_пр</vt:lpstr>
      <vt:lpstr>'Мастика 2020'!июл_пр</vt:lpstr>
      <vt:lpstr>'Материал антиадгезионный 2020'!июл_пр</vt:lpstr>
      <vt:lpstr>'Пакеты 2020'!июл_пр</vt:lpstr>
      <vt:lpstr>'ПВХ 2020'!июл_пр</vt:lpstr>
      <vt:lpstr>'ПВХ липкая 2020'!июл_пр</vt:lpstr>
      <vt:lpstr>'Полилен 2020'!июл_пр</vt:lpstr>
      <vt:lpstr>'Политерм 2020'!июл_пр</vt:lpstr>
      <vt:lpstr>'Праймер и грунтовка 2020'!июл_пр</vt:lpstr>
      <vt:lpstr>'Шаблон (шт.)'!июл_пр</vt:lpstr>
      <vt:lpstr>'Шпули 2020'!июл_пр</vt:lpstr>
      <vt:lpstr>июл_пр</vt:lpstr>
      <vt:lpstr>'Коробки 2020'!июн_кол</vt:lpstr>
      <vt:lpstr>'Мастика 2020'!июн_кол</vt:lpstr>
      <vt:lpstr>'Материал антиадгезионный 2020'!июн_кол</vt:lpstr>
      <vt:lpstr>'Пакеты 2020'!июн_кол</vt:lpstr>
      <vt:lpstr>'ПВХ 2020'!июн_кол</vt:lpstr>
      <vt:lpstr>'ПВХ липкая 2020'!июн_кол</vt:lpstr>
      <vt:lpstr>'Полилен 2020'!июн_кол</vt:lpstr>
      <vt:lpstr>'Политерм 2020'!июн_кол</vt:lpstr>
      <vt:lpstr>'Праймер и грунтовка 2020'!июн_кол</vt:lpstr>
      <vt:lpstr>'Шаблон (шт.)'!июн_кол</vt:lpstr>
      <vt:lpstr>'Шпули 2020'!июн_кол</vt:lpstr>
      <vt:lpstr>июн_кол</vt:lpstr>
      <vt:lpstr>'Коробки 2020'!июн_пр</vt:lpstr>
      <vt:lpstr>'Мастика 2020'!июн_пр</vt:lpstr>
      <vt:lpstr>'Материал антиадгезионный 2020'!июн_пр</vt:lpstr>
      <vt:lpstr>'Пакеты 2020'!июн_пр</vt:lpstr>
      <vt:lpstr>'ПВХ 2020'!июн_пр</vt:lpstr>
      <vt:lpstr>'ПВХ липкая 2020'!июн_пр</vt:lpstr>
      <vt:lpstr>'Полилен 2020'!июн_пр</vt:lpstr>
      <vt:lpstr>'Политерм 2020'!июн_пр</vt:lpstr>
      <vt:lpstr>'Праймер и грунтовка 2020'!июн_пр</vt:lpstr>
      <vt:lpstr>'Шаблон (шт.)'!июн_пр</vt:lpstr>
      <vt:lpstr>'Шпули 2020'!июн_пр</vt:lpstr>
      <vt:lpstr>июн_пр</vt:lpstr>
      <vt:lpstr>'Коробки 2020'!кол_отб_авг</vt:lpstr>
      <vt:lpstr>'Мастика 2020'!кол_отб_авг</vt:lpstr>
      <vt:lpstr>'Материал антиадгезионный 2020'!кол_отб_авг</vt:lpstr>
      <vt:lpstr>'Пакеты 2020'!кол_отб_авг</vt:lpstr>
      <vt:lpstr>'ПВХ 2020'!кол_отб_авг</vt:lpstr>
      <vt:lpstr>'ПВХ липкая 2020'!кол_отб_авг</vt:lpstr>
      <vt:lpstr>'Полилен 2020'!кол_отб_авг</vt:lpstr>
      <vt:lpstr>'Политерм 2020'!кол_отб_авг</vt:lpstr>
      <vt:lpstr>'Праймер и грунтовка 2020'!кол_отб_авг</vt:lpstr>
      <vt:lpstr>'Шаблон (шт.)'!кол_отб_авг</vt:lpstr>
      <vt:lpstr>'Шпули 2020'!кол_отб_авг</vt:lpstr>
      <vt:lpstr>кол_отб_авг</vt:lpstr>
      <vt:lpstr>'Коробки 2020'!кол_отб_апр</vt:lpstr>
      <vt:lpstr>'Мастика 2020'!кол_отб_апр</vt:lpstr>
      <vt:lpstr>'Материал антиадгезионный 2020'!кол_отб_апр</vt:lpstr>
      <vt:lpstr>'Пакеты 2020'!кол_отб_апр</vt:lpstr>
      <vt:lpstr>'ПВХ 2020'!кол_отб_апр</vt:lpstr>
      <vt:lpstr>'ПВХ липкая 2020'!кол_отб_апр</vt:lpstr>
      <vt:lpstr>'Полилен 2020'!кол_отб_апр</vt:lpstr>
      <vt:lpstr>'Политерм 2020'!кол_отб_апр</vt:lpstr>
      <vt:lpstr>'Праймер и грунтовка 2020'!кол_отб_апр</vt:lpstr>
      <vt:lpstr>'Шаблон (шт.)'!кол_отб_апр</vt:lpstr>
      <vt:lpstr>'Шпули 2020'!кол_отб_апр</vt:lpstr>
      <vt:lpstr>кол_отб_апр</vt:lpstr>
      <vt:lpstr>'Коробки 2020'!кол_отб_дкб</vt:lpstr>
      <vt:lpstr>'Мастика 2020'!кол_отб_дкб</vt:lpstr>
      <vt:lpstr>'Материал антиадгезионный 2020'!кол_отб_дкб</vt:lpstr>
      <vt:lpstr>'Пакеты 2020'!кол_отб_дкб</vt:lpstr>
      <vt:lpstr>'ПВХ 2020'!кол_отб_дкб</vt:lpstr>
      <vt:lpstr>'ПВХ липкая 2020'!кол_отб_дкб</vt:lpstr>
      <vt:lpstr>'Полилен 2020'!кол_отб_дкб</vt:lpstr>
      <vt:lpstr>'Политерм 2020'!кол_отб_дкб</vt:lpstr>
      <vt:lpstr>'Праймер и грунтовка 2020'!кол_отб_дкб</vt:lpstr>
      <vt:lpstr>'Шаблон (шт.)'!кол_отб_дкб</vt:lpstr>
      <vt:lpstr>'Шпули 2020'!кол_отб_дкб</vt:lpstr>
      <vt:lpstr>кол_отб_дкб</vt:lpstr>
      <vt:lpstr>'Коробки 2020'!кол_отб_июл</vt:lpstr>
      <vt:lpstr>'Мастика 2020'!кол_отб_июл</vt:lpstr>
      <vt:lpstr>'Материал антиадгезионный 2020'!кол_отб_июл</vt:lpstr>
      <vt:lpstr>'Пакеты 2020'!кол_отб_июл</vt:lpstr>
      <vt:lpstr>'ПВХ 2020'!кол_отб_июл</vt:lpstr>
      <vt:lpstr>'ПВХ липкая 2020'!кол_отб_июл</vt:lpstr>
      <vt:lpstr>'Полилен 2020'!кол_отб_июл</vt:lpstr>
      <vt:lpstr>'Политерм 2020'!кол_отб_июл</vt:lpstr>
      <vt:lpstr>'Праймер и грунтовка 2020'!кол_отб_июл</vt:lpstr>
      <vt:lpstr>'Шаблон (шт.)'!кол_отб_июл</vt:lpstr>
      <vt:lpstr>'Шпули 2020'!кол_отб_июл</vt:lpstr>
      <vt:lpstr>кол_отб_июл</vt:lpstr>
      <vt:lpstr>'Коробки 2020'!кол_отб_июн</vt:lpstr>
      <vt:lpstr>'Мастика 2020'!кол_отб_июн</vt:lpstr>
      <vt:lpstr>'Материал антиадгезионный 2020'!кол_отб_июн</vt:lpstr>
      <vt:lpstr>'Пакеты 2020'!кол_отб_июн</vt:lpstr>
      <vt:lpstr>'ПВХ 2020'!кол_отб_июн</vt:lpstr>
      <vt:lpstr>'ПВХ липкая 2020'!кол_отб_июн</vt:lpstr>
      <vt:lpstr>'Полилен 2020'!кол_отб_июн</vt:lpstr>
      <vt:lpstr>'Политерм 2020'!кол_отб_июн</vt:lpstr>
      <vt:lpstr>'Праймер и грунтовка 2020'!кол_отб_июн</vt:lpstr>
      <vt:lpstr>'Шаблон (шт.)'!кол_отб_июн</vt:lpstr>
      <vt:lpstr>'Шпули 2020'!кол_отб_июн</vt:lpstr>
      <vt:lpstr>кол_отб_июн</vt:lpstr>
      <vt:lpstr>'Коробки 2020'!кол_отб_май</vt:lpstr>
      <vt:lpstr>'Мастика 2020'!кол_отб_май</vt:lpstr>
      <vt:lpstr>'Материал антиадгезионный 2020'!кол_отб_май</vt:lpstr>
      <vt:lpstr>'Пакеты 2020'!кол_отб_май</vt:lpstr>
      <vt:lpstr>'ПВХ 2020'!кол_отб_май</vt:lpstr>
      <vt:lpstr>'ПВХ липкая 2020'!кол_отб_май</vt:lpstr>
      <vt:lpstr>'Полилен 2020'!кол_отб_май</vt:lpstr>
      <vt:lpstr>'Политерм 2020'!кол_отб_май</vt:lpstr>
      <vt:lpstr>'Праймер и грунтовка 2020'!кол_отб_май</vt:lpstr>
      <vt:lpstr>'Шаблон (шт.)'!кол_отб_май</vt:lpstr>
      <vt:lpstr>'Шпули 2020'!кол_отб_май</vt:lpstr>
      <vt:lpstr>кол_отб_май</vt:lpstr>
      <vt:lpstr>'Коробки 2020'!кол_отб_мрт</vt:lpstr>
      <vt:lpstr>'Мастика 2020'!кол_отб_мрт</vt:lpstr>
      <vt:lpstr>'Материал антиадгезионный 2020'!кол_отб_мрт</vt:lpstr>
      <vt:lpstr>'Пакеты 2020'!кол_отб_мрт</vt:lpstr>
      <vt:lpstr>'ПВХ 2020'!кол_отб_мрт</vt:lpstr>
      <vt:lpstr>'ПВХ липкая 2020'!кол_отб_мрт</vt:lpstr>
      <vt:lpstr>'Полилен 2020'!кол_отб_мрт</vt:lpstr>
      <vt:lpstr>'Политерм 2020'!кол_отб_мрт</vt:lpstr>
      <vt:lpstr>'Праймер и грунтовка 2020'!кол_отб_мрт</vt:lpstr>
      <vt:lpstr>'Шаблон (шт.)'!кол_отб_мрт</vt:lpstr>
      <vt:lpstr>'Шпули 2020'!кол_отб_мрт</vt:lpstr>
      <vt:lpstr>кол_отб_мрт</vt:lpstr>
      <vt:lpstr>'Коробки 2020'!кол_отб_нбр</vt:lpstr>
      <vt:lpstr>'Мастика 2020'!кол_отб_нбр</vt:lpstr>
      <vt:lpstr>'Материал антиадгезионный 2020'!кол_отб_нбр</vt:lpstr>
      <vt:lpstr>'Пакеты 2020'!кол_отб_нбр</vt:lpstr>
      <vt:lpstr>'ПВХ 2020'!кол_отб_нбр</vt:lpstr>
      <vt:lpstr>'ПВХ липкая 2020'!кол_отб_нбр</vt:lpstr>
      <vt:lpstr>'Полилен 2020'!кол_отб_нбр</vt:lpstr>
      <vt:lpstr>'Политерм 2020'!кол_отб_нбр</vt:lpstr>
      <vt:lpstr>'Праймер и грунтовка 2020'!кол_отб_нбр</vt:lpstr>
      <vt:lpstr>'Шаблон (шт.)'!кол_отб_нбр</vt:lpstr>
      <vt:lpstr>'Шпули 2020'!кол_отб_нбр</vt:lpstr>
      <vt:lpstr>кол_отб_нбр</vt:lpstr>
      <vt:lpstr>'Коробки 2020'!кол_отб_окт</vt:lpstr>
      <vt:lpstr>'Мастика 2020'!кол_отб_окт</vt:lpstr>
      <vt:lpstr>'Материал антиадгезионный 2020'!кол_отб_окт</vt:lpstr>
      <vt:lpstr>'Пакеты 2020'!кол_отб_окт</vt:lpstr>
      <vt:lpstr>'ПВХ 2020'!кол_отб_окт</vt:lpstr>
      <vt:lpstr>'ПВХ липкая 2020'!кол_отб_окт</vt:lpstr>
      <vt:lpstr>'Полилен 2020'!кол_отб_окт</vt:lpstr>
      <vt:lpstr>'Политерм 2020'!кол_отб_окт</vt:lpstr>
      <vt:lpstr>'Праймер и грунтовка 2020'!кол_отб_окт</vt:lpstr>
      <vt:lpstr>'Шаблон (шт.)'!кол_отб_окт</vt:lpstr>
      <vt:lpstr>'Шпули 2020'!кол_отб_окт</vt:lpstr>
      <vt:lpstr>кол_отб_окт</vt:lpstr>
      <vt:lpstr>'Коробки 2020'!кол_отб_снт</vt:lpstr>
      <vt:lpstr>'Мастика 2020'!кол_отб_снт</vt:lpstr>
      <vt:lpstr>'Материал антиадгезионный 2020'!кол_отб_снт</vt:lpstr>
      <vt:lpstr>'Пакеты 2020'!кол_отб_снт</vt:lpstr>
      <vt:lpstr>'ПВХ 2020'!кол_отб_снт</vt:lpstr>
      <vt:lpstr>'ПВХ липкая 2020'!кол_отб_снт</vt:lpstr>
      <vt:lpstr>'Полилен 2020'!кол_отб_снт</vt:lpstr>
      <vt:lpstr>'Политерм 2020'!кол_отб_снт</vt:lpstr>
      <vt:lpstr>'Праймер и грунтовка 2020'!кол_отб_снт</vt:lpstr>
      <vt:lpstr>'Шаблон (шт.)'!кол_отб_снт</vt:lpstr>
      <vt:lpstr>'Шпули 2020'!кол_отб_снт</vt:lpstr>
      <vt:lpstr>кол_отб_снт</vt:lpstr>
      <vt:lpstr>'Коробки 2020'!кол_отб_фев</vt:lpstr>
      <vt:lpstr>'Мастика 2020'!кол_отб_фев</vt:lpstr>
      <vt:lpstr>'Материал антиадгезионный 2020'!кол_отб_фев</vt:lpstr>
      <vt:lpstr>'Пакеты 2020'!кол_отб_фев</vt:lpstr>
      <vt:lpstr>'ПВХ 2020'!кол_отб_фев</vt:lpstr>
      <vt:lpstr>'ПВХ липкая 2020'!кол_отб_фев</vt:lpstr>
      <vt:lpstr>'Полилен 2020'!кол_отб_фев</vt:lpstr>
      <vt:lpstr>'Политерм 2020'!кол_отб_фев</vt:lpstr>
      <vt:lpstr>'Праймер и грунтовка 2020'!кол_отб_фев</vt:lpstr>
      <vt:lpstr>'Шаблон (шт.)'!кол_отб_фев</vt:lpstr>
      <vt:lpstr>'Шпули 2020'!кол_отб_фев</vt:lpstr>
      <vt:lpstr>кол_отб_фев</vt:lpstr>
      <vt:lpstr>'Коробки 2020'!кол_отб_янв</vt:lpstr>
      <vt:lpstr>'Мастика 2020'!кол_отб_янв</vt:lpstr>
      <vt:lpstr>'Материал антиадгезионный 2020'!кол_отб_янв</vt:lpstr>
      <vt:lpstr>'Пакеты 2020'!кол_отб_янв</vt:lpstr>
      <vt:lpstr>'ПВХ 2020'!кол_отб_янв</vt:lpstr>
      <vt:lpstr>'ПВХ липкая 2020'!кол_отб_янв</vt:lpstr>
      <vt:lpstr>'Полилен 2020'!кол_отб_янв</vt:lpstr>
      <vt:lpstr>'Политерм 2020'!кол_отб_янв</vt:lpstr>
      <vt:lpstr>'Праймер и грунтовка 2020'!кол_отб_янв</vt:lpstr>
      <vt:lpstr>'Шаблон (шт.)'!кол_отб_янв</vt:lpstr>
      <vt:lpstr>'Шпули 2020'!кол_отб_янв</vt:lpstr>
      <vt:lpstr>кол_отб_янв</vt:lpstr>
      <vt:lpstr>'Коробки 2020'!май_кол</vt:lpstr>
      <vt:lpstr>'Мастика 2020'!май_кол</vt:lpstr>
      <vt:lpstr>'Материал антиадгезионный 2020'!май_кол</vt:lpstr>
      <vt:lpstr>'Пакеты 2020'!май_кол</vt:lpstr>
      <vt:lpstr>'ПВХ 2020'!май_кол</vt:lpstr>
      <vt:lpstr>'ПВХ липкая 2020'!май_кол</vt:lpstr>
      <vt:lpstr>'Полилен 2020'!май_кол</vt:lpstr>
      <vt:lpstr>'Политерм 2020'!май_кол</vt:lpstr>
      <vt:lpstr>'Праймер и грунтовка 2020'!май_кол</vt:lpstr>
      <vt:lpstr>'Шаблон (шт.)'!май_кол</vt:lpstr>
      <vt:lpstr>'Шпули 2020'!май_кол</vt:lpstr>
      <vt:lpstr>май_кол</vt:lpstr>
      <vt:lpstr>'Коробки 2020'!май_пр</vt:lpstr>
      <vt:lpstr>'Мастика 2020'!май_пр</vt:lpstr>
      <vt:lpstr>'Материал антиадгезионный 2020'!май_пр</vt:lpstr>
      <vt:lpstr>'Пакеты 2020'!май_пр</vt:lpstr>
      <vt:lpstr>'ПВХ 2020'!май_пр</vt:lpstr>
      <vt:lpstr>'ПВХ липкая 2020'!май_пр</vt:lpstr>
      <vt:lpstr>'Полилен 2020'!май_пр</vt:lpstr>
      <vt:lpstr>'Политерм 2020'!май_пр</vt:lpstr>
      <vt:lpstr>'Праймер и грунтовка 2020'!май_пр</vt:lpstr>
      <vt:lpstr>'Шаблон (шт.)'!май_пр</vt:lpstr>
      <vt:lpstr>'Шпули 2020'!май_пр</vt:lpstr>
      <vt:lpstr>май_пр</vt:lpstr>
      <vt:lpstr>'Коробки 2020'!мрт_кол</vt:lpstr>
      <vt:lpstr>'Мастика 2020'!мрт_кол</vt:lpstr>
      <vt:lpstr>'Материал антиадгезионный 2020'!мрт_кол</vt:lpstr>
      <vt:lpstr>'Пакеты 2020'!мрт_кол</vt:lpstr>
      <vt:lpstr>'ПВХ 2020'!мрт_кол</vt:lpstr>
      <vt:lpstr>'ПВХ липкая 2020'!мрт_кол</vt:lpstr>
      <vt:lpstr>'Полилен 2020'!мрт_кол</vt:lpstr>
      <vt:lpstr>'Политерм 2020'!мрт_кол</vt:lpstr>
      <vt:lpstr>'Праймер и грунтовка 2020'!мрт_кол</vt:lpstr>
      <vt:lpstr>'Шаблон (шт.)'!мрт_кол</vt:lpstr>
      <vt:lpstr>'Шпули 2020'!мрт_кол</vt:lpstr>
      <vt:lpstr>мрт_кол</vt:lpstr>
      <vt:lpstr>'Коробки 2020'!мрт_пр</vt:lpstr>
      <vt:lpstr>'Мастика 2020'!мрт_пр</vt:lpstr>
      <vt:lpstr>'Материал антиадгезионный 2020'!мрт_пр</vt:lpstr>
      <vt:lpstr>'Пакеты 2020'!мрт_пр</vt:lpstr>
      <vt:lpstr>'ПВХ 2020'!мрт_пр</vt:lpstr>
      <vt:lpstr>'ПВХ липкая 2020'!мрт_пр</vt:lpstr>
      <vt:lpstr>'Полилен 2020'!мрт_пр</vt:lpstr>
      <vt:lpstr>'Политерм 2020'!мрт_пр</vt:lpstr>
      <vt:lpstr>'Праймер и грунтовка 2020'!мрт_пр</vt:lpstr>
      <vt:lpstr>'Шаблон (шт.)'!мрт_пр</vt:lpstr>
      <vt:lpstr>'Шпули 2020'!мрт_пр</vt:lpstr>
      <vt:lpstr>мрт_пр</vt:lpstr>
      <vt:lpstr>'Коробки 2020'!нбр_кол</vt:lpstr>
      <vt:lpstr>'Мастика 2020'!нбр_кол</vt:lpstr>
      <vt:lpstr>'Материал антиадгезионный 2020'!нбр_кол</vt:lpstr>
      <vt:lpstr>'Пакеты 2020'!нбр_кол</vt:lpstr>
      <vt:lpstr>'ПВХ 2020'!нбр_кол</vt:lpstr>
      <vt:lpstr>'ПВХ липкая 2020'!нбр_кол</vt:lpstr>
      <vt:lpstr>'Полилен 2020'!нбр_кол</vt:lpstr>
      <vt:lpstr>'Политерм 2020'!нбр_кол</vt:lpstr>
      <vt:lpstr>'Праймер и грунтовка 2020'!нбр_кол</vt:lpstr>
      <vt:lpstr>'Шаблон (шт.)'!нбр_кол</vt:lpstr>
      <vt:lpstr>'Шпули 2020'!нбр_кол</vt:lpstr>
      <vt:lpstr>нбр_кол</vt:lpstr>
      <vt:lpstr>'Коробки 2020'!нбр_пр</vt:lpstr>
      <vt:lpstr>'Мастика 2020'!нбр_пр</vt:lpstr>
      <vt:lpstr>'Материал антиадгезионный 2020'!нбр_пр</vt:lpstr>
      <vt:lpstr>'Пакеты 2020'!нбр_пр</vt:lpstr>
      <vt:lpstr>'ПВХ 2020'!нбр_пр</vt:lpstr>
      <vt:lpstr>'ПВХ липкая 2020'!нбр_пр</vt:lpstr>
      <vt:lpstr>'Полилен 2020'!нбр_пр</vt:lpstr>
      <vt:lpstr>'Политерм 2020'!нбр_пр</vt:lpstr>
      <vt:lpstr>'Праймер и грунтовка 2020'!нбр_пр</vt:lpstr>
      <vt:lpstr>'Шаблон (шт.)'!нбр_пр</vt:lpstr>
      <vt:lpstr>'Шпули 2020'!нбр_пр</vt:lpstr>
      <vt:lpstr>нбр_пр</vt:lpstr>
      <vt:lpstr>'Коробки 2020'!окт_кол</vt:lpstr>
      <vt:lpstr>'Мастика 2020'!окт_кол</vt:lpstr>
      <vt:lpstr>'Материал антиадгезионный 2020'!окт_кол</vt:lpstr>
      <vt:lpstr>'Пакеты 2020'!окт_кол</vt:lpstr>
      <vt:lpstr>'ПВХ 2020'!окт_кол</vt:lpstr>
      <vt:lpstr>'ПВХ липкая 2020'!окт_кол</vt:lpstr>
      <vt:lpstr>'Полилен 2020'!окт_кол</vt:lpstr>
      <vt:lpstr>'Политерм 2020'!окт_кол</vt:lpstr>
      <vt:lpstr>'Праймер и грунтовка 2020'!окт_кол</vt:lpstr>
      <vt:lpstr>'Шаблон (шт.)'!окт_кол</vt:lpstr>
      <vt:lpstr>'Шпули 2020'!окт_кол</vt:lpstr>
      <vt:lpstr>окт_кол</vt:lpstr>
      <vt:lpstr>'Коробки 2020'!окт_пр</vt:lpstr>
      <vt:lpstr>'Мастика 2020'!окт_пр</vt:lpstr>
      <vt:lpstr>'Материал антиадгезионный 2020'!окт_пр</vt:lpstr>
      <vt:lpstr>'Пакеты 2020'!окт_пр</vt:lpstr>
      <vt:lpstr>'ПВХ 2020'!окт_пр</vt:lpstr>
      <vt:lpstr>'ПВХ липкая 2020'!окт_пр</vt:lpstr>
      <vt:lpstr>'Полилен 2020'!окт_пр</vt:lpstr>
      <vt:lpstr>'Политерм 2020'!окт_пр</vt:lpstr>
      <vt:lpstr>'Праймер и грунтовка 2020'!окт_пр</vt:lpstr>
      <vt:lpstr>'Шаблон (шт.)'!окт_пр</vt:lpstr>
      <vt:lpstr>'Шпули 2020'!окт_пр</vt:lpstr>
      <vt:lpstr>окт_пр</vt:lpstr>
      <vt:lpstr>'Коробки 2020'!снт_кол</vt:lpstr>
      <vt:lpstr>'Мастика 2020'!снт_кол</vt:lpstr>
      <vt:lpstr>'Материал антиадгезионный 2020'!снт_кол</vt:lpstr>
      <vt:lpstr>'Пакеты 2020'!снт_кол</vt:lpstr>
      <vt:lpstr>'ПВХ 2020'!снт_кол</vt:lpstr>
      <vt:lpstr>'ПВХ липкая 2020'!снт_кол</vt:lpstr>
      <vt:lpstr>'Полилен 2020'!снт_кол</vt:lpstr>
      <vt:lpstr>'Политерм 2020'!снт_кол</vt:lpstr>
      <vt:lpstr>'Праймер и грунтовка 2020'!снт_кол</vt:lpstr>
      <vt:lpstr>'Шаблон (шт.)'!снт_кол</vt:lpstr>
      <vt:lpstr>'Шпули 2020'!снт_кол</vt:lpstr>
      <vt:lpstr>снт_кол</vt:lpstr>
      <vt:lpstr>'Коробки 2020'!снт_пр</vt:lpstr>
      <vt:lpstr>'Мастика 2020'!снт_пр</vt:lpstr>
      <vt:lpstr>'Материал антиадгезионный 2020'!снт_пр</vt:lpstr>
      <vt:lpstr>'Пакеты 2020'!снт_пр</vt:lpstr>
      <vt:lpstr>'ПВХ 2020'!снт_пр</vt:lpstr>
      <vt:lpstr>'ПВХ липкая 2020'!снт_пр</vt:lpstr>
      <vt:lpstr>'Полилен 2020'!снт_пр</vt:lpstr>
      <vt:lpstr>'Политерм 2020'!снт_пр</vt:lpstr>
      <vt:lpstr>'Праймер и грунтовка 2020'!снт_пр</vt:lpstr>
      <vt:lpstr>'Шаблон (шт.)'!снт_пр</vt:lpstr>
      <vt:lpstr>'Шпули 2020'!снт_пр</vt:lpstr>
      <vt:lpstr>снт_пр</vt:lpstr>
      <vt:lpstr>'Коробки 2020'!фев_кол</vt:lpstr>
      <vt:lpstr>'Мастика 2020'!фев_кол</vt:lpstr>
      <vt:lpstr>'Материал антиадгезионный 2020'!фев_кол</vt:lpstr>
      <vt:lpstr>'Пакеты 2020'!фев_кол</vt:lpstr>
      <vt:lpstr>'ПВХ 2020'!фев_кол</vt:lpstr>
      <vt:lpstr>'ПВХ липкая 2020'!фев_кол</vt:lpstr>
      <vt:lpstr>'Полилен 2020'!фев_кол</vt:lpstr>
      <vt:lpstr>'Политерм 2020'!фев_кол</vt:lpstr>
      <vt:lpstr>'Праймер и грунтовка 2020'!фев_кол</vt:lpstr>
      <vt:lpstr>'Шаблон (шт.)'!фев_кол</vt:lpstr>
      <vt:lpstr>'Шпули 2020'!фев_кол</vt:lpstr>
      <vt:lpstr>фев_кол</vt:lpstr>
      <vt:lpstr>'Коробки 2020'!фев_пр</vt:lpstr>
      <vt:lpstr>'Мастика 2020'!фев_пр</vt:lpstr>
      <vt:lpstr>'Материал антиадгезионный 2020'!фев_пр</vt:lpstr>
      <vt:lpstr>'Пакеты 2020'!фев_пр</vt:lpstr>
      <vt:lpstr>'ПВХ 2020'!фев_пр</vt:lpstr>
      <vt:lpstr>'ПВХ липкая 2020'!фев_пр</vt:lpstr>
      <vt:lpstr>'Полилен 2020'!фев_пр</vt:lpstr>
      <vt:lpstr>'Политерм 2020'!фев_пр</vt:lpstr>
      <vt:lpstr>'Праймер и грунтовка 2020'!фев_пр</vt:lpstr>
      <vt:lpstr>'Шаблон (шт.)'!фев_пр</vt:lpstr>
      <vt:lpstr>'Шпули 2020'!фев_пр</vt:lpstr>
      <vt:lpstr>фев_пр</vt:lpstr>
      <vt:lpstr>'Коробки 2020'!янв_кол</vt:lpstr>
      <vt:lpstr>'Мастика 2020'!янв_кол</vt:lpstr>
      <vt:lpstr>'Материал антиадгезионный 2020'!янв_кол</vt:lpstr>
      <vt:lpstr>'Пакеты 2020'!янв_кол</vt:lpstr>
      <vt:lpstr>'ПВХ 2020'!янв_кол</vt:lpstr>
      <vt:lpstr>'ПВХ липкая 2020'!янв_кол</vt:lpstr>
      <vt:lpstr>'Полилен 2020'!янв_кол</vt:lpstr>
      <vt:lpstr>'Политерм 2020'!янв_кол</vt:lpstr>
      <vt:lpstr>'Праймер и грунтовка 2020'!янв_кол</vt:lpstr>
      <vt:lpstr>'Шаблон (шт.)'!янв_кол</vt:lpstr>
      <vt:lpstr>'Шпули 2020'!янв_кол</vt:lpstr>
      <vt:lpstr>янв_кол</vt:lpstr>
      <vt:lpstr>'Коробки 2020'!янв_пр</vt:lpstr>
      <vt:lpstr>'Мастика 2020'!янв_пр</vt:lpstr>
      <vt:lpstr>'Материал антиадгезионный 2020'!янв_пр</vt:lpstr>
      <vt:lpstr>'Пакеты 2020'!янв_пр</vt:lpstr>
      <vt:lpstr>'ПВХ 2020'!янв_пр</vt:lpstr>
      <vt:lpstr>'ПВХ липкая 2020'!янв_пр</vt:lpstr>
      <vt:lpstr>'Полилен 2020'!янв_пр</vt:lpstr>
      <vt:lpstr>'Политерм 2020'!янв_пр</vt:lpstr>
      <vt:lpstr>'Праймер и грунтовка 2020'!янв_пр</vt:lpstr>
      <vt:lpstr>'Шаблон (шт.)'!янв_пр</vt:lpstr>
      <vt:lpstr>'Шпули 2020'!янв_пр</vt:lpstr>
      <vt:lpstr>янв_пр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2020-07-17T06:12:44Z</dcterms:modified>
</cp:coreProperties>
</file>